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D:\GitHub\TDM-INP-College-Enrollment\"/>
    </mc:Choice>
  </mc:AlternateContent>
  <xr:revisionPtr revIDLastSave="0" documentId="13_ncr:1_{9EA2FAB3-165F-4C9A-AA79-CE4E0F97909B}" xr6:coauthVersionLast="47" xr6:coauthVersionMax="47" xr10:uidLastSave="{00000000-0000-0000-0000-000000000000}"/>
  <bookViews>
    <workbookView xWindow="-120" yWindow="-120" windowWidth="29040" windowHeight="15720" tabRatio="728" activeTab="3" xr2:uid="{00000000-000D-0000-FFFF-FFFF00000000}"/>
  </bookViews>
  <sheets>
    <sheet name="Export_ControlTot" sheetId="11" r:id="rId1"/>
    <sheet name="Export_Factors" sheetId="15" r:id="rId2"/>
    <sheet name="Campus Enrol Disaggregation" sheetId="10" r:id="rId3"/>
    <sheet name="College Enrollment Projections" sheetId="2" r:id="rId4"/>
    <sheet name="GPI College-Age Population" sheetId="18" r:id="rId5"/>
    <sheet name="FTE Rate Calcs" sheetId="13" r:id="rId6"/>
    <sheet name="HBC Rates" sheetId="17" r:id="rId7"/>
    <sheet name="FTE" sheetId="16" r:id="rId8"/>
    <sheet name="calc%concurrent" sheetId="14" r:id="rId9"/>
    <sheet name="USHE Projections" sheetId="6" r:id="rId10"/>
    <sheet name="USHE Historic" sheetId="1" r:id="rId11"/>
    <sheet name="BYU - Data USA Cart" sheetId="5" r:id="rId12"/>
    <sheet name="Westminster" sheetId="8" r:id="rId13"/>
    <sheet name="Ensign" sheetId="9" r:id="rId14"/>
    <sheet name="Historic (IPEDS &amp; 2019 RTP)" sheetId="7" r:id="rId15"/>
    <sheet name="USHE 2020 Campus Totals" sheetId="3" r:id="rId16"/>
    <sheet name="MAG College Enrollment Forecast" sheetId="12"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9" i="18" l="1"/>
  <c r="AU9" i="18"/>
  <c r="AV9" i="18"/>
  <c r="AW9" i="18"/>
  <c r="AX9" i="18"/>
  <c r="AY9" i="18"/>
  <c r="AS9" i="18"/>
  <c r="AZ5" i="18"/>
  <c r="AZ6" i="18"/>
  <c r="AZ7" i="18"/>
  <c r="AZ8" i="18"/>
  <c r="AZ4" i="18"/>
  <c r="AJ17" i="18"/>
  <c r="AK17" i="18"/>
  <c r="AL17" i="18"/>
  <c r="AM17" i="18"/>
  <c r="AN17" i="18"/>
  <c r="AO17" i="18"/>
  <c r="AP17" i="18"/>
  <c r="AJ18" i="18"/>
  <c r="AK18" i="18"/>
  <c r="AL18" i="18"/>
  <c r="AM18" i="18"/>
  <c r="AN18" i="18"/>
  <c r="AO18" i="18"/>
  <c r="AP18" i="18"/>
  <c r="AK16" i="18"/>
  <c r="AL16" i="18"/>
  <c r="AM16" i="18"/>
  <c r="AN16" i="18"/>
  <c r="AO16" i="18"/>
  <c r="AP16" i="18"/>
  <c r="AJ16" i="18"/>
  <c r="S12" i="18"/>
  <c r="V20" i="18"/>
  <c r="U21" i="18"/>
  <c r="V21" i="18"/>
  <c r="W21" i="18"/>
  <c r="S22" i="18"/>
  <c r="S32" i="18"/>
  <c r="Q5" i="18"/>
  <c r="W5" i="18" s="1"/>
  <c r="Q6" i="18"/>
  <c r="W6" i="18" s="1"/>
  <c r="Q7" i="18"/>
  <c r="S7" i="18" s="1"/>
  <c r="Q8" i="18"/>
  <c r="U8" i="18" s="1"/>
  <c r="Q9" i="18"/>
  <c r="S9" i="18" s="1"/>
  <c r="Q10" i="18"/>
  <c r="W10" i="18" s="1"/>
  <c r="Q11" i="18"/>
  <c r="S11" i="18" s="1"/>
  <c r="Q12" i="18"/>
  <c r="T12" i="18" s="1"/>
  <c r="Q13" i="18"/>
  <c r="S13" i="18" s="1"/>
  <c r="Q14" i="18"/>
  <c r="W14" i="18" s="1"/>
  <c r="Q15" i="18"/>
  <c r="S15" i="18" s="1"/>
  <c r="Q16" i="18"/>
  <c r="T16" i="18" s="1"/>
  <c r="Q17" i="18"/>
  <c r="S17" i="18" s="1"/>
  <c r="Q18" i="18"/>
  <c r="W18" i="18" s="1"/>
  <c r="Q19" i="18"/>
  <c r="S19" i="18" s="1"/>
  <c r="Q20" i="18"/>
  <c r="T20" i="18" s="1"/>
  <c r="Q21" i="18"/>
  <c r="T21" i="18" s="1"/>
  <c r="Q22" i="18"/>
  <c r="W22" i="18" s="1"/>
  <c r="Q23" i="18"/>
  <c r="S23" i="18" s="1"/>
  <c r="Q24" i="18"/>
  <c r="S24" i="18" s="1"/>
  <c r="Q25" i="18"/>
  <c r="W25" i="18" s="1"/>
  <c r="Q26" i="18"/>
  <c r="W26" i="18" s="1"/>
  <c r="Q27" i="18"/>
  <c r="S27" i="18" s="1"/>
  <c r="Q28" i="18"/>
  <c r="S28" i="18" s="1"/>
  <c r="Q29" i="18"/>
  <c r="S29" i="18" s="1"/>
  <c r="Q30" i="18"/>
  <c r="W30" i="18" s="1"/>
  <c r="Q31" i="18"/>
  <c r="S31" i="18" s="1"/>
  <c r="Q32" i="18"/>
  <c r="T32" i="18" s="1"/>
  <c r="Q33" i="18"/>
  <c r="V33" i="18" s="1"/>
  <c r="Q34" i="18"/>
  <c r="W34" i="18" s="1"/>
  <c r="Q35" i="18"/>
  <c r="S35" i="18" s="1"/>
  <c r="Q36" i="18"/>
  <c r="T36" i="18" s="1"/>
  <c r="Q37" i="18"/>
  <c r="S37" i="18" s="1"/>
  <c r="Q38" i="18"/>
  <c r="W38" i="18" s="1"/>
  <c r="Q39" i="18"/>
  <c r="S39" i="18" s="1"/>
  <c r="Q40" i="18"/>
  <c r="T40" i="18" s="1"/>
  <c r="Q41" i="18"/>
  <c r="S41" i="18" s="1"/>
  <c r="Q42" i="18"/>
  <c r="W42" i="18" s="1"/>
  <c r="Q43" i="18"/>
  <c r="S43" i="18" s="1"/>
  <c r="Q44" i="18"/>
  <c r="U44" i="18" s="1"/>
  <c r="Q4" i="18"/>
  <c r="W4" i="18" s="1"/>
  <c r="C37" i="18"/>
  <c r="B37" i="18"/>
  <c r="D4" i="18"/>
  <c r="E4" i="18" s="1"/>
  <c r="D5" i="18"/>
  <c r="E5" i="18" s="1"/>
  <c r="D6" i="18"/>
  <c r="E6" i="18" s="1"/>
  <c r="D7" i="18"/>
  <c r="E7" i="18" s="1"/>
  <c r="D8" i="18"/>
  <c r="E8" i="18" s="1"/>
  <c r="D9" i="18"/>
  <c r="E9" i="18" s="1"/>
  <c r="D10" i="18"/>
  <c r="E10" i="18" s="1"/>
  <c r="D11" i="18"/>
  <c r="E11" i="18" s="1"/>
  <c r="D12" i="18"/>
  <c r="E12" i="18" s="1"/>
  <c r="D13" i="18"/>
  <c r="E13" i="18" s="1"/>
  <c r="D14" i="18"/>
  <c r="E14" i="18" s="1"/>
  <c r="D15" i="18"/>
  <c r="E15" i="18" s="1"/>
  <c r="D16" i="18"/>
  <c r="E16" i="18" s="1"/>
  <c r="D17" i="18"/>
  <c r="E17" i="18" s="1"/>
  <c r="D18" i="18"/>
  <c r="E18" i="18" s="1"/>
  <c r="D19" i="18"/>
  <c r="E19" i="18" s="1"/>
  <c r="D20" i="18"/>
  <c r="E20" i="18" s="1"/>
  <c r="D21" i="18"/>
  <c r="E21" i="18" s="1"/>
  <c r="D22" i="18"/>
  <c r="E22" i="18" s="1"/>
  <c r="D23" i="18"/>
  <c r="E23" i="18" s="1"/>
  <c r="D24" i="18"/>
  <c r="E24" i="18" s="1"/>
  <c r="D25" i="18"/>
  <c r="E25" i="18" s="1"/>
  <c r="D26" i="18"/>
  <c r="E26" i="18" s="1"/>
  <c r="D27" i="18"/>
  <c r="E27" i="18" s="1"/>
  <c r="D28" i="18"/>
  <c r="E28" i="18" s="1"/>
  <c r="D29" i="18"/>
  <c r="E29" i="18" s="1"/>
  <c r="D30" i="18"/>
  <c r="E30" i="18" s="1"/>
  <c r="D31" i="18"/>
  <c r="E31" i="18" s="1"/>
  <c r="D32" i="18"/>
  <c r="E32" i="18" s="1"/>
  <c r="D3" i="18"/>
  <c r="E3" i="18" s="1"/>
  <c r="I3" i="11"/>
  <c r="J3" i="11"/>
  <c r="K3" i="11"/>
  <c r="L3" i="11"/>
  <c r="I4" i="11"/>
  <c r="J4" i="11"/>
  <c r="K4" i="11"/>
  <c r="L4" i="11"/>
  <c r="I5" i="11"/>
  <c r="J5" i="11"/>
  <c r="K5" i="11"/>
  <c r="L5" i="11"/>
  <c r="I6" i="11"/>
  <c r="J6" i="11"/>
  <c r="K6" i="11"/>
  <c r="L6" i="11"/>
  <c r="I7" i="11"/>
  <c r="J7" i="11"/>
  <c r="K7" i="11"/>
  <c r="L7" i="11"/>
  <c r="I8" i="11"/>
  <c r="J8" i="11"/>
  <c r="K8" i="11"/>
  <c r="L8" i="11"/>
  <c r="I9" i="11"/>
  <c r="J9" i="11"/>
  <c r="K9" i="11"/>
  <c r="L9" i="11"/>
  <c r="I10" i="11"/>
  <c r="J10" i="11"/>
  <c r="K10" i="11"/>
  <c r="L10" i="11"/>
  <c r="I11" i="11"/>
  <c r="J11" i="11"/>
  <c r="K11" i="11"/>
  <c r="L11" i="11"/>
  <c r="I12" i="11"/>
  <c r="J12" i="11"/>
  <c r="K12" i="11"/>
  <c r="L12" i="11"/>
  <c r="I13" i="11"/>
  <c r="J13" i="11"/>
  <c r="K13" i="11"/>
  <c r="L13" i="11"/>
  <c r="I14" i="11"/>
  <c r="J14" i="11"/>
  <c r="K14" i="11"/>
  <c r="L14" i="11"/>
  <c r="I15" i="11"/>
  <c r="J15" i="11"/>
  <c r="K15" i="11"/>
  <c r="L15" i="11"/>
  <c r="I16" i="11"/>
  <c r="J16" i="11"/>
  <c r="K16" i="11"/>
  <c r="L16" i="11"/>
  <c r="I17" i="11"/>
  <c r="J17" i="11"/>
  <c r="K17" i="11"/>
  <c r="L17" i="11"/>
  <c r="I18" i="11"/>
  <c r="J18" i="11"/>
  <c r="K18" i="11"/>
  <c r="L18" i="11"/>
  <c r="I19" i="11"/>
  <c r="J19" i="11"/>
  <c r="K19" i="11"/>
  <c r="L19" i="11"/>
  <c r="I20" i="11"/>
  <c r="J20" i="11"/>
  <c r="K20" i="11"/>
  <c r="L20" i="11"/>
  <c r="I21" i="11"/>
  <c r="J21" i="11"/>
  <c r="K21" i="11"/>
  <c r="L21" i="11"/>
  <c r="I22" i="11"/>
  <c r="J22" i="11"/>
  <c r="K22" i="11"/>
  <c r="L22" i="11"/>
  <c r="I23" i="11"/>
  <c r="J23" i="11"/>
  <c r="K23" i="11"/>
  <c r="L23" i="11"/>
  <c r="I24" i="11"/>
  <c r="J24" i="11"/>
  <c r="K24" i="11"/>
  <c r="L24" i="11"/>
  <c r="I25" i="11"/>
  <c r="J25" i="11"/>
  <c r="K25" i="11"/>
  <c r="L25" i="11"/>
  <c r="I26" i="11"/>
  <c r="J26" i="11"/>
  <c r="K26" i="11"/>
  <c r="L26" i="11"/>
  <c r="I27" i="11"/>
  <c r="J27" i="11"/>
  <c r="K27" i="11"/>
  <c r="L27" i="11"/>
  <c r="I28" i="11"/>
  <c r="J28" i="11"/>
  <c r="K28" i="11"/>
  <c r="L28" i="11"/>
  <c r="I29" i="11"/>
  <c r="J29" i="11"/>
  <c r="K29" i="11"/>
  <c r="L29" i="11"/>
  <c r="I30" i="11"/>
  <c r="J30" i="11"/>
  <c r="K30" i="11"/>
  <c r="L30" i="11"/>
  <c r="I31" i="11"/>
  <c r="J31" i="11"/>
  <c r="K31" i="11"/>
  <c r="L31" i="11"/>
  <c r="I32" i="11"/>
  <c r="J32" i="11"/>
  <c r="K32" i="11"/>
  <c r="L32" i="11"/>
  <c r="I33" i="11"/>
  <c r="J33" i="11"/>
  <c r="K33" i="11"/>
  <c r="L33" i="11"/>
  <c r="I34" i="11"/>
  <c r="J34" i="11"/>
  <c r="K34" i="11"/>
  <c r="L34" i="11"/>
  <c r="I35" i="11"/>
  <c r="J35" i="11"/>
  <c r="K35" i="11"/>
  <c r="L35" i="11"/>
  <c r="I36" i="11"/>
  <c r="J36" i="11"/>
  <c r="K36" i="11"/>
  <c r="L36" i="11"/>
  <c r="I37" i="11"/>
  <c r="J37" i="11"/>
  <c r="K37" i="11"/>
  <c r="L37" i="11"/>
  <c r="I38" i="11"/>
  <c r="J38" i="11"/>
  <c r="K38" i="11"/>
  <c r="L38" i="11"/>
  <c r="I39" i="11"/>
  <c r="J39" i="11"/>
  <c r="K39" i="11"/>
  <c r="L39" i="11"/>
  <c r="I40" i="11"/>
  <c r="J40" i="11"/>
  <c r="K40" i="11"/>
  <c r="L40" i="11"/>
  <c r="I41" i="11"/>
  <c r="J41" i="11"/>
  <c r="K41" i="11"/>
  <c r="L41" i="11"/>
  <c r="I42" i="11"/>
  <c r="J42" i="11"/>
  <c r="K42" i="11"/>
  <c r="L42" i="11"/>
  <c r="I43" i="11"/>
  <c r="J43" i="11"/>
  <c r="K43" i="11"/>
  <c r="L43" i="11"/>
  <c r="I44" i="11"/>
  <c r="J44" i="11"/>
  <c r="K44" i="11"/>
  <c r="L44" i="11"/>
  <c r="I45" i="11"/>
  <c r="J45" i="11"/>
  <c r="K45" i="11"/>
  <c r="L45" i="11"/>
  <c r="I46" i="11"/>
  <c r="J46" i="11"/>
  <c r="K46" i="11"/>
  <c r="L46" i="11"/>
  <c r="I47" i="11"/>
  <c r="J47" i="11"/>
  <c r="K47" i="11"/>
  <c r="L47" i="11"/>
  <c r="I48" i="11"/>
  <c r="J48" i="11"/>
  <c r="K48" i="11"/>
  <c r="L48" i="11"/>
  <c r="I49" i="11"/>
  <c r="J49" i="11"/>
  <c r="K49" i="11"/>
  <c r="L49" i="11"/>
  <c r="I50" i="11"/>
  <c r="J50" i="11"/>
  <c r="K50" i="11"/>
  <c r="L50" i="11"/>
  <c r="I51" i="11"/>
  <c r="J51" i="11"/>
  <c r="K51" i="11"/>
  <c r="L51" i="11"/>
  <c r="I52" i="11"/>
  <c r="J52" i="11"/>
  <c r="K52" i="11"/>
  <c r="L52" i="11"/>
  <c r="I53" i="11"/>
  <c r="J53" i="11"/>
  <c r="K53" i="11"/>
  <c r="L53" i="11"/>
  <c r="I54" i="11"/>
  <c r="J54" i="11"/>
  <c r="K54" i="11"/>
  <c r="L54" i="11"/>
  <c r="I55" i="11"/>
  <c r="J55" i="11"/>
  <c r="K55" i="11"/>
  <c r="L55" i="11"/>
  <c r="I56" i="11"/>
  <c r="J56" i="11"/>
  <c r="K56" i="11"/>
  <c r="L56" i="11"/>
  <c r="I57" i="11"/>
  <c r="J57" i="11"/>
  <c r="K57" i="11"/>
  <c r="L57" i="11"/>
  <c r="I58" i="11"/>
  <c r="J58" i="11"/>
  <c r="K58" i="11"/>
  <c r="L58" i="11"/>
  <c r="I59" i="11"/>
  <c r="J59" i="11"/>
  <c r="K59" i="11"/>
  <c r="L59" i="11"/>
  <c r="I60" i="11"/>
  <c r="J60" i="11"/>
  <c r="K60" i="11"/>
  <c r="L60" i="11"/>
  <c r="I61" i="11"/>
  <c r="J61" i="11"/>
  <c r="K61" i="11"/>
  <c r="L61" i="11"/>
  <c r="I62" i="11"/>
  <c r="J62" i="11"/>
  <c r="K62" i="11"/>
  <c r="L62" i="11"/>
  <c r="I63" i="11"/>
  <c r="J63" i="11"/>
  <c r="K63" i="11"/>
  <c r="L63" i="11"/>
  <c r="I64" i="11"/>
  <c r="J64" i="11"/>
  <c r="K64" i="11"/>
  <c r="L64" i="11"/>
  <c r="I65" i="11"/>
  <c r="J65" i="11"/>
  <c r="K65" i="11"/>
  <c r="L65" i="11"/>
  <c r="I66" i="11"/>
  <c r="J66" i="11"/>
  <c r="K66" i="11"/>
  <c r="L66" i="11"/>
  <c r="I67" i="11"/>
  <c r="J67" i="11"/>
  <c r="K67" i="11"/>
  <c r="L67" i="11"/>
  <c r="I68" i="11"/>
  <c r="J68" i="11"/>
  <c r="K68" i="11"/>
  <c r="L68" i="11"/>
  <c r="I69" i="11"/>
  <c r="J69" i="11"/>
  <c r="K69" i="11"/>
  <c r="L69" i="11"/>
  <c r="I70" i="11"/>
  <c r="J70" i="11"/>
  <c r="K70" i="11"/>
  <c r="L70" i="11"/>
  <c r="I71" i="11"/>
  <c r="J71" i="11"/>
  <c r="K71" i="11"/>
  <c r="L71" i="11"/>
  <c r="G72" i="11"/>
  <c r="I72" i="11"/>
  <c r="J72" i="11"/>
  <c r="K72" i="11"/>
  <c r="L72" i="11"/>
  <c r="M72" i="11"/>
  <c r="N72" i="11"/>
  <c r="O72" i="11"/>
  <c r="L2" i="11"/>
  <c r="K2" i="11"/>
  <c r="J2" i="11"/>
  <c r="I2" i="11"/>
  <c r="D2" i="11"/>
  <c r="W6" i="10"/>
  <c r="X6" i="10"/>
  <c r="Y6" i="10"/>
  <c r="Z6" i="10"/>
  <c r="W7" i="10"/>
  <c r="X7" i="10"/>
  <c r="Y7" i="10"/>
  <c r="Z7" i="10"/>
  <c r="W8" i="10"/>
  <c r="X8" i="10"/>
  <c r="Y8" i="10"/>
  <c r="Z8" i="10"/>
  <c r="W9" i="10"/>
  <c r="X9" i="10"/>
  <c r="Y9" i="10"/>
  <c r="Z9" i="10"/>
  <c r="W10" i="10"/>
  <c r="X10" i="10"/>
  <c r="Y10" i="10"/>
  <c r="Z10" i="10"/>
  <c r="W11" i="10"/>
  <c r="X11" i="10"/>
  <c r="Y11" i="10"/>
  <c r="Z11" i="10"/>
  <c r="W12" i="10"/>
  <c r="X12" i="10"/>
  <c r="Y12" i="10"/>
  <c r="Z12" i="10"/>
  <c r="W13" i="10"/>
  <c r="X13" i="10"/>
  <c r="Y13" i="10"/>
  <c r="Z13" i="10"/>
  <c r="W14" i="10"/>
  <c r="X14" i="10"/>
  <c r="Y14" i="10"/>
  <c r="Z14" i="10"/>
  <c r="W15" i="10"/>
  <c r="X15" i="10"/>
  <c r="Y15" i="10"/>
  <c r="Z15" i="10"/>
  <c r="W16" i="10"/>
  <c r="X16" i="10"/>
  <c r="Y16" i="10"/>
  <c r="Z16" i="10"/>
  <c r="W17" i="10"/>
  <c r="X17" i="10"/>
  <c r="Y17" i="10"/>
  <c r="Z17" i="10"/>
  <c r="W18" i="10"/>
  <c r="X18" i="10"/>
  <c r="Y18" i="10"/>
  <c r="Z18" i="10"/>
  <c r="W19" i="10"/>
  <c r="X19" i="10"/>
  <c r="Y19" i="10"/>
  <c r="Z19" i="10"/>
  <c r="W20" i="10"/>
  <c r="X20" i="10"/>
  <c r="Y20" i="10"/>
  <c r="Z20" i="10"/>
  <c r="W21" i="10"/>
  <c r="X21" i="10"/>
  <c r="Y21" i="10"/>
  <c r="Z21" i="10"/>
  <c r="W22" i="10"/>
  <c r="X22" i="10"/>
  <c r="Y22" i="10"/>
  <c r="Z22" i="10"/>
  <c r="W23" i="10"/>
  <c r="X23" i="10"/>
  <c r="Y23" i="10"/>
  <c r="Z23" i="10"/>
  <c r="W24" i="10"/>
  <c r="X24" i="10"/>
  <c r="Y24" i="10"/>
  <c r="Z24" i="10"/>
  <c r="W25" i="10"/>
  <c r="X25" i="10"/>
  <c r="Y25" i="10"/>
  <c r="Z25" i="10"/>
  <c r="W26" i="10"/>
  <c r="X26" i="10"/>
  <c r="Y26" i="10"/>
  <c r="Z26" i="10"/>
  <c r="W27" i="10"/>
  <c r="X27" i="10"/>
  <c r="Y27" i="10"/>
  <c r="Z27" i="10"/>
  <c r="W28" i="10"/>
  <c r="X28" i="10"/>
  <c r="Y28" i="10"/>
  <c r="Z28" i="10"/>
  <c r="W29" i="10"/>
  <c r="X29" i="10"/>
  <c r="Y29" i="10"/>
  <c r="Z29" i="10"/>
  <c r="W30" i="10"/>
  <c r="X30" i="10"/>
  <c r="Y30" i="10"/>
  <c r="Z30" i="10"/>
  <c r="W31" i="10"/>
  <c r="X31" i="10"/>
  <c r="Y31" i="10"/>
  <c r="Z31" i="10"/>
  <c r="W32" i="10"/>
  <c r="X32" i="10"/>
  <c r="Y32" i="10"/>
  <c r="Z32" i="10"/>
  <c r="W33" i="10"/>
  <c r="X33" i="10"/>
  <c r="Y33" i="10"/>
  <c r="Z33" i="10"/>
  <c r="W34" i="10"/>
  <c r="X34" i="10"/>
  <c r="Y34" i="10"/>
  <c r="Z34" i="10"/>
  <c r="W35" i="10"/>
  <c r="X35" i="10"/>
  <c r="Y35" i="10"/>
  <c r="Z35" i="10"/>
  <c r="W36" i="10"/>
  <c r="X36" i="10"/>
  <c r="Y36" i="10"/>
  <c r="Z36" i="10"/>
  <c r="W37" i="10"/>
  <c r="X37" i="10"/>
  <c r="Y37" i="10"/>
  <c r="Z37" i="10"/>
  <c r="W38" i="10"/>
  <c r="X38" i="10"/>
  <c r="Y38" i="10"/>
  <c r="Z38" i="10"/>
  <c r="W39" i="10"/>
  <c r="X39" i="10"/>
  <c r="Y39" i="10"/>
  <c r="Z39" i="10"/>
  <c r="W40" i="10"/>
  <c r="X40" i="10"/>
  <c r="Y40" i="10"/>
  <c r="Z40" i="10"/>
  <c r="W41" i="10"/>
  <c r="X41" i="10"/>
  <c r="Y41" i="10"/>
  <c r="Z41" i="10"/>
  <c r="W42" i="10"/>
  <c r="X42" i="10"/>
  <c r="Y42" i="10"/>
  <c r="Z42" i="10"/>
  <c r="W43" i="10"/>
  <c r="X43" i="10"/>
  <c r="Y43" i="10"/>
  <c r="Z43" i="10"/>
  <c r="W44" i="10"/>
  <c r="X44" i="10"/>
  <c r="Y44" i="10"/>
  <c r="Z44" i="10"/>
  <c r="W45" i="10"/>
  <c r="X45" i="10"/>
  <c r="Y45" i="10"/>
  <c r="Z45" i="10"/>
  <c r="W46" i="10"/>
  <c r="X46" i="10"/>
  <c r="Y46" i="10"/>
  <c r="Z46" i="10"/>
  <c r="W47" i="10"/>
  <c r="X47" i="10"/>
  <c r="Y47" i="10"/>
  <c r="Z47" i="10"/>
  <c r="W48" i="10"/>
  <c r="X48" i="10"/>
  <c r="Y48" i="10"/>
  <c r="Z48" i="10"/>
  <c r="W49" i="10"/>
  <c r="X49" i="10"/>
  <c r="Y49" i="10"/>
  <c r="Z49" i="10"/>
  <c r="W50" i="10"/>
  <c r="X50" i="10"/>
  <c r="Y50" i="10"/>
  <c r="Z50" i="10"/>
  <c r="W51" i="10"/>
  <c r="X51" i="10"/>
  <c r="Y51" i="10"/>
  <c r="Z51" i="10"/>
  <c r="W52" i="10"/>
  <c r="X52" i="10"/>
  <c r="Y52" i="10"/>
  <c r="Z52" i="10"/>
  <c r="W53" i="10"/>
  <c r="X53" i="10"/>
  <c r="Y53" i="10"/>
  <c r="Z53" i="10"/>
  <c r="W54" i="10"/>
  <c r="X54" i="10"/>
  <c r="Y54" i="10"/>
  <c r="Z54" i="10"/>
  <c r="W55" i="10"/>
  <c r="X55" i="10"/>
  <c r="Y55" i="10"/>
  <c r="Z55" i="10"/>
  <c r="W56" i="10"/>
  <c r="X56" i="10"/>
  <c r="Y56" i="10"/>
  <c r="Z56" i="10"/>
  <c r="W57" i="10"/>
  <c r="X57" i="10"/>
  <c r="Y57" i="10"/>
  <c r="Z57" i="10"/>
  <c r="W58" i="10"/>
  <c r="X58" i="10"/>
  <c r="Y58" i="10"/>
  <c r="Z58" i="10"/>
  <c r="W59" i="10"/>
  <c r="X59" i="10"/>
  <c r="Y59" i="10"/>
  <c r="Z59" i="10"/>
  <c r="W60" i="10"/>
  <c r="X60" i="10"/>
  <c r="Y60" i="10"/>
  <c r="Z60" i="10"/>
  <c r="W61" i="10"/>
  <c r="X61" i="10"/>
  <c r="Y61" i="10"/>
  <c r="Z61" i="10"/>
  <c r="W62" i="10"/>
  <c r="X62" i="10"/>
  <c r="Y62" i="10"/>
  <c r="Z62" i="10"/>
  <c r="W63" i="10"/>
  <c r="X63" i="10"/>
  <c r="Y63" i="10"/>
  <c r="Z63" i="10"/>
  <c r="W64" i="10"/>
  <c r="X64" i="10"/>
  <c r="Y64" i="10"/>
  <c r="Z64" i="10"/>
  <c r="W65" i="10"/>
  <c r="X65" i="10"/>
  <c r="Y65" i="10"/>
  <c r="Z65" i="10"/>
  <c r="W66" i="10"/>
  <c r="X66" i="10"/>
  <c r="Y66" i="10"/>
  <c r="Z66" i="10"/>
  <c r="W67" i="10"/>
  <c r="X67" i="10"/>
  <c r="Y67" i="10"/>
  <c r="Z67" i="10"/>
  <c r="W68" i="10"/>
  <c r="X68" i="10"/>
  <c r="Y68" i="10"/>
  <c r="Z68" i="10"/>
  <c r="W69" i="10"/>
  <c r="X69" i="10"/>
  <c r="Y69" i="10"/>
  <c r="Z69" i="10"/>
  <c r="W70" i="10"/>
  <c r="X70" i="10"/>
  <c r="Y70" i="10"/>
  <c r="Z70" i="10"/>
  <c r="W71" i="10"/>
  <c r="X71" i="10"/>
  <c r="Y71" i="10"/>
  <c r="Z71" i="10"/>
  <c r="W72" i="10"/>
  <c r="X72" i="10"/>
  <c r="Y72" i="10"/>
  <c r="Z72" i="10"/>
  <c r="W73" i="10"/>
  <c r="X73" i="10"/>
  <c r="Y73" i="10"/>
  <c r="Z73" i="10"/>
  <c r="W74" i="10"/>
  <c r="X74" i="10"/>
  <c r="Y74" i="10"/>
  <c r="Z74" i="10"/>
  <c r="W75" i="10"/>
  <c r="X75" i="10"/>
  <c r="Y75" i="10"/>
  <c r="Z75" i="10"/>
  <c r="Z5" i="10"/>
  <c r="Y5" i="10"/>
  <c r="X5" i="10"/>
  <c r="W5" i="10"/>
  <c r="Q39" i="10"/>
  <c r="C36" i="11" s="1"/>
  <c r="P75" i="10"/>
  <c r="B72" i="11" s="1"/>
  <c r="Q75" i="10"/>
  <c r="C72" i="11" s="1"/>
  <c r="R75" i="10"/>
  <c r="D72" i="11" s="1"/>
  <c r="S75" i="10"/>
  <c r="E72" i="11" s="1"/>
  <c r="T75" i="10"/>
  <c r="F72" i="11" s="1"/>
  <c r="U75" i="10"/>
  <c r="V75" i="10"/>
  <c r="H72" i="11" s="1"/>
  <c r="AA75" i="10"/>
  <c r="AB75" i="10"/>
  <c r="AC75" i="10"/>
  <c r="R5" i="10"/>
  <c r="Q5" i="10"/>
  <c r="C2" i="11" s="1"/>
  <c r="AO3" i="2" a="1"/>
  <c r="AO3" i="2" s="1"/>
  <c r="AP3" i="2" a="1"/>
  <c r="AP3" i="2" s="1"/>
  <c r="AO33" i="2" a="1"/>
  <c r="AO33" i="2" s="1"/>
  <c r="Q36" i="10" s="1"/>
  <c r="C33" i="11" s="1"/>
  <c r="AO34" i="2" a="1"/>
  <c r="AO34" i="2" s="1"/>
  <c r="Q37" i="10" s="1"/>
  <c r="C34" i="11" s="1"/>
  <c r="AO35" i="2" a="1"/>
  <c r="AO35" i="2" s="1"/>
  <c r="Q38" i="10" s="1"/>
  <c r="C35" i="11" s="1"/>
  <c r="AO36" i="2" a="1"/>
  <c r="AO36" i="2" s="1"/>
  <c r="AO37" i="2" s="1" a="1"/>
  <c r="AO37" i="2" s="1"/>
  <c r="AK2" i="2" a="1"/>
  <c r="AK2" i="2" s="1"/>
  <c r="AL2" i="2" a="1"/>
  <c r="AL2" i="2" s="1"/>
  <c r="AL3" i="2" s="1" a="1"/>
  <c r="AL3" i="2" s="1"/>
  <c r="AL4" i="2" s="1" a="1"/>
  <c r="AL4" i="2" s="1"/>
  <c r="AL5" i="2" s="1" a="1"/>
  <c r="AL5" i="2" s="1"/>
  <c r="AL6" i="2" s="1" a="1"/>
  <c r="AL6" i="2" s="1"/>
  <c r="AL7" i="2" s="1" a="1"/>
  <c r="AL7" i="2" s="1"/>
  <c r="AL8" i="2" s="1" a="1"/>
  <c r="AL8" i="2" s="1"/>
  <c r="AL9" i="2" s="1" a="1"/>
  <c r="AL9" i="2" s="1"/>
  <c r="AL10" i="2" s="1" a="1"/>
  <c r="AL10" i="2" s="1"/>
  <c r="AL11" i="2" s="1" a="1"/>
  <c r="AL11" i="2" s="1"/>
  <c r="AL12" i="2" s="1" a="1"/>
  <c r="AL12" i="2" s="1"/>
  <c r="AL13" i="2" s="1" a="1"/>
  <c r="AL13" i="2" s="1"/>
  <c r="AL14" i="2" s="1" a="1"/>
  <c r="AL14" i="2" s="1"/>
  <c r="AL15" i="2" s="1" a="1"/>
  <c r="AL15" i="2" s="1"/>
  <c r="AL16" i="2" s="1" a="1"/>
  <c r="AL16" i="2" s="1"/>
  <c r="AL17" i="2" s="1" a="1"/>
  <c r="AL17" i="2" s="1"/>
  <c r="AL18" i="2" s="1" a="1"/>
  <c r="AL18" i="2" s="1"/>
  <c r="AL19" i="2" s="1" a="1"/>
  <c r="AL19" i="2" s="1"/>
  <c r="AL20" i="2" s="1" a="1"/>
  <c r="AL20" i="2" s="1"/>
  <c r="AL21" i="2" s="1" a="1"/>
  <c r="AL21" i="2" s="1"/>
  <c r="AL22" i="2" s="1" a="1"/>
  <c r="AL22" i="2" s="1"/>
  <c r="AL23" i="2" s="1" a="1"/>
  <c r="AL23" i="2" s="1"/>
  <c r="AL24" i="2" s="1" a="1"/>
  <c r="AL24" i="2" s="1"/>
  <c r="AL25" i="2" s="1" a="1"/>
  <c r="AL25" i="2" s="1"/>
  <c r="AL26" i="2" s="1" a="1"/>
  <c r="AL26" i="2" s="1"/>
  <c r="AL27" i="2" s="1" a="1"/>
  <c r="AL27" i="2" s="1"/>
  <c r="AL28" i="2" s="1" a="1"/>
  <c r="AL28" i="2" s="1"/>
  <c r="AL29" i="2" s="1" a="1"/>
  <c r="AL29" i="2" s="1"/>
  <c r="AL30" i="2" s="1" a="1"/>
  <c r="AL30" i="2" s="1"/>
  <c r="AL31" i="2" s="1" a="1"/>
  <c r="AL31" i="2" s="1"/>
  <c r="AL32" i="2" s="1" a="1"/>
  <c r="AL32" i="2" s="1"/>
  <c r="AL33" i="2" s="1" a="1"/>
  <c r="AL33" i="2" s="1"/>
  <c r="AL34" i="2" s="1" a="1"/>
  <c r="AL34" i="2" s="1"/>
  <c r="AL35" i="2" s="1" a="1"/>
  <c r="AL35" i="2" s="1"/>
  <c r="AL36" i="2" s="1" a="1"/>
  <c r="AL36" i="2" s="1"/>
  <c r="AL37" i="2" s="1" a="1"/>
  <c r="AL37" i="2" s="1"/>
  <c r="AL38" i="2" s="1" a="1"/>
  <c r="AL38" i="2" s="1"/>
  <c r="AL39" i="2" s="1" a="1"/>
  <c r="AL39" i="2" s="1"/>
  <c r="AL40" i="2" s="1" a="1"/>
  <c r="AL40" i="2" s="1"/>
  <c r="AL41" i="2" s="1" a="1"/>
  <c r="AL41" i="2" s="1"/>
  <c r="AL42" i="2" s="1" a="1"/>
  <c r="AL42" i="2" s="1"/>
  <c r="AL43" i="2" s="1" a="1"/>
  <c r="AL43" i="2" s="1"/>
  <c r="AL44" i="2" s="1" a="1"/>
  <c r="AL44" i="2" s="1"/>
  <c r="AL45" i="2" s="1" a="1"/>
  <c r="AL45" i="2" s="1"/>
  <c r="AL46" i="2" s="1" a="1"/>
  <c r="AL46" i="2" s="1"/>
  <c r="AL47" i="2" s="1" a="1"/>
  <c r="AL47" i="2" s="1"/>
  <c r="AL48" i="2" s="1" a="1"/>
  <c r="AL48" i="2" s="1"/>
  <c r="AL49" i="2" s="1" a="1"/>
  <c r="AL49" i="2" s="1"/>
  <c r="AL50" i="2" s="1" a="1"/>
  <c r="AL50" i="2" s="1"/>
  <c r="AL51" i="2" s="1" a="1"/>
  <c r="AL51" i="2" s="1"/>
  <c r="AL52" i="2" s="1" a="1"/>
  <c r="AL52" i="2" s="1"/>
  <c r="AL53" i="2" s="1" a="1"/>
  <c r="AL53" i="2" s="1"/>
  <c r="AL54" i="2" s="1" a="1"/>
  <c r="AL54" i="2" s="1"/>
  <c r="AL55" i="2" s="1" a="1"/>
  <c r="AL55" i="2" s="1"/>
  <c r="AL56" i="2" s="1" a="1"/>
  <c r="AL56" i="2" s="1"/>
  <c r="AL57" i="2" s="1" a="1"/>
  <c r="AL57" i="2" s="1"/>
  <c r="AL58" i="2" s="1" a="1"/>
  <c r="AL58" i="2" s="1"/>
  <c r="AL59" i="2" s="1" a="1"/>
  <c r="AL59" i="2" s="1"/>
  <c r="AL60" i="2" s="1" a="1"/>
  <c r="AL60" i="2" s="1"/>
  <c r="AL61" i="2" s="1" a="1"/>
  <c r="AL61" i="2" s="1"/>
  <c r="AL62" i="2" s="1" a="1"/>
  <c r="AL62" i="2" s="1"/>
  <c r="AL63" i="2" s="1" a="1"/>
  <c r="AL63" i="2" s="1"/>
  <c r="AL64" i="2" s="1" a="1"/>
  <c r="AL64" i="2" s="1"/>
  <c r="AL65" i="2" s="1" a="1"/>
  <c r="AL65" i="2" s="1"/>
  <c r="AL66" i="2" s="1" a="1"/>
  <c r="AL66" i="2" s="1"/>
  <c r="AL67" i="2" s="1" a="1"/>
  <c r="AL67" i="2" s="1"/>
  <c r="AL68" i="2" s="1" a="1"/>
  <c r="AL68" i="2" s="1"/>
  <c r="AL69" i="2" s="1" a="1"/>
  <c r="AL69" i="2" s="1"/>
  <c r="AL70" i="2" s="1" a="1"/>
  <c r="AL70" i="2" s="1"/>
  <c r="AL71" i="2" s="1" a="1"/>
  <c r="AL71" i="2" s="1"/>
  <c r="AM2" i="2" a="1"/>
  <c r="AM2" i="2" s="1"/>
  <c r="AN2" i="2" a="1"/>
  <c r="AN2" i="2" s="1"/>
  <c r="AO2" i="2" a="1"/>
  <c r="AO2" i="2" s="1"/>
  <c r="AP2" i="2" a="1"/>
  <c r="AP2" i="2" s="1"/>
  <c r="AC5" i="10" s="1"/>
  <c r="O2" i="11" s="1"/>
  <c r="AJ2" i="2" a="1"/>
  <c r="AJ2" i="2" s="1"/>
  <c r="Y1" i="2"/>
  <c r="Q17" i="2"/>
  <c r="Q1" i="2"/>
  <c r="I17" i="2"/>
  <c r="I1" i="2"/>
  <c r="A17" i="2"/>
  <c r="A1" i="2"/>
  <c r="B15" i="13"/>
  <c r="B14" i="13"/>
  <c r="B13" i="13"/>
  <c r="B10" i="13"/>
  <c r="B11" i="13"/>
  <c r="B12" i="13"/>
  <c r="B9" i="13"/>
  <c r="B8" i="13"/>
  <c r="B5" i="13"/>
  <c r="B6" i="13"/>
  <c r="B7" i="13"/>
  <c r="B4" i="13"/>
  <c r="B3" i="13"/>
  <c r="B2" i="13"/>
  <c r="F23" i="13"/>
  <c r="G23" i="13"/>
  <c r="H23" i="13"/>
  <c r="I23" i="13"/>
  <c r="J23" i="13"/>
  <c r="K23" i="13"/>
  <c r="E23" i="13"/>
  <c r="E10" i="13"/>
  <c r="F10" i="13"/>
  <c r="G10" i="13"/>
  <c r="H10" i="13"/>
  <c r="I10" i="13"/>
  <c r="J10" i="13"/>
  <c r="K10" i="13"/>
  <c r="E11" i="13"/>
  <c r="F11" i="13"/>
  <c r="G11" i="13"/>
  <c r="H11" i="13"/>
  <c r="I11" i="13"/>
  <c r="J11" i="13"/>
  <c r="K11" i="13"/>
  <c r="E12" i="13"/>
  <c r="F12" i="13"/>
  <c r="G12" i="13"/>
  <c r="H12" i="13"/>
  <c r="I12" i="13"/>
  <c r="J12" i="13"/>
  <c r="K12" i="13"/>
  <c r="E13" i="13"/>
  <c r="F13" i="13"/>
  <c r="G13" i="13"/>
  <c r="H13" i="13"/>
  <c r="I13" i="13"/>
  <c r="J13" i="13"/>
  <c r="K13" i="13"/>
  <c r="E14" i="13"/>
  <c r="F14" i="13"/>
  <c r="G14" i="13"/>
  <c r="H14" i="13"/>
  <c r="I14" i="13"/>
  <c r="J14" i="13"/>
  <c r="K14" i="13"/>
  <c r="E15" i="13"/>
  <c r="F15" i="13"/>
  <c r="G15" i="13"/>
  <c r="H15" i="13"/>
  <c r="I15" i="13"/>
  <c r="J15" i="13"/>
  <c r="K15" i="13"/>
  <c r="E16" i="13"/>
  <c r="F16" i="13"/>
  <c r="G16" i="13"/>
  <c r="H16" i="13"/>
  <c r="I16" i="13"/>
  <c r="J16" i="13"/>
  <c r="K16" i="13"/>
  <c r="E17" i="13"/>
  <c r="F17" i="13"/>
  <c r="G17" i="13"/>
  <c r="H17" i="13"/>
  <c r="I17" i="13"/>
  <c r="J17" i="13"/>
  <c r="K17" i="13"/>
  <c r="E18" i="13"/>
  <c r="F18" i="13"/>
  <c r="G18" i="13"/>
  <c r="H18" i="13"/>
  <c r="I18" i="13"/>
  <c r="J18" i="13"/>
  <c r="K18" i="13"/>
  <c r="E19" i="13"/>
  <c r="F19" i="13"/>
  <c r="G19" i="13"/>
  <c r="H19" i="13"/>
  <c r="I19" i="13"/>
  <c r="J19" i="13"/>
  <c r="K19" i="13"/>
  <c r="E20" i="13"/>
  <c r="F20" i="13"/>
  <c r="G20" i="13"/>
  <c r="H20" i="13"/>
  <c r="I20" i="13"/>
  <c r="J20" i="13"/>
  <c r="K20" i="13"/>
  <c r="E21" i="13"/>
  <c r="F21" i="13"/>
  <c r="G21" i="13"/>
  <c r="H21" i="13"/>
  <c r="I21" i="13"/>
  <c r="J21" i="13"/>
  <c r="K21" i="13"/>
  <c r="E22" i="13"/>
  <c r="F22" i="13"/>
  <c r="G22" i="13"/>
  <c r="H22" i="13"/>
  <c r="I22" i="13"/>
  <c r="J22" i="13"/>
  <c r="K22" i="13"/>
  <c r="F9" i="13"/>
  <c r="G9" i="13"/>
  <c r="H9" i="13"/>
  <c r="I9" i="13"/>
  <c r="J9" i="13"/>
  <c r="K9" i="13"/>
  <c r="E9" i="13"/>
  <c r="D3" i="13"/>
  <c r="D4" i="13"/>
  <c r="D5" i="13"/>
  <c r="D6" i="13"/>
  <c r="D7" i="13"/>
  <c r="D8" i="13"/>
  <c r="D9" i="13"/>
  <c r="D10" i="13"/>
  <c r="D11" i="13"/>
  <c r="D12" i="13"/>
  <c r="D13" i="13"/>
  <c r="D14" i="13"/>
  <c r="D15" i="13"/>
  <c r="D16" i="13"/>
  <c r="D17" i="13"/>
  <c r="D18" i="13"/>
  <c r="D19" i="13"/>
  <c r="D20" i="13"/>
  <c r="D21" i="13"/>
  <c r="D22" i="13"/>
  <c r="D23" i="13"/>
  <c r="V17" i="13"/>
  <c r="V18" i="13"/>
  <c r="V19" i="13"/>
  <c r="V20" i="13"/>
  <c r="V21" i="13"/>
  <c r="V22" i="13"/>
  <c r="V23" i="13"/>
  <c r="V24" i="13"/>
  <c r="D24" i="13" s="1"/>
  <c r="B3" i="17"/>
  <c r="B4" i="17"/>
  <c r="B5" i="17"/>
  <c r="B6" i="17"/>
  <c r="B7" i="17"/>
  <c r="B8" i="17"/>
  <c r="B9" i="17"/>
  <c r="B10" i="17"/>
  <c r="B11" i="17"/>
  <c r="B12" i="17"/>
  <c r="B13" i="17"/>
  <c r="B14" i="17"/>
  <c r="B15" i="17"/>
  <c r="B2" i="17"/>
  <c r="N6" i="1"/>
  <c r="N7" i="1"/>
  <c r="N8" i="1"/>
  <c r="N9" i="1"/>
  <c r="N10" i="1"/>
  <c r="N11" i="1"/>
  <c r="N12" i="1"/>
  <c r="M6" i="1"/>
  <c r="M7" i="1"/>
  <c r="M8" i="1"/>
  <c r="M9" i="1"/>
  <c r="M10" i="1"/>
  <c r="M11" i="1"/>
  <c r="M12" i="1"/>
  <c r="L6" i="1"/>
  <c r="L7" i="1"/>
  <c r="L8" i="1"/>
  <c r="L9" i="1"/>
  <c r="L10" i="1"/>
  <c r="L11" i="1"/>
  <c r="L12" i="1"/>
  <c r="K6" i="1"/>
  <c r="K7" i="1"/>
  <c r="K8" i="1"/>
  <c r="K9" i="1"/>
  <c r="K10" i="1"/>
  <c r="K11" i="1"/>
  <c r="K12" i="1"/>
  <c r="K5" i="1"/>
  <c r="B8" i="9"/>
  <c r="L5" i="5"/>
  <c r="M5" i="5"/>
  <c r="N5" i="5"/>
  <c r="U20" i="18" l="1"/>
  <c r="S33" i="18"/>
  <c r="W32" i="18"/>
  <c r="V32" i="18"/>
  <c r="U32" i="18"/>
  <c r="U30" i="18"/>
  <c r="W13" i="18"/>
  <c r="V41" i="18"/>
  <c r="V13" i="18"/>
  <c r="U41" i="18"/>
  <c r="U13" i="18"/>
  <c r="V40" i="18"/>
  <c r="T13" i="18"/>
  <c r="U40" i="18"/>
  <c r="U33" i="18"/>
  <c r="W12" i="18"/>
  <c r="T33" i="18"/>
  <c r="V12" i="18"/>
  <c r="V18" i="18"/>
  <c r="S38" i="18"/>
  <c r="U18" i="18"/>
  <c r="U12" i="18"/>
  <c r="W37" i="18"/>
  <c r="V30" i="18"/>
  <c r="T18" i="18"/>
  <c r="T30" i="18"/>
  <c r="D37" i="18"/>
  <c r="E37" i="18" s="1"/>
  <c r="U36" i="18"/>
  <c r="V29" i="18"/>
  <c r="T17" i="18"/>
  <c r="S10" i="18"/>
  <c r="W17" i="18"/>
  <c r="V34" i="18"/>
  <c r="U29" i="18"/>
  <c r="V16" i="18"/>
  <c r="W9" i="18"/>
  <c r="T38" i="18"/>
  <c r="V37" i="18"/>
  <c r="V10" i="18"/>
  <c r="S30" i="18"/>
  <c r="W29" i="18"/>
  <c r="V42" i="18"/>
  <c r="U34" i="18"/>
  <c r="T29" i="18"/>
  <c r="U16" i="18"/>
  <c r="V9" i="18"/>
  <c r="V38" i="18"/>
  <c r="U38" i="18"/>
  <c r="U10" i="18"/>
  <c r="U42" i="18"/>
  <c r="T34" i="18"/>
  <c r="V14" i="18"/>
  <c r="U9" i="18"/>
  <c r="V17" i="18"/>
  <c r="V36" i="18"/>
  <c r="T42" i="18"/>
  <c r="S34" i="18"/>
  <c r="U26" i="18"/>
  <c r="U14" i="18"/>
  <c r="T9" i="18"/>
  <c r="S18" i="18"/>
  <c r="T10" i="18"/>
  <c r="S42" i="18"/>
  <c r="W33" i="18"/>
  <c r="U22" i="18"/>
  <c r="T14" i="18"/>
  <c r="U37" i="18"/>
  <c r="T37" i="18"/>
  <c r="U17" i="18"/>
  <c r="W41" i="18"/>
  <c r="T22" i="18"/>
  <c r="S14" i="18"/>
  <c r="U6" i="18"/>
  <c r="V26" i="18"/>
  <c r="V22" i="18"/>
  <c r="V6" i="18"/>
  <c r="U4" i="18"/>
  <c r="T41" i="18"/>
  <c r="T5" i="18"/>
  <c r="T4" i="18"/>
  <c r="S25" i="18"/>
  <c r="S21" i="18"/>
  <c r="S5" i="18"/>
  <c r="W44" i="18"/>
  <c r="W40" i="18"/>
  <c r="W36" i="18"/>
  <c r="W28" i="18"/>
  <c r="W24" i="18"/>
  <c r="W20" i="18"/>
  <c r="W16" i="18"/>
  <c r="W8" i="18"/>
  <c r="S44" i="18"/>
  <c r="S40" i="18"/>
  <c r="S20" i="18"/>
  <c r="S8" i="18"/>
  <c r="T26" i="18"/>
  <c r="T25" i="18"/>
  <c r="V44" i="18"/>
  <c r="V24" i="18"/>
  <c r="T24" i="18"/>
  <c r="S16" i="18"/>
  <c r="W43" i="18"/>
  <c r="W39" i="18"/>
  <c r="W35" i="18"/>
  <c r="W31" i="18"/>
  <c r="W27" i="18"/>
  <c r="W23" i="18"/>
  <c r="W19" i="18"/>
  <c r="W15" i="18"/>
  <c r="W11" i="18"/>
  <c r="W7" i="18"/>
  <c r="S4" i="18"/>
  <c r="U25" i="18"/>
  <c r="U5" i="18"/>
  <c r="U24" i="18"/>
  <c r="V43" i="18"/>
  <c r="V39" i="18"/>
  <c r="V35" i="18"/>
  <c r="V31" i="18"/>
  <c r="V27" i="18"/>
  <c r="V23" i="18"/>
  <c r="V19" i="18"/>
  <c r="V15" i="18"/>
  <c r="V11" i="18"/>
  <c r="V7" i="18"/>
  <c r="V25" i="18"/>
  <c r="T44" i="18"/>
  <c r="T28" i="18"/>
  <c r="T8" i="18"/>
  <c r="U43" i="18"/>
  <c r="U39" i="18"/>
  <c r="U35" i="18"/>
  <c r="U31" i="18"/>
  <c r="U27" i="18"/>
  <c r="U23" i="18"/>
  <c r="U19" i="18"/>
  <c r="U15" i="18"/>
  <c r="U11" i="18"/>
  <c r="U7" i="18"/>
  <c r="T6" i="18"/>
  <c r="S26" i="18"/>
  <c r="V28" i="18"/>
  <c r="V8" i="18"/>
  <c r="U28" i="18"/>
  <c r="T43" i="18"/>
  <c r="T39" i="18"/>
  <c r="T35" i="18"/>
  <c r="T31" i="18"/>
  <c r="T27" i="18"/>
  <c r="T23" i="18"/>
  <c r="T19" i="18"/>
  <c r="T15" i="18"/>
  <c r="T11" i="18"/>
  <c r="T7" i="18"/>
  <c r="Z2" i="18" s="1"/>
  <c r="V5" i="18"/>
  <c r="V4" i="18"/>
  <c r="S36" i="18"/>
  <c r="S6" i="18"/>
  <c r="AJ3" i="2" a="1"/>
  <c r="AJ3" i="2" s="1"/>
  <c r="V5" i="10"/>
  <c r="H2" i="11" s="1"/>
  <c r="P5" i="10"/>
  <c r="B2" i="11" s="1"/>
  <c r="AN3" i="2" a="1"/>
  <c r="AN3" i="2" s="1"/>
  <c r="U5" i="10"/>
  <c r="G2" i="11" s="1"/>
  <c r="T5" i="10"/>
  <c r="F2" i="11" s="1"/>
  <c r="S5" i="10"/>
  <c r="E2" i="11" s="1"/>
  <c r="AM3" i="2" a="1"/>
  <c r="AM3" i="2" s="1"/>
  <c r="U6" i="10" s="1"/>
  <c r="G3" i="11" s="1"/>
  <c r="AK3" i="2" a="1"/>
  <c r="AK3" i="2" s="1"/>
  <c r="AB5" i="10"/>
  <c r="N2" i="11" s="1"/>
  <c r="AA5" i="10"/>
  <c r="M2" i="11" s="1"/>
  <c r="AO38" i="2" a="1"/>
  <c r="AO38" i="2" s="1"/>
  <c r="Q40" i="10"/>
  <c r="C37" i="11" s="1"/>
  <c r="AP4" i="2" a="1"/>
  <c r="AP4" i="2" s="1"/>
  <c r="AC6" i="10"/>
  <c r="O3" i="11" s="1"/>
  <c r="AO4" i="2" a="1"/>
  <c r="AO4" i="2" s="1"/>
  <c r="Q6" i="10"/>
  <c r="C3" i="11" s="1"/>
  <c r="AD75" i="10"/>
  <c r="T4" i="15"/>
  <c r="U4" i="15" s="1"/>
  <c r="C4" i="15"/>
  <c r="G4" i="15"/>
  <c r="H4" i="15" s="1"/>
  <c r="F4" i="15"/>
  <c r="D4" i="15"/>
  <c r="E4" i="15" s="1"/>
  <c r="J4" i="15"/>
  <c r="M4" i="15"/>
  <c r="N4" i="15" s="1"/>
  <c r="O4" i="15" s="1"/>
  <c r="P4" i="15" s="1"/>
  <c r="Q4" i="15" s="1"/>
  <c r="R4" i="15" s="1"/>
  <c r="K4" i="15"/>
  <c r="L4" i="15" s="1"/>
  <c r="I4" i="15"/>
  <c r="S4" i="15"/>
  <c r="B4" i="15"/>
  <c r="AB2" i="17"/>
  <c r="X4" i="15" s="1"/>
  <c r="AA2" i="17"/>
  <c r="W4" i="15" s="1"/>
  <c r="Z2" i="17"/>
  <c r="V4" i="15" s="1"/>
  <c r="Y2" i="17"/>
  <c r="R2" i="17"/>
  <c r="S2" i="17" s="1"/>
  <c r="T2" i="17" s="1"/>
  <c r="U2" i="17" s="1"/>
  <c r="V2" i="17" s="1"/>
  <c r="P2" i="17"/>
  <c r="L2" i="17"/>
  <c r="I2" i="17"/>
  <c r="C3" i="15"/>
  <c r="F7" i="16"/>
  <c r="F3" i="16"/>
  <c r="B3" i="15" s="1"/>
  <c r="B2" i="15"/>
  <c r="I12" i="14"/>
  <c r="B15" i="14" s="1"/>
  <c r="C2" i="15" s="1"/>
  <c r="I11" i="14"/>
  <c r="B14" i="14" s="1"/>
  <c r="G2" i="15" s="1"/>
  <c r="H2" i="15" s="1"/>
  <c r="I10" i="14"/>
  <c r="B13" i="14" s="1"/>
  <c r="F2" i="15" s="1"/>
  <c r="I9" i="14"/>
  <c r="B8" i="14" s="1"/>
  <c r="D2" i="15" s="1"/>
  <c r="E2" i="15" s="1"/>
  <c r="I8" i="14"/>
  <c r="B12" i="14" s="1"/>
  <c r="W2" i="15" s="1"/>
  <c r="I6" i="14"/>
  <c r="I5" i="14"/>
  <c r="B3" i="14" s="1"/>
  <c r="Z9" i="18" l="1"/>
  <c r="Z29" i="18"/>
  <c r="Z43" i="18"/>
  <c r="Z12" i="18"/>
  <c r="Z32" i="18"/>
  <c r="Z13" i="18"/>
  <c r="Z36" i="18"/>
  <c r="Z15" i="18"/>
  <c r="Z35" i="18"/>
  <c r="Z11" i="18"/>
  <c r="Z23" i="18"/>
  <c r="Z18" i="18"/>
  <c r="Z38" i="18"/>
  <c r="Z16" i="18"/>
  <c r="Z28" i="18"/>
  <c r="Z31" i="18"/>
  <c r="Z34" i="18"/>
  <c r="Z21" i="18"/>
  <c r="Z41" i="18"/>
  <c r="Z20" i="18"/>
  <c r="Z24" i="18"/>
  <c r="Z44" i="18"/>
  <c r="Z14" i="18"/>
  <c r="Z27" i="18"/>
  <c r="Z10" i="18"/>
  <c r="Z30" i="18"/>
  <c r="Z33" i="18"/>
  <c r="Z37" i="18"/>
  <c r="Z19" i="18"/>
  <c r="Z39" i="18"/>
  <c r="Z22" i="18"/>
  <c r="Z42" i="18"/>
  <c r="Z25" i="18"/>
  <c r="Z17" i="18"/>
  <c r="Z40" i="18"/>
  <c r="Z8" i="18"/>
  <c r="Z26" i="18"/>
  <c r="AC2" i="18"/>
  <c r="AD2" i="18"/>
  <c r="AE2" i="18"/>
  <c r="AF2" i="18"/>
  <c r="AA2" i="18"/>
  <c r="AB2" i="18"/>
  <c r="AD5" i="10"/>
  <c r="AO5" i="2" a="1"/>
  <c r="AO5" i="2" s="1"/>
  <c r="Q8" i="10" s="1"/>
  <c r="C5" i="11" s="1"/>
  <c r="Q7" i="10"/>
  <c r="C4" i="11" s="1"/>
  <c r="AP5" i="2" a="1"/>
  <c r="AP5" i="2" s="1"/>
  <c r="AC7" i="10"/>
  <c r="O4" i="11" s="1"/>
  <c r="AO39" i="2" a="1"/>
  <c r="AO39" i="2" s="1"/>
  <c r="Q41" i="10"/>
  <c r="C38" i="11" s="1"/>
  <c r="AK4" i="2" a="1"/>
  <c r="AK4" i="2" s="1"/>
  <c r="AA6" i="10"/>
  <c r="M3" i="11" s="1"/>
  <c r="AB6" i="10"/>
  <c r="N3" i="11" s="1"/>
  <c r="AM4" i="2" a="1"/>
  <c r="AM4" i="2" s="1"/>
  <c r="R7" i="10" s="1"/>
  <c r="D4" i="11" s="1"/>
  <c r="R6" i="10"/>
  <c r="D3" i="11" s="1"/>
  <c r="S6" i="10"/>
  <c r="E3" i="11" s="1"/>
  <c r="T6" i="10"/>
  <c r="F3" i="11" s="1"/>
  <c r="AN4" i="2" a="1"/>
  <c r="AN4" i="2" s="1"/>
  <c r="P6" i="10"/>
  <c r="B3" i="11" s="1"/>
  <c r="AJ4" i="2" a="1"/>
  <c r="AJ4" i="2" s="1"/>
  <c r="V6" i="10"/>
  <c r="H3" i="11" s="1"/>
  <c r="B2" i="14"/>
  <c r="S2" i="15" s="1"/>
  <c r="B5" i="14"/>
  <c r="K2" i="15" s="1"/>
  <c r="L2" i="15" s="1"/>
  <c r="B4" i="14"/>
  <c r="I2" i="15" s="1"/>
  <c r="B6" i="14"/>
  <c r="M2" i="15" s="1"/>
  <c r="N2" i="15" s="1"/>
  <c r="O2" i="15" s="1"/>
  <c r="P2" i="15" s="1"/>
  <c r="Q2" i="15" s="1"/>
  <c r="R2" i="15" s="1"/>
  <c r="B7" i="14"/>
  <c r="J2" i="15" s="1"/>
  <c r="B9" i="14"/>
  <c r="T2" i="15" s="1"/>
  <c r="U2" i="15" s="1"/>
  <c r="B10" i="14"/>
  <c r="V2" i="15" s="1"/>
  <c r="B11" i="14"/>
  <c r="X2" i="15" s="1"/>
  <c r="AO6" i="2" l="1" a="1"/>
  <c r="AO6" i="2" s="1"/>
  <c r="Q9" i="10" s="1"/>
  <c r="C6" i="11" s="1"/>
  <c r="AD17" i="18"/>
  <c r="AD37" i="18"/>
  <c r="AD11" i="18"/>
  <c r="AD20" i="18"/>
  <c r="AD40" i="18"/>
  <c r="AD24" i="18"/>
  <c r="AD44" i="18"/>
  <c r="AD23" i="18"/>
  <c r="AD43" i="18"/>
  <c r="AD39" i="18"/>
  <c r="AD25" i="18"/>
  <c r="AD26" i="18"/>
  <c r="AD21" i="18"/>
  <c r="AD41" i="18"/>
  <c r="AD36" i="18"/>
  <c r="AD31" i="18"/>
  <c r="AD9" i="18"/>
  <c r="AD29" i="18"/>
  <c r="AD22" i="18"/>
  <c r="AD12" i="18"/>
  <c r="AD32" i="18"/>
  <c r="AD19" i="18"/>
  <c r="AD8" i="18"/>
  <c r="AD15" i="18"/>
  <c r="AD35" i="18"/>
  <c r="AD18" i="18"/>
  <c r="AD38" i="18"/>
  <c r="AD16" i="18"/>
  <c r="AD27" i="18"/>
  <c r="AD10" i="18"/>
  <c r="AD30" i="18"/>
  <c r="AD13" i="18"/>
  <c r="AD33" i="18"/>
  <c r="AD42" i="18"/>
  <c r="AD28" i="18"/>
  <c r="AD14" i="18"/>
  <c r="AD34" i="18"/>
  <c r="AC20" i="18"/>
  <c r="AC40" i="18"/>
  <c r="AC42" i="18"/>
  <c r="AC28" i="18"/>
  <c r="AC34" i="18"/>
  <c r="AC23" i="18"/>
  <c r="AC43" i="18"/>
  <c r="AC11" i="18"/>
  <c r="AC31" i="18"/>
  <c r="AC26" i="18"/>
  <c r="AC24" i="18"/>
  <c r="AC44" i="18"/>
  <c r="AC27" i="18"/>
  <c r="AC19" i="18"/>
  <c r="AC39" i="18"/>
  <c r="AC25" i="18"/>
  <c r="AC9" i="18"/>
  <c r="AC29" i="18"/>
  <c r="AC14" i="18"/>
  <c r="AC12" i="18"/>
  <c r="AC32" i="18"/>
  <c r="AC22" i="18"/>
  <c r="AC15" i="18"/>
  <c r="AC35" i="18"/>
  <c r="AC8" i="18"/>
  <c r="AC18" i="18"/>
  <c r="AC38" i="18"/>
  <c r="AC21" i="18"/>
  <c r="AC41" i="18"/>
  <c r="AC10" i="18"/>
  <c r="AC30" i="18"/>
  <c r="AC13" i="18"/>
  <c r="AC33" i="18"/>
  <c r="AC16" i="18"/>
  <c r="AC36" i="18"/>
  <c r="AC17" i="18"/>
  <c r="AC37" i="18"/>
  <c r="AE14" i="18"/>
  <c r="AE34" i="18"/>
  <c r="AE18" i="18"/>
  <c r="AE38" i="18"/>
  <c r="AE21" i="18"/>
  <c r="AE33" i="18"/>
  <c r="AE16" i="18"/>
  <c r="AE22" i="18"/>
  <c r="AE8" i="18"/>
  <c r="AE28" i="18"/>
  <c r="AE17" i="18"/>
  <c r="AE37" i="18"/>
  <c r="AE36" i="18"/>
  <c r="AE39" i="18"/>
  <c r="AE20" i="18"/>
  <c r="AE40" i="18"/>
  <c r="AE42" i="18"/>
  <c r="AE25" i="18"/>
  <c r="AE23" i="18"/>
  <c r="AE43" i="18"/>
  <c r="AE13" i="18"/>
  <c r="AE19" i="18"/>
  <c r="AE26" i="18"/>
  <c r="AE9" i="18"/>
  <c r="AE29" i="18"/>
  <c r="AE41" i="18"/>
  <c r="AE12" i="18"/>
  <c r="AE32" i="18"/>
  <c r="AE15" i="18"/>
  <c r="AE35" i="18"/>
  <c r="AE24" i="18"/>
  <c r="AE44" i="18"/>
  <c r="AE27" i="18"/>
  <c r="AE10" i="18"/>
  <c r="AE30" i="18"/>
  <c r="AE11" i="18"/>
  <c r="AE31" i="18"/>
  <c r="AA26" i="18"/>
  <c r="AA11" i="18"/>
  <c r="AA34" i="18"/>
  <c r="AA9" i="18"/>
  <c r="AA29" i="18"/>
  <c r="AA30" i="18"/>
  <c r="AA12" i="18"/>
  <c r="AA32" i="18"/>
  <c r="AA14" i="18"/>
  <c r="AA15" i="18"/>
  <c r="AA35" i="18"/>
  <c r="AA33" i="18"/>
  <c r="AA17" i="18"/>
  <c r="AA18" i="18"/>
  <c r="AA38" i="18"/>
  <c r="AA21" i="18"/>
  <c r="AA41" i="18"/>
  <c r="AA13" i="18"/>
  <c r="AA25" i="18"/>
  <c r="AA40" i="18"/>
  <c r="AA24" i="18"/>
  <c r="AA44" i="18"/>
  <c r="AA27" i="18"/>
  <c r="AA10" i="18"/>
  <c r="AA28" i="18"/>
  <c r="AA31" i="18"/>
  <c r="AA16" i="18"/>
  <c r="AA36" i="18"/>
  <c r="AA19" i="18"/>
  <c r="AA39" i="18"/>
  <c r="AA22" i="18"/>
  <c r="AA42" i="18"/>
  <c r="AA8" i="18"/>
  <c r="AA37" i="18"/>
  <c r="AA20" i="18"/>
  <c r="AA23" i="18"/>
  <c r="AA43" i="18"/>
  <c r="AB23" i="18"/>
  <c r="AB43" i="18"/>
  <c r="AB11" i="18"/>
  <c r="AB26" i="18"/>
  <c r="AB10" i="18"/>
  <c r="AB9" i="18"/>
  <c r="AB29" i="18"/>
  <c r="AB31" i="18"/>
  <c r="AB12" i="18"/>
  <c r="AB32" i="18"/>
  <c r="AB42" i="18"/>
  <c r="AB34" i="18"/>
  <c r="AB37" i="18"/>
  <c r="AB15" i="18"/>
  <c r="AB35" i="18"/>
  <c r="AB27" i="18"/>
  <c r="AB22" i="18"/>
  <c r="AB18" i="18"/>
  <c r="AB38" i="18"/>
  <c r="AB30" i="18"/>
  <c r="AB17" i="18"/>
  <c r="AB21" i="18"/>
  <c r="AB41" i="18"/>
  <c r="AB24" i="18"/>
  <c r="AB44" i="18"/>
  <c r="AB13" i="18"/>
  <c r="AB33" i="18"/>
  <c r="AB25" i="18"/>
  <c r="AB28" i="18"/>
  <c r="AB16" i="18"/>
  <c r="AB36" i="18"/>
  <c r="AB19" i="18"/>
  <c r="AB39" i="18"/>
  <c r="AB8" i="18"/>
  <c r="AB14" i="18"/>
  <c r="AB20" i="18"/>
  <c r="AB40" i="18"/>
  <c r="AF11" i="18"/>
  <c r="AF31" i="18"/>
  <c r="AF36" i="18"/>
  <c r="AF14" i="18"/>
  <c r="AF34" i="18"/>
  <c r="AF13" i="18"/>
  <c r="AF16" i="18"/>
  <c r="AF8" i="18"/>
  <c r="AF17" i="18"/>
  <c r="AF37" i="18"/>
  <c r="AF30" i="18"/>
  <c r="AF20" i="18"/>
  <c r="AF40" i="18"/>
  <c r="AF38" i="18"/>
  <c r="AF23" i="18"/>
  <c r="AF43" i="18"/>
  <c r="AF18" i="18"/>
  <c r="AF19" i="18"/>
  <c r="AF25" i="18"/>
  <c r="AF26" i="18"/>
  <c r="AF15" i="18"/>
  <c r="AF35" i="18"/>
  <c r="AF33" i="18"/>
  <c r="AF9" i="18"/>
  <c r="AF29" i="18"/>
  <c r="AF12" i="18"/>
  <c r="AF32" i="18"/>
  <c r="AF21" i="18"/>
  <c r="AF41" i="18"/>
  <c r="AF24" i="18"/>
  <c r="AF44" i="18"/>
  <c r="AF27" i="18"/>
  <c r="AF10" i="18"/>
  <c r="AF39" i="18"/>
  <c r="AF22" i="18"/>
  <c r="AF42" i="18"/>
  <c r="AF28" i="18"/>
  <c r="AD6" i="10"/>
  <c r="AJ5" i="2" a="1"/>
  <c r="AJ5" i="2" s="1"/>
  <c r="V7" i="10"/>
  <c r="H4" i="11" s="1"/>
  <c r="AN5" i="2" a="1"/>
  <c r="AN5" i="2" s="1"/>
  <c r="P7" i="10"/>
  <c r="B4" i="11" s="1"/>
  <c r="AM5" i="2" a="1"/>
  <c r="AM5" i="2" s="1"/>
  <c r="T8" i="10" s="1"/>
  <c r="F5" i="11" s="1"/>
  <c r="U7" i="10"/>
  <c r="G4" i="11" s="1"/>
  <c r="S7" i="10"/>
  <c r="E4" i="11" s="1"/>
  <c r="T7" i="10"/>
  <c r="F4" i="11" s="1"/>
  <c r="AK5" i="2" a="1"/>
  <c r="AK5" i="2" s="1"/>
  <c r="AA7" i="10"/>
  <c r="M4" i="11" s="1"/>
  <c r="AB7" i="10"/>
  <c r="N4" i="11" s="1"/>
  <c r="AO40" i="2" a="1"/>
  <c r="AO40" i="2" s="1"/>
  <c r="Q42" i="10"/>
  <c r="C39" i="11" s="1"/>
  <c r="AP6" i="2" a="1"/>
  <c r="AP6" i="2" s="1"/>
  <c r="AC8" i="10"/>
  <c r="O5" i="11" s="1"/>
  <c r="N5" i="1"/>
  <c r="M5" i="1"/>
  <c r="L5" i="1"/>
  <c r="S2" i="10"/>
  <c r="T2" i="10"/>
  <c r="U2" i="10"/>
  <c r="V2" i="10"/>
  <c r="AA2" i="10"/>
  <c r="AB2" i="10"/>
  <c r="R2" i="10"/>
  <c r="AC2" i="10"/>
  <c r="Q2" i="10"/>
  <c r="P2" i="10"/>
  <c r="AO7" i="2" l="1" a="1"/>
  <c r="AO7" i="2" s="1"/>
  <c r="AD7" i="10"/>
  <c r="AP7" i="2" a="1"/>
  <c r="AP7" i="2" s="1"/>
  <c r="AC9" i="10"/>
  <c r="O6" i="11" s="1"/>
  <c r="AO41" i="2" a="1"/>
  <c r="AO41" i="2" s="1"/>
  <c r="Q43" i="10"/>
  <c r="C40" i="11" s="1"/>
  <c r="AK6" i="2" a="1"/>
  <c r="AK6" i="2" s="1"/>
  <c r="AA8" i="10"/>
  <c r="M5" i="11" s="1"/>
  <c r="AB8" i="10"/>
  <c r="N5" i="11" s="1"/>
  <c r="AM6" i="2" a="1"/>
  <c r="AM6" i="2" s="1"/>
  <c r="R9" i="10" s="1"/>
  <c r="D6" i="11" s="1"/>
  <c r="R8" i="10"/>
  <c r="D5" i="11" s="1"/>
  <c r="U8" i="10"/>
  <c r="G5" i="11" s="1"/>
  <c r="S8" i="10"/>
  <c r="E5" i="11" s="1"/>
  <c r="AN6" i="2" a="1"/>
  <c r="AN6" i="2" s="1"/>
  <c r="P8" i="10"/>
  <c r="B5" i="11" s="1"/>
  <c r="AJ6" i="2" a="1"/>
  <c r="AJ6" i="2" s="1"/>
  <c r="V8" i="10"/>
  <c r="H5" i="11" s="1"/>
  <c r="B2" i="8"/>
  <c r="C2" i="8"/>
  <c r="B3" i="8"/>
  <c r="C3" i="8"/>
  <c r="B4" i="8"/>
  <c r="C4" i="8"/>
  <c r="B5" i="8"/>
  <c r="C5" i="8"/>
  <c r="B6" i="8"/>
  <c r="C6" i="8"/>
  <c r="B7" i="8"/>
  <c r="C7" i="8"/>
  <c r="B8" i="8"/>
  <c r="C8" i="8"/>
  <c r="B9" i="8"/>
  <c r="C9" i="8"/>
  <c r="B10" i="8"/>
  <c r="C10" i="8"/>
  <c r="B11" i="8"/>
  <c r="D11" i="8" s="1"/>
  <c r="C11" i="8"/>
  <c r="B12" i="8"/>
  <c r="C12" i="8"/>
  <c r="B13" i="8"/>
  <c r="C13" i="8"/>
  <c r="B14" i="8"/>
  <c r="C14" i="8"/>
  <c r="B15" i="8"/>
  <c r="C15" i="8"/>
  <c r="B16" i="8"/>
  <c r="C16" i="8"/>
  <c r="B17" i="8"/>
  <c r="C17" i="8"/>
  <c r="Q10" i="10" l="1"/>
  <c r="C7" i="11" s="1"/>
  <c r="AO8" i="2" a="1"/>
  <c r="AO8" i="2" s="1"/>
  <c r="AD8" i="10"/>
  <c r="AJ7" i="2" a="1"/>
  <c r="AJ7" i="2" s="1"/>
  <c r="V9" i="10"/>
  <c r="H6" i="11" s="1"/>
  <c r="AN7" i="2" a="1"/>
  <c r="AN7" i="2" s="1"/>
  <c r="P9" i="10"/>
  <c r="B6" i="11" s="1"/>
  <c r="AM7" i="2" a="1"/>
  <c r="AM7" i="2" s="1"/>
  <c r="T10" i="10" s="1"/>
  <c r="F7" i="11" s="1"/>
  <c r="U9" i="10"/>
  <c r="G6" i="11" s="1"/>
  <c r="S9" i="10"/>
  <c r="E6" i="11" s="1"/>
  <c r="T9" i="10"/>
  <c r="F6" i="11" s="1"/>
  <c r="AK7" i="2" a="1"/>
  <c r="AK7" i="2" s="1"/>
  <c r="AA9" i="10"/>
  <c r="M6" i="11" s="1"/>
  <c r="AB9" i="10"/>
  <c r="N6" i="11" s="1"/>
  <c r="AO42" i="2" a="1"/>
  <c r="AO42" i="2" s="1"/>
  <c r="Q44" i="10"/>
  <c r="C41" i="11" s="1"/>
  <c r="AP8" i="2" a="1"/>
  <c r="AP8" i="2" s="1"/>
  <c r="AC10" i="10"/>
  <c r="O7" i="11" s="1"/>
  <c r="D2" i="8"/>
  <c r="F3" i="15"/>
  <c r="G3" i="15"/>
  <c r="H3" i="15" s="1"/>
  <c r="X3" i="15"/>
  <c r="V3" i="15"/>
  <c r="T3" i="15"/>
  <c r="U3" i="15" s="1"/>
  <c r="W3" i="15"/>
  <c r="M3" i="15"/>
  <c r="N3" i="15" s="1"/>
  <c r="O3" i="15" s="1"/>
  <c r="P3" i="15" s="1"/>
  <c r="Q3" i="15" s="1"/>
  <c r="R3" i="15" s="1"/>
  <c r="J3" i="15"/>
  <c r="I3" i="15"/>
  <c r="K3" i="15"/>
  <c r="L3" i="15" s="1"/>
  <c r="D8" i="8"/>
  <c r="S3" i="15"/>
  <c r="D3" i="15"/>
  <c r="E3" i="15" s="1"/>
  <c r="D3" i="8"/>
  <c r="D15" i="8"/>
  <c r="D4" i="8"/>
  <c r="D5" i="8"/>
  <c r="D16" i="8"/>
  <c r="D14" i="8"/>
  <c r="D9" i="8"/>
  <c r="D7" i="8"/>
  <c r="D6" i="8"/>
  <c r="D10" i="8"/>
  <c r="D12" i="8"/>
  <c r="D17" i="8"/>
  <c r="D13" i="8"/>
  <c r="Q11" i="10" l="1"/>
  <c r="C8" i="11" s="1"/>
  <c r="AO9" i="2" a="1"/>
  <c r="AO9" i="2" s="1"/>
  <c r="AD9" i="10"/>
  <c r="AP9" i="2" a="1"/>
  <c r="AP9" i="2" s="1"/>
  <c r="AC11" i="10"/>
  <c r="O8" i="11" s="1"/>
  <c r="AO43" i="2" a="1"/>
  <c r="AO43" i="2" s="1"/>
  <c r="Q45" i="10"/>
  <c r="C42" i="11" s="1"/>
  <c r="AK8" i="2" a="1"/>
  <c r="AK8" i="2" s="1"/>
  <c r="AA10" i="10"/>
  <c r="M7" i="11" s="1"/>
  <c r="AB10" i="10"/>
  <c r="N7" i="11" s="1"/>
  <c r="AM8" i="2" a="1"/>
  <c r="AM8" i="2" s="1"/>
  <c r="R11" i="10" s="1"/>
  <c r="D8" i="11" s="1"/>
  <c r="R10" i="10"/>
  <c r="D7" i="11" s="1"/>
  <c r="U10" i="10"/>
  <c r="G7" i="11" s="1"/>
  <c r="S10" i="10"/>
  <c r="E7" i="11" s="1"/>
  <c r="AN8" i="2" a="1"/>
  <c r="AN8" i="2" s="1"/>
  <c r="P10" i="10"/>
  <c r="B7" i="11" s="1"/>
  <c r="AJ8" i="2" a="1"/>
  <c r="AJ8" i="2" s="1"/>
  <c r="V10" i="10"/>
  <c r="H7" i="11" s="1"/>
  <c r="K4" i="5"/>
  <c r="J4" i="5"/>
  <c r="I4" i="5"/>
  <c r="H4" i="5"/>
  <c r="G4" i="5"/>
  <c r="F4" i="5"/>
  <c r="E4" i="5"/>
  <c r="D4" i="5"/>
  <c r="C4" i="5"/>
  <c r="D5" i="5"/>
  <c r="E5" i="5"/>
  <c r="F5" i="5"/>
  <c r="G5" i="5"/>
  <c r="H5" i="5"/>
  <c r="I5" i="5"/>
  <c r="J5" i="5"/>
  <c r="K5" i="5"/>
  <c r="C5" i="5"/>
  <c r="AO10" i="2" l="1" a="1"/>
  <c r="AO10" i="2" s="1"/>
  <c r="Q12" i="10"/>
  <c r="C9" i="11" s="1"/>
  <c r="AD10" i="10"/>
  <c r="AJ9" i="2" a="1"/>
  <c r="AJ9" i="2" s="1"/>
  <c r="V11" i="10"/>
  <c r="H8" i="11" s="1"/>
  <c r="AN9" i="2" a="1"/>
  <c r="AN9" i="2" s="1"/>
  <c r="P11" i="10"/>
  <c r="B8" i="11" s="1"/>
  <c r="AM9" i="2" a="1"/>
  <c r="AM9" i="2" s="1"/>
  <c r="T12" i="10" s="1"/>
  <c r="F9" i="11" s="1"/>
  <c r="U11" i="10"/>
  <c r="G8" i="11" s="1"/>
  <c r="S11" i="10"/>
  <c r="E8" i="11" s="1"/>
  <c r="T11" i="10"/>
  <c r="F8" i="11" s="1"/>
  <c r="AK9" i="2" a="1"/>
  <c r="AK9" i="2" s="1"/>
  <c r="AA11" i="10"/>
  <c r="M8" i="11" s="1"/>
  <c r="AB11" i="10"/>
  <c r="N8" i="11" s="1"/>
  <c r="AO44" i="2" a="1"/>
  <c r="AO44" i="2" s="1"/>
  <c r="Q46" i="10"/>
  <c r="C43" i="11" s="1"/>
  <c r="AP10" i="2" a="1"/>
  <c r="AP10" i="2" s="1"/>
  <c r="AC12" i="10"/>
  <c r="O9" i="11" s="1"/>
  <c r="D28" i="3"/>
  <c r="D27" i="3"/>
  <c r="D26" i="3"/>
  <c r="AB3" i="10" s="1"/>
  <c r="D25" i="3"/>
  <c r="D24" i="3"/>
  <c r="D23" i="3"/>
  <c r="AA3" i="10" s="1"/>
  <c r="D22" i="3"/>
  <c r="D21" i="3"/>
  <c r="D20" i="3"/>
  <c r="D19" i="3"/>
  <c r="V3" i="10" s="1"/>
  <c r="D18" i="3"/>
  <c r="D17" i="3"/>
  <c r="D16" i="3"/>
  <c r="D15" i="3"/>
  <c r="D14" i="3"/>
  <c r="D13" i="3"/>
  <c r="D12" i="3"/>
  <c r="D11" i="3"/>
  <c r="D10" i="3"/>
  <c r="U3" i="10" s="1"/>
  <c r="D9" i="3"/>
  <c r="D8" i="3"/>
  <c r="D7" i="3"/>
  <c r="T3" i="10" s="1"/>
  <c r="D6" i="3"/>
  <c r="S3" i="10" s="1"/>
  <c r="D5" i="3"/>
  <c r="D4" i="3"/>
  <c r="D3" i="3"/>
  <c r="R3" i="10" s="1"/>
  <c r="D2" i="3"/>
  <c r="AO11" i="2" l="1" a="1"/>
  <c r="AO11" i="2" s="1"/>
  <c r="Q13" i="10"/>
  <c r="C10" i="11" s="1"/>
  <c r="AD11" i="10"/>
  <c r="AP11" i="2" a="1"/>
  <c r="AP11" i="2" s="1"/>
  <c r="AC13" i="10"/>
  <c r="O10" i="11" s="1"/>
  <c r="AO45" i="2" a="1"/>
  <c r="AO45" i="2" s="1"/>
  <c r="Q47" i="10"/>
  <c r="C44" i="11" s="1"/>
  <c r="AK10" i="2" a="1"/>
  <c r="AK10" i="2" s="1"/>
  <c r="AA12" i="10"/>
  <c r="M9" i="11" s="1"/>
  <c r="AB12" i="10"/>
  <c r="N9" i="11" s="1"/>
  <c r="AM10" i="2" a="1"/>
  <c r="AM10" i="2" s="1"/>
  <c r="R13" i="10" s="1"/>
  <c r="D10" i="11" s="1"/>
  <c r="R12" i="10"/>
  <c r="D9" i="11" s="1"/>
  <c r="U12" i="10"/>
  <c r="G9" i="11" s="1"/>
  <c r="S12" i="10"/>
  <c r="E9" i="11" s="1"/>
  <c r="AN10" i="2" a="1"/>
  <c r="AN10" i="2" s="1"/>
  <c r="P12" i="10"/>
  <c r="B9" i="11" s="1"/>
  <c r="AJ10" i="2" a="1"/>
  <c r="AJ10" i="2" s="1"/>
  <c r="V12" i="10"/>
  <c r="H9" i="11" s="1"/>
  <c r="Q14" i="10" l="1"/>
  <c r="C11" i="11" s="1"/>
  <c r="AO12" i="2" a="1"/>
  <c r="AO12" i="2" s="1"/>
  <c r="AO46" i="2" a="1"/>
  <c r="AO46" i="2" s="1"/>
  <c r="Q49" i="10" s="1"/>
  <c r="C46" i="11" s="1"/>
  <c r="Q48" i="10"/>
  <c r="C45" i="11" s="1"/>
  <c r="AD12" i="10"/>
  <c r="AJ11" i="2" a="1"/>
  <c r="AJ11" i="2" s="1"/>
  <c r="V13" i="10"/>
  <c r="H10" i="11" s="1"/>
  <c r="AN11" i="2" a="1"/>
  <c r="AN11" i="2" s="1"/>
  <c r="P13" i="10"/>
  <c r="B10" i="11" s="1"/>
  <c r="AM11" i="2" a="1"/>
  <c r="AM11" i="2" s="1"/>
  <c r="T14" i="10" s="1"/>
  <c r="F11" i="11" s="1"/>
  <c r="U13" i="10"/>
  <c r="G10" i="11" s="1"/>
  <c r="S13" i="10"/>
  <c r="E10" i="11" s="1"/>
  <c r="T13" i="10"/>
  <c r="F10" i="11" s="1"/>
  <c r="AK11" i="2" a="1"/>
  <c r="AK11" i="2" s="1"/>
  <c r="AA13" i="10"/>
  <c r="M10" i="11" s="1"/>
  <c r="AB13" i="10"/>
  <c r="N10" i="11" s="1"/>
  <c r="AP12" i="2" a="1"/>
  <c r="AP12" i="2" s="1"/>
  <c r="AC14" i="10"/>
  <c r="O11" i="11" s="1"/>
  <c r="AO13" i="2" l="1" a="1"/>
  <c r="AO13" i="2" s="1"/>
  <c r="Q15" i="10"/>
  <c r="C12" i="11" s="1"/>
  <c r="AO47" i="2" a="1"/>
  <c r="AO47" i="2" s="1"/>
  <c r="AD13" i="10"/>
  <c r="AP13" i="2" a="1"/>
  <c r="AP13" i="2" s="1"/>
  <c r="AC15" i="10"/>
  <c r="O12" i="11" s="1"/>
  <c r="AK12" i="2" a="1"/>
  <c r="AK12" i="2" s="1"/>
  <c r="AA14" i="10"/>
  <c r="M11" i="11" s="1"/>
  <c r="AB14" i="10"/>
  <c r="N11" i="11" s="1"/>
  <c r="AM12" i="2" a="1"/>
  <c r="AM12" i="2" s="1"/>
  <c r="R14" i="10"/>
  <c r="D11" i="11" s="1"/>
  <c r="U14" i="10"/>
  <c r="G11" i="11" s="1"/>
  <c r="S14" i="10"/>
  <c r="E11" i="11" s="1"/>
  <c r="AN12" i="2" a="1"/>
  <c r="AN12" i="2" s="1"/>
  <c r="P14" i="10"/>
  <c r="B11" i="11" s="1"/>
  <c r="AJ12" i="2" a="1"/>
  <c r="AJ12" i="2" s="1"/>
  <c r="V14" i="10"/>
  <c r="H11" i="11" s="1"/>
  <c r="Q16" i="10" l="1"/>
  <c r="C13" i="11" s="1"/>
  <c r="AO14" i="2" a="1"/>
  <c r="AO14" i="2" s="1"/>
  <c r="AO48" i="2" a="1"/>
  <c r="AO48" i="2" s="1"/>
  <c r="Q50" i="10"/>
  <c r="C47" i="11" s="1"/>
  <c r="AD14" i="10"/>
  <c r="AN13" i="2" a="1"/>
  <c r="AN13" i="2" s="1"/>
  <c r="AN14" i="2" s="1" a="1"/>
  <c r="AN14" i="2" s="1"/>
  <c r="P15" i="10"/>
  <c r="B12" i="11" s="1"/>
  <c r="AJ13" i="2" a="1"/>
  <c r="AJ13" i="2" s="1"/>
  <c r="V15" i="10"/>
  <c r="H12" i="11" s="1"/>
  <c r="AM13" i="2" a="1"/>
  <c r="AM13" i="2" s="1"/>
  <c r="S16" i="10" s="1"/>
  <c r="E13" i="11" s="1"/>
  <c r="T15" i="10"/>
  <c r="F12" i="11" s="1"/>
  <c r="U15" i="10"/>
  <c r="G12" i="11" s="1"/>
  <c r="R15" i="10"/>
  <c r="D12" i="11" s="1"/>
  <c r="S15" i="10"/>
  <c r="E12" i="11" s="1"/>
  <c r="AK13" i="2" a="1"/>
  <c r="AK13" i="2" s="1"/>
  <c r="AA15" i="10"/>
  <c r="M12" i="11" s="1"/>
  <c r="AB15" i="10"/>
  <c r="N12" i="11" s="1"/>
  <c r="AP14" i="2" a="1"/>
  <c r="AP14" i="2" s="1"/>
  <c r="AC16" i="10"/>
  <c r="O13" i="11" s="1"/>
  <c r="AO15" i="2" l="1" a="1"/>
  <c r="AO15" i="2" s="1"/>
  <c r="Q17" i="10"/>
  <c r="C14" i="11" s="1"/>
  <c r="AN15" i="2" a="1"/>
  <c r="AN15" i="2" s="1"/>
  <c r="P18" i="10" s="1"/>
  <c r="B15" i="11" s="1"/>
  <c r="P17" i="10"/>
  <c r="B14" i="11" s="1"/>
  <c r="P16" i="10"/>
  <c r="B13" i="11" s="1"/>
  <c r="AD15" i="10"/>
  <c r="AO49" i="2" a="1"/>
  <c r="AO49" i="2" s="1"/>
  <c r="Q51" i="10"/>
  <c r="C48" i="11" s="1"/>
  <c r="AP15" i="2" a="1"/>
  <c r="AP15" i="2" s="1"/>
  <c r="AC17" i="10"/>
  <c r="O14" i="11" s="1"/>
  <c r="AK14" i="2" a="1"/>
  <c r="AK14" i="2" s="1"/>
  <c r="AB16" i="10"/>
  <c r="N13" i="11" s="1"/>
  <c r="AA16" i="10"/>
  <c r="M13" i="11" s="1"/>
  <c r="AM14" i="2" a="1"/>
  <c r="AM14" i="2" s="1"/>
  <c r="T16" i="10"/>
  <c r="F13" i="11" s="1"/>
  <c r="U16" i="10"/>
  <c r="G13" i="11" s="1"/>
  <c r="R16" i="10"/>
  <c r="D13" i="11" s="1"/>
  <c r="AJ14" i="2" a="1"/>
  <c r="AJ14" i="2" s="1"/>
  <c r="V16" i="10"/>
  <c r="H13" i="11" s="1"/>
  <c r="AN16" i="2" l="1" a="1"/>
  <c r="AN16" i="2" s="1"/>
  <c r="P19" i="10" s="1"/>
  <c r="B16" i="11" s="1"/>
  <c r="Q18" i="10"/>
  <c r="C15" i="11" s="1"/>
  <c r="AO16" i="2" a="1"/>
  <c r="AO16" i="2" s="1"/>
  <c r="AO50" i="2" a="1"/>
  <c r="AO50" i="2" s="1"/>
  <c r="Q52" i="10"/>
  <c r="C49" i="11" s="1"/>
  <c r="AN17" i="2" a="1"/>
  <c r="AN17" i="2" s="1"/>
  <c r="P20" i="10" s="1"/>
  <c r="B17" i="11" s="1"/>
  <c r="AD16" i="10"/>
  <c r="AJ15" i="2" a="1"/>
  <c r="AJ15" i="2" s="1"/>
  <c r="V17" i="10"/>
  <c r="H14" i="11" s="1"/>
  <c r="AM15" i="2" a="1"/>
  <c r="AM15" i="2" s="1"/>
  <c r="S18" i="10" s="1"/>
  <c r="E15" i="11" s="1"/>
  <c r="T17" i="10"/>
  <c r="F14" i="11" s="1"/>
  <c r="U17" i="10"/>
  <c r="G14" i="11" s="1"/>
  <c r="R17" i="10"/>
  <c r="D14" i="11" s="1"/>
  <c r="S17" i="10"/>
  <c r="E14" i="11" s="1"/>
  <c r="AK15" i="2" a="1"/>
  <c r="AK15" i="2" s="1"/>
  <c r="AA17" i="10"/>
  <c r="M14" i="11" s="1"/>
  <c r="AB17" i="10"/>
  <c r="N14" i="11" s="1"/>
  <c r="AP16" i="2" a="1"/>
  <c r="AP16" i="2" s="1"/>
  <c r="AC18" i="10"/>
  <c r="O15" i="11" s="1"/>
  <c r="AO17" i="2" l="1" a="1"/>
  <c r="AO17" i="2" s="1"/>
  <c r="Q19" i="10"/>
  <c r="C16" i="11" s="1"/>
  <c r="AN18" i="2" a="1"/>
  <c r="AN18" i="2" s="1"/>
  <c r="AD17" i="10"/>
  <c r="Q53" i="10"/>
  <c r="C50" i="11" s="1"/>
  <c r="AO51" i="2" a="1"/>
  <c r="AO51" i="2" s="1"/>
  <c r="AP17" i="2" a="1"/>
  <c r="AP17" i="2" s="1"/>
  <c r="AC19" i="10"/>
  <c r="O16" i="11" s="1"/>
  <c r="AK16" i="2" a="1"/>
  <c r="AK16" i="2" s="1"/>
  <c r="AB18" i="10"/>
  <c r="N15" i="11" s="1"/>
  <c r="AA18" i="10"/>
  <c r="M15" i="11" s="1"/>
  <c r="AM16" i="2" a="1"/>
  <c r="AM16" i="2" s="1"/>
  <c r="T18" i="10"/>
  <c r="F15" i="11" s="1"/>
  <c r="U18" i="10"/>
  <c r="G15" i="11" s="1"/>
  <c r="R18" i="10"/>
  <c r="D15" i="11" s="1"/>
  <c r="AJ16" i="2" a="1"/>
  <c r="AJ16" i="2" s="1"/>
  <c r="V18" i="10"/>
  <c r="H15" i="11" s="1"/>
  <c r="AO18" i="2" l="1" a="1"/>
  <c r="AO18" i="2" s="1"/>
  <c r="Q20" i="10"/>
  <c r="C17" i="11" s="1"/>
  <c r="AP18" i="2" a="1"/>
  <c r="AP18" i="2" s="1"/>
  <c r="AP19" i="2" s="1" a="1"/>
  <c r="AP19" i="2" s="1"/>
  <c r="AC20" i="10"/>
  <c r="O17" i="11" s="1"/>
  <c r="AO52" i="2" a="1"/>
  <c r="AO52" i="2" s="1"/>
  <c r="Q54" i="10"/>
  <c r="C51" i="11" s="1"/>
  <c r="AN19" i="2" a="1"/>
  <c r="AN19" i="2" s="1"/>
  <c r="P21" i="10"/>
  <c r="B18" i="11" s="1"/>
  <c r="AD18" i="10"/>
  <c r="AJ17" i="2" a="1"/>
  <c r="AJ17" i="2" s="1"/>
  <c r="V19" i="10"/>
  <c r="H16" i="11" s="1"/>
  <c r="AM17" i="2" a="1"/>
  <c r="AM17" i="2" s="1"/>
  <c r="R20" i="10" s="1"/>
  <c r="D17" i="11" s="1"/>
  <c r="S19" i="10"/>
  <c r="E16" i="11" s="1"/>
  <c r="T19" i="10"/>
  <c r="F16" i="11" s="1"/>
  <c r="U19" i="10"/>
  <c r="G16" i="11" s="1"/>
  <c r="R19" i="10"/>
  <c r="D16" i="11" s="1"/>
  <c r="AK17" i="2" a="1"/>
  <c r="AK17" i="2" s="1"/>
  <c r="AA19" i="10"/>
  <c r="M16" i="11" s="1"/>
  <c r="AB19" i="10"/>
  <c r="N16" i="11" s="1"/>
  <c r="AO19" i="2" l="1" a="1"/>
  <c r="AO19" i="2" s="1"/>
  <c r="Q21" i="10"/>
  <c r="C18" i="11" s="1"/>
  <c r="AP20" i="2" a="1"/>
  <c r="AP20" i="2" s="1"/>
  <c r="AC23" i="10" s="1"/>
  <c r="O20" i="11" s="1"/>
  <c r="AC22" i="10"/>
  <c r="O19" i="11" s="1"/>
  <c r="AC21" i="10"/>
  <c r="O18" i="11" s="1"/>
  <c r="AD19" i="10"/>
  <c r="AO53" i="2" a="1"/>
  <c r="AO53" i="2" s="1"/>
  <c r="Q55" i="10"/>
  <c r="C52" i="11" s="1"/>
  <c r="AN20" i="2" a="1"/>
  <c r="AN20" i="2" s="1"/>
  <c r="P22" i="10"/>
  <c r="B19" i="11" s="1"/>
  <c r="AK18" i="2" a="1"/>
  <c r="AK18" i="2" s="1"/>
  <c r="AA20" i="10"/>
  <c r="M17" i="11" s="1"/>
  <c r="AB20" i="10"/>
  <c r="N17" i="11" s="1"/>
  <c r="AM18" i="2" a="1"/>
  <c r="AM18" i="2" s="1"/>
  <c r="S20" i="10"/>
  <c r="E17" i="11" s="1"/>
  <c r="T20" i="10"/>
  <c r="F17" i="11" s="1"/>
  <c r="U20" i="10"/>
  <c r="G17" i="11" s="1"/>
  <c r="AJ18" i="2" a="1"/>
  <c r="AJ18" i="2" s="1"/>
  <c r="V20" i="10"/>
  <c r="H17" i="11" s="1"/>
  <c r="AP21" i="2" l="1" a="1"/>
  <c r="AP21" i="2" s="1"/>
  <c r="AC24" i="10" s="1"/>
  <c r="O21" i="11" s="1"/>
  <c r="AO20" i="2" a="1"/>
  <c r="AO20" i="2" s="1"/>
  <c r="Q22" i="10"/>
  <c r="C19" i="11" s="1"/>
  <c r="P23" i="10"/>
  <c r="B20" i="11" s="1"/>
  <c r="AN21" i="2" a="1"/>
  <c r="AN21" i="2" s="1"/>
  <c r="AD20" i="10"/>
  <c r="AO54" i="2" a="1"/>
  <c r="AO54" i="2" s="1"/>
  <c r="Q56" i="10"/>
  <c r="C53" i="11" s="1"/>
  <c r="AJ19" i="2" a="1"/>
  <c r="AJ19" i="2" s="1"/>
  <c r="V21" i="10"/>
  <c r="H18" i="11" s="1"/>
  <c r="AM19" i="2" a="1"/>
  <c r="AM19" i="2" s="1"/>
  <c r="S21" i="10"/>
  <c r="E18" i="11" s="1"/>
  <c r="T21" i="10"/>
  <c r="F18" i="11" s="1"/>
  <c r="U21" i="10"/>
  <c r="G18" i="11" s="1"/>
  <c r="R21" i="10"/>
  <c r="D18" i="11" s="1"/>
  <c r="AK19" i="2" a="1"/>
  <c r="AK19" i="2" s="1"/>
  <c r="AB22" i="10" s="1"/>
  <c r="N19" i="11" s="1"/>
  <c r="AA21" i="10"/>
  <c r="M18" i="11" s="1"/>
  <c r="AB21" i="10"/>
  <c r="N18" i="11" s="1"/>
  <c r="AP22" i="2" a="1"/>
  <c r="AP22" i="2" s="1"/>
  <c r="Q23" i="10" l="1"/>
  <c r="C20" i="11" s="1"/>
  <c r="AO21" i="2" a="1"/>
  <c r="AO21" i="2" s="1"/>
  <c r="AD21" i="10"/>
  <c r="AO55" i="2" a="1"/>
  <c r="AO55" i="2" s="1"/>
  <c r="Q57" i="10"/>
  <c r="C54" i="11" s="1"/>
  <c r="AN22" i="2" a="1"/>
  <c r="AN22" i="2" s="1"/>
  <c r="P24" i="10"/>
  <c r="B21" i="11" s="1"/>
  <c r="AP23" i="2" a="1"/>
  <c r="AP23" i="2" s="1"/>
  <c r="AC25" i="10"/>
  <c r="O22" i="11" s="1"/>
  <c r="AK20" i="2" a="1"/>
  <c r="AK20" i="2" s="1"/>
  <c r="AA22" i="10"/>
  <c r="M19" i="11" s="1"/>
  <c r="AM20" i="2" a="1"/>
  <c r="AM20" i="2" s="1"/>
  <c r="R22" i="10"/>
  <c r="D19" i="11" s="1"/>
  <c r="U22" i="10"/>
  <c r="G19" i="11" s="1"/>
  <c r="S22" i="10"/>
  <c r="E19" i="11" s="1"/>
  <c r="T22" i="10"/>
  <c r="F19" i="11" s="1"/>
  <c r="AJ20" i="2" a="1"/>
  <c r="AJ20" i="2" s="1"/>
  <c r="V22" i="10"/>
  <c r="H19" i="11" s="1"/>
  <c r="AO22" i="2" l="1" a="1"/>
  <c r="AO22" i="2" s="1"/>
  <c r="Q24" i="10"/>
  <c r="C21" i="11" s="1"/>
  <c r="AD22" i="10"/>
  <c r="AN23" i="2" a="1"/>
  <c r="AN23" i="2" s="1"/>
  <c r="P25" i="10"/>
  <c r="B22" i="11" s="1"/>
  <c r="AO56" i="2" a="1"/>
  <c r="AO56" i="2" s="1"/>
  <c r="Q58" i="10"/>
  <c r="C55" i="11" s="1"/>
  <c r="AJ21" i="2" a="1"/>
  <c r="AJ21" i="2" s="1"/>
  <c r="V23" i="10"/>
  <c r="H20" i="11" s="1"/>
  <c r="AM21" i="2" a="1"/>
  <c r="AM21" i="2" s="1"/>
  <c r="R23" i="10"/>
  <c r="D20" i="11" s="1"/>
  <c r="S23" i="10"/>
  <c r="E20" i="11" s="1"/>
  <c r="T23" i="10"/>
  <c r="F20" i="11" s="1"/>
  <c r="U23" i="10"/>
  <c r="G20" i="11" s="1"/>
  <c r="AK21" i="2" a="1"/>
  <c r="AK21" i="2" s="1"/>
  <c r="AA23" i="10"/>
  <c r="M20" i="11" s="1"/>
  <c r="AB23" i="10"/>
  <c r="N20" i="11" s="1"/>
  <c r="AP24" i="2" a="1"/>
  <c r="AP24" i="2" s="1"/>
  <c r="AC26" i="10"/>
  <c r="O23" i="11" s="1"/>
  <c r="Q25" i="10" l="1"/>
  <c r="C22" i="11" s="1"/>
  <c r="AO23" i="2" a="1"/>
  <c r="AO23" i="2" s="1"/>
  <c r="AK22" i="2" a="1"/>
  <c r="AK22" i="2" s="1"/>
  <c r="AK23" i="2" s="1" a="1"/>
  <c r="AK23" i="2" s="1"/>
  <c r="AB24" i="10"/>
  <c r="N21" i="11" s="1"/>
  <c r="AA24" i="10"/>
  <c r="M21" i="11" s="1"/>
  <c r="AD23" i="10"/>
  <c r="AO57" i="2" a="1"/>
  <c r="AO57" i="2" s="1"/>
  <c r="Q59" i="10"/>
  <c r="C56" i="11" s="1"/>
  <c r="AN24" i="2" a="1"/>
  <c r="AN24" i="2" s="1"/>
  <c r="P26" i="10"/>
  <c r="B23" i="11" s="1"/>
  <c r="AP25" i="2" a="1"/>
  <c r="AP25" i="2" s="1"/>
  <c r="AC28" i="10" s="1"/>
  <c r="O25" i="11" s="1"/>
  <c r="AC27" i="10"/>
  <c r="O24" i="11" s="1"/>
  <c r="AM22" i="2" a="1"/>
  <c r="AM22" i="2" s="1"/>
  <c r="U24" i="10"/>
  <c r="G21" i="11" s="1"/>
  <c r="R24" i="10"/>
  <c r="D21" i="11" s="1"/>
  <c r="S24" i="10"/>
  <c r="E21" i="11" s="1"/>
  <c r="T24" i="10"/>
  <c r="F21" i="11" s="1"/>
  <c r="AJ22" i="2" a="1"/>
  <c r="AJ22" i="2" s="1"/>
  <c r="V24" i="10"/>
  <c r="H21" i="11" s="1"/>
  <c r="AO24" i="2" l="1" a="1"/>
  <c r="AO24" i="2" s="1"/>
  <c r="Q26" i="10"/>
  <c r="C23" i="11" s="1"/>
  <c r="AK24" i="2" a="1"/>
  <c r="AK24" i="2" s="1"/>
  <c r="AA27" i="10" s="1"/>
  <c r="M24" i="11" s="1"/>
  <c r="AB26" i="10"/>
  <c r="N23" i="11" s="1"/>
  <c r="AA26" i="10"/>
  <c r="M23" i="11" s="1"/>
  <c r="AP26" i="2" a="1"/>
  <c r="AP26" i="2" s="1"/>
  <c r="Q60" i="10"/>
  <c r="C57" i="11" s="1"/>
  <c r="AO58" i="2" a="1"/>
  <c r="AO58" i="2" s="1"/>
  <c r="AN25" i="2" a="1"/>
  <c r="AN25" i="2" s="1"/>
  <c r="P27" i="10"/>
  <c r="B24" i="11" s="1"/>
  <c r="AD24" i="10"/>
  <c r="AB25" i="10"/>
  <c r="N22" i="11" s="1"/>
  <c r="AA25" i="10"/>
  <c r="M22" i="11" s="1"/>
  <c r="AJ23" i="2" a="1"/>
  <c r="AJ23" i="2" s="1"/>
  <c r="V25" i="10"/>
  <c r="H22" i="11" s="1"/>
  <c r="AM23" i="2" a="1"/>
  <c r="AM23" i="2" s="1"/>
  <c r="R25" i="10"/>
  <c r="D22" i="11" s="1"/>
  <c r="S25" i="10"/>
  <c r="E22" i="11" s="1"/>
  <c r="T25" i="10"/>
  <c r="F22" i="11" s="1"/>
  <c r="U25" i="10"/>
  <c r="G22" i="11" s="1"/>
  <c r="AO25" i="2" l="1" a="1"/>
  <c r="AO25" i="2" s="1"/>
  <c r="Q27" i="10"/>
  <c r="C24" i="11" s="1"/>
  <c r="AN26" i="2" a="1"/>
  <c r="AN26" i="2" s="1"/>
  <c r="P28" i="10"/>
  <c r="B25" i="11" s="1"/>
  <c r="AB27" i="10"/>
  <c r="N24" i="11" s="1"/>
  <c r="AK25" i="2" a="1"/>
  <c r="AK25" i="2" s="1"/>
  <c r="AA28" i="10" s="1"/>
  <c r="M25" i="11" s="1"/>
  <c r="AP27" i="2" a="1"/>
  <c r="AP27" i="2" s="1"/>
  <c r="AC29" i="10"/>
  <c r="O26" i="11" s="1"/>
  <c r="AO59" i="2" a="1"/>
  <c r="AO59" i="2" s="1"/>
  <c r="Q61" i="10"/>
  <c r="C58" i="11" s="1"/>
  <c r="AD25" i="10"/>
  <c r="AM24" i="2" a="1"/>
  <c r="AM24" i="2" s="1"/>
  <c r="U26" i="10"/>
  <c r="G23" i="11" s="1"/>
  <c r="R26" i="10"/>
  <c r="D23" i="11" s="1"/>
  <c r="S26" i="10"/>
  <c r="E23" i="11" s="1"/>
  <c r="T26" i="10"/>
  <c r="F23" i="11" s="1"/>
  <c r="AJ24" i="2" a="1"/>
  <c r="AJ24" i="2" s="1"/>
  <c r="V26" i="10"/>
  <c r="H23" i="11" s="1"/>
  <c r="AO26" i="2" l="1" a="1"/>
  <c r="AO26" i="2" s="1"/>
  <c r="Q28" i="10"/>
  <c r="C25" i="11" s="1"/>
  <c r="AN27" i="2" a="1"/>
  <c r="AN27" i="2" s="1"/>
  <c r="P29" i="10"/>
  <c r="B26" i="11" s="1"/>
  <c r="AK26" i="2" a="1"/>
  <c r="AK26" i="2" s="1"/>
  <c r="AA29" i="10" s="1"/>
  <c r="M26" i="11" s="1"/>
  <c r="AP28" i="2" a="1"/>
  <c r="AP28" i="2" s="1"/>
  <c r="AC30" i="10"/>
  <c r="O27" i="11" s="1"/>
  <c r="AD26" i="10"/>
  <c r="AB28" i="10"/>
  <c r="N25" i="11" s="1"/>
  <c r="Q62" i="10"/>
  <c r="C59" i="11" s="1"/>
  <c r="AO60" i="2" a="1"/>
  <c r="AO60" i="2" s="1"/>
  <c r="AJ25" i="2" a="1"/>
  <c r="AJ25" i="2" s="1"/>
  <c r="V27" i="10"/>
  <c r="H24" i="11" s="1"/>
  <c r="AM25" i="2" a="1"/>
  <c r="AM25" i="2" s="1"/>
  <c r="R27" i="10"/>
  <c r="D24" i="11" s="1"/>
  <c r="S27" i="10"/>
  <c r="E24" i="11" s="1"/>
  <c r="T27" i="10"/>
  <c r="F24" i="11" s="1"/>
  <c r="U27" i="10"/>
  <c r="G24" i="11" s="1"/>
  <c r="AK27" i="2" l="1" a="1"/>
  <c r="AK27" i="2" s="1"/>
  <c r="AA30" i="10" s="1"/>
  <c r="M27" i="11" s="1"/>
  <c r="Q29" i="10"/>
  <c r="C26" i="11" s="1"/>
  <c r="AO27" i="2" a="1"/>
  <c r="AO27" i="2" s="1"/>
  <c r="AO61" i="2" a="1"/>
  <c r="AO61" i="2" s="1"/>
  <c r="Q63" i="10"/>
  <c r="C60" i="11" s="1"/>
  <c r="AD27" i="10"/>
  <c r="AB29" i="10"/>
  <c r="N26" i="11" s="1"/>
  <c r="AJ26" i="2" a="1"/>
  <c r="AJ26" i="2" s="1"/>
  <c r="V29" i="10" s="1"/>
  <c r="H26" i="11" s="1"/>
  <c r="V28" i="10"/>
  <c r="H25" i="11" s="1"/>
  <c r="AP29" i="2" a="1"/>
  <c r="AP29" i="2" s="1"/>
  <c r="AC31" i="10"/>
  <c r="O28" i="11" s="1"/>
  <c r="P30" i="10"/>
  <c r="B27" i="11" s="1"/>
  <c r="AN28" i="2" a="1"/>
  <c r="AN28" i="2" s="1"/>
  <c r="AM26" i="2" a="1"/>
  <c r="AM26" i="2" s="1"/>
  <c r="T28" i="10"/>
  <c r="F25" i="11" s="1"/>
  <c r="R28" i="10"/>
  <c r="D25" i="11" s="1"/>
  <c r="S28" i="10"/>
  <c r="E25" i="11" s="1"/>
  <c r="U28" i="10"/>
  <c r="G25" i="11" s="1"/>
  <c r="AB30" i="10" l="1"/>
  <c r="N27" i="11" s="1"/>
  <c r="AK28" i="2" a="1"/>
  <c r="AK28" i="2" s="1"/>
  <c r="AB31" i="10" s="1"/>
  <c r="N28" i="11" s="1"/>
  <c r="AJ27" i="2" a="1"/>
  <c r="AJ27" i="2" s="1"/>
  <c r="V30" i="10" s="1"/>
  <c r="H27" i="11" s="1"/>
  <c r="AO28" i="2" a="1"/>
  <c r="AO28" i="2" s="1"/>
  <c r="Q30" i="10"/>
  <c r="C27" i="11" s="1"/>
  <c r="AN29" i="2" a="1"/>
  <c r="AN29" i="2" s="1"/>
  <c r="P31" i="10"/>
  <c r="B28" i="11" s="1"/>
  <c r="AC32" i="10"/>
  <c r="O29" i="11" s="1"/>
  <c r="AP30" i="2" a="1"/>
  <c r="AP30" i="2" s="1"/>
  <c r="AD28" i="10"/>
  <c r="AO62" i="2" a="1"/>
  <c r="AO62" i="2" s="1"/>
  <c r="Q64" i="10"/>
  <c r="C61" i="11" s="1"/>
  <c r="AM27" i="2" a="1"/>
  <c r="AM27" i="2" s="1"/>
  <c r="R29" i="10"/>
  <c r="D26" i="11" s="1"/>
  <c r="S29" i="10"/>
  <c r="E26" i="11" s="1"/>
  <c r="T29" i="10"/>
  <c r="F26" i="11" s="1"/>
  <c r="U29" i="10"/>
  <c r="G26" i="11" s="1"/>
  <c r="AA31" i="10" l="1"/>
  <c r="M28" i="11" s="1"/>
  <c r="AJ28" i="2" a="1"/>
  <c r="AJ28" i="2" s="1"/>
  <c r="V31" i="10" s="1"/>
  <c r="H28" i="11" s="1"/>
  <c r="Q31" i="10"/>
  <c r="C28" i="11" s="1"/>
  <c r="AO29" i="2" a="1"/>
  <c r="AO29" i="2" s="1"/>
  <c r="AK29" i="2" a="1"/>
  <c r="AK29" i="2" s="1"/>
  <c r="AA32" i="10" s="1"/>
  <c r="M29" i="11" s="1"/>
  <c r="AD29" i="10"/>
  <c r="Q65" i="10"/>
  <c r="C62" i="11" s="1"/>
  <c r="AO63" i="2" a="1"/>
  <c r="AO63" i="2" s="1"/>
  <c r="AP31" i="2" a="1"/>
  <c r="AP31" i="2" s="1"/>
  <c r="AC33" i="10"/>
  <c r="O30" i="11" s="1"/>
  <c r="P32" i="10"/>
  <c r="B29" i="11" s="1"/>
  <c r="AN30" i="2" a="1"/>
  <c r="AN30" i="2" s="1"/>
  <c r="AM28" i="2" a="1"/>
  <c r="AM28" i="2" s="1"/>
  <c r="S30" i="10"/>
  <c r="E27" i="11" s="1"/>
  <c r="T30" i="10"/>
  <c r="F27" i="11" s="1"/>
  <c r="R30" i="10"/>
  <c r="D27" i="11" s="1"/>
  <c r="U30" i="10"/>
  <c r="G27" i="11" s="1"/>
  <c r="AB32" i="10" l="1"/>
  <c r="N29" i="11" s="1"/>
  <c r="AK30" i="2" a="1"/>
  <c r="AK30" i="2" s="1"/>
  <c r="AB33" i="10" s="1"/>
  <c r="N30" i="11" s="1"/>
  <c r="Q32" i="10"/>
  <c r="C29" i="11" s="1"/>
  <c r="AO30" i="2" a="1"/>
  <c r="AO30" i="2" s="1"/>
  <c r="AJ29" i="2" a="1"/>
  <c r="AJ29" i="2" s="1"/>
  <c r="AJ30" i="2" s="1" a="1"/>
  <c r="AJ30" i="2" s="1"/>
  <c r="AN31" i="2" a="1"/>
  <c r="AN31" i="2" s="1"/>
  <c r="P33" i="10"/>
  <c r="B30" i="11" s="1"/>
  <c r="AO64" i="2" a="1"/>
  <c r="AO64" i="2" s="1"/>
  <c r="Q66" i="10"/>
  <c r="C63" i="11" s="1"/>
  <c r="AC34" i="10"/>
  <c r="O31" i="11" s="1"/>
  <c r="AP32" i="2" a="1"/>
  <c r="AP32" i="2" s="1"/>
  <c r="AD30" i="10"/>
  <c r="AM29" i="2" a="1"/>
  <c r="AM29" i="2" s="1"/>
  <c r="R31" i="10"/>
  <c r="D28" i="11" s="1"/>
  <c r="S31" i="10"/>
  <c r="E28" i="11" s="1"/>
  <c r="T31" i="10"/>
  <c r="F28" i="11" s="1"/>
  <c r="U31" i="10"/>
  <c r="G28" i="11" s="1"/>
  <c r="AK31" i="2" l="1" a="1"/>
  <c r="AK31" i="2" s="1"/>
  <c r="AK32" i="2" s="1" a="1"/>
  <c r="AK32" i="2" s="1"/>
  <c r="V32" i="10"/>
  <c r="H29" i="11" s="1"/>
  <c r="AO31" i="2" a="1"/>
  <c r="AO31" i="2" s="1"/>
  <c r="Q33" i="10"/>
  <c r="C30" i="11" s="1"/>
  <c r="AA33" i="10"/>
  <c r="M30" i="11" s="1"/>
  <c r="AD31" i="10"/>
  <c r="AC35" i="10"/>
  <c r="O32" i="11" s="1"/>
  <c r="AP33" i="2" a="1"/>
  <c r="AP33" i="2" s="1"/>
  <c r="AJ31" i="2" a="1"/>
  <c r="AJ31" i="2" s="1"/>
  <c r="V33" i="10"/>
  <c r="H30" i="11" s="1"/>
  <c r="Q67" i="10"/>
  <c r="C64" i="11" s="1"/>
  <c r="AO65" i="2" a="1"/>
  <c r="AO65" i="2" s="1"/>
  <c r="AN32" i="2" a="1"/>
  <c r="AN32" i="2" s="1"/>
  <c r="P34" i="10"/>
  <c r="B31" i="11" s="1"/>
  <c r="AM30" i="2" a="1"/>
  <c r="AM30" i="2" s="1"/>
  <c r="T32" i="10"/>
  <c r="F29" i="11" s="1"/>
  <c r="R32" i="10"/>
  <c r="D29" i="11" s="1"/>
  <c r="S32" i="10"/>
  <c r="E29" i="11" s="1"/>
  <c r="U32" i="10"/>
  <c r="G29" i="11" s="1"/>
  <c r="AB34" i="10" l="1"/>
  <c r="N31" i="11" s="1"/>
  <c r="AA34" i="10"/>
  <c r="M31" i="11" s="1"/>
  <c r="Q34" i="10"/>
  <c r="C31" i="11" s="1"/>
  <c r="AO32" i="2" a="1"/>
  <c r="AO32" i="2" s="1"/>
  <c r="Q35" i="10" s="1"/>
  <c r="C32" i="11" s="1"/>
  <c r="AJ32" i="2" a="1"/>
  <c r="AJ32" i="2" s="1"/>
  <c r="V34" i="10"/>
  <c r="H31" i="11" s="1"/>
  <c r="AD32" i="10"/>
  <c r="AK33" i="2" a="1"/>
  <c r="AK33" i="2" s="1"/>
  <c r="AK34" i="2" s="1" a="1"/>
  <c r="AK34" i="2" s="1"/>
  <c r="AB35" i="10"/>
  <c r="N32" i="11" s="1"/>
  <c r="AA35" i="10"/>
  <c r="M32" i="11" s="1"/>
  <c r="AP34" i="2" a="1"/>
  <c r="AP34" i="2" s="1"/>
  <c r="AC36" i="10"/>
  <c r="O33" i="11" s="1"/>
  <c r="AN33" i="2" a="1"/>
  <c r="AN33" i="2" s="1"/>
  <c r="P35" i="10"/>
  <c r="B32" i="11" s="1"/>
  <c r="Q68" i="10"/>
  <c r="C65" i="11" s="1"/>
  <c r="AO66" i="2" a="1"/>
  <c r="AO66" i="2" s="1"/>
  <c r="AM31" i="2" a="1"/>
  <c r="AM31" i="2" s="1"/>
  <c r="U34" i="10" s="1"/>
  <c r="G31" i="11" s="1"/>
  <c r="R33" i="10"/>
  <c r="D30" i="11" s="1"/>
  <c r="S33" i="10"/>
  <c r="E30" i="11" s="1"/>
  <c r="T33" i="10"/>
  <c r="F30" i="11" s="1"/>
  <c r="U33" i="10"/>
  <c r="G30" i="11" s="1"/>
  <c r="AK35" i="2" l="1" a="1"/>
  <c r="AK35" i="2" s="1"/>
  <c r="AA38" i="10" s="1"/>
  <c r="M35" i="11" s="1"/>
  <c r="AB37" i="10"/>
  <c r="N34" i="11" s="1"/>
  <c r="AA37" i="10"/>
  <c r="M34" i="11" s="1"/>
  <c r="AO67" i="2" a="1"/>
  <c r="AO67" i="2" s="1"/>
  <c r="Q69" i="10"/>
  <c r="C66" i="11" s="1"/>
  <c r="AD33" i="10"/>
  <c r="AN34" i="2" a="1"/>
  <c r="AN34" i="2" s="1"/>
  <c r="P36" i="10"/>
  <c r="B33" i="11" s="1"/>
  <c r="AB36" i="10"/>
  <c r="N33" i="11" s="1"/>
  <c r="AA36" i="10"/>
  <c r="M33" i="11" s="1"/>
  <c r="AP35" i="2" a="1"/>
  <c r="AP35" i="2" s="1"/>
  <c r="AC37" i="10"/>
  <c r="O34" i="11" s="1"/>
  <c r="V35" i="10"/>
  <c r="H32" i="11" s="1"/>
  <c r="AJ33" i="2" a="1"/>
  <c r="AJ33" i="2" s="1"/>
  <c r="AM32" i="2" a="1"/>
  <c r="AM32" i="2" s="1"/>
  <c r="S34" i="10"/>
  <c r="E31" i="11" s="1"/>
  <c r="R34" i="10"/>
  <c r="D31" i="11" s="1"/>
  <c r="T34" i="10"/>
  <c r="F31" i="11" s="1"/>
  <c r="AB38" i="10" l="1"/>
  <c r="N35" i="11" s="1"/>
  <c r="AK36" i="2" a="1"/>
  <c r="AK36" i="2" s="1"/>
  <c r="AA39" i="10" s="1"/>
  <c r="M36" i="11" s="1"/>
  <c r="AP36" i="2" a="1"/>
  <c r="AP36" i="2" s="1"/>
  <c r="AC38" i="10"/>
  <c r="O35" i="11" s="1"/>
  <c r="AN35" i="2" a="1"/>
  <c r="AN35" i="2" s="1"/>
  <c r="P37" i="10"/>
  <c r="B34" i="11" s="1"/>
  <c r="AJ34" i="2" a="1"/>
  <c r="AJ34" i="2" s="1"/>
  <c r="V36" i="10"/>
  <c r="H33" i="11" s="1"/>
  <c r="AD34" i="10"/>
  <c r="Q70" i="10"/>
  <c r="C67" i="11" s="1"/>
  <c r="AO68" i="2" a="1"/>
  <c r="AO68" i="2" s="1"/>
  <c r="AM33" i="2" a="1"/>
  <c r="AM33" i="2" s="1"/>
  <c r="U36" i="10" s="1"/>
  <c r="G33" i="11" s="1"/>
  <c r="R35" i="10"/>
  <c r="D32" i="11" s="1"/>
  <c r="S35" i="10"/>
  <c r="E32" i="11" s="1"/>
  <c r="T35" i="10"/>
  <c r="F32" i="11" s="1"/>
  <c r="U35" i="10"/>
  <c r="G32" i="11" s="1"/>
  <c r="AD35" i="10" l="1"/>
  <c r="AK37" i="2" a="1"/>
  <c r="AK37" i="2" s="1"/>
  <c r="AK38" i="2" s="1" a="1"/>
  <c r="AK38" i="2" s="1"/>
  <c r="AA41" i="10" s="1"/>
  <c r="M38" i="11" s="1"/>
  <c r="Q71" i="10"/>
  <c r="C68" i="11" s="1"/>
  <c r="AO69" i="2" a="1"/>
  <c r="AO69" i="2" s="1"/>
  <c r="AN36" i="2" a="1"/>
  <c r="AN36" i="2" s="1"/>
  <c r="P38" i="10"/>
  <c r="B35" i="11" s="1"/>
  <c r="AB39" i="10"/>
  <c r="N36" i="11" s="1"/>
  <c r="AJ35" i="2" a="1"/>
  <c r="AJ35" i="2" s="1"/>
  <c r="V37" i="10"/>
  <c r="H34" i="11" s="1"/>
  <c r="AC39" i="10"/>
  <c r="O36" i="11" s="1"/>
  <c r="AP37" i="2" a="1"/>
  <c r="AP37" i="2" s="1"/>
  <c r="AM34" i="2" a="1"/>
  <c r="AM34" i="2" s="1"/>
  <c r="R36" i="10"/>
  <c r="D33" i="11" s="1"/>
  <c r="S36" i="10"/>
  <c r="E33" i="11" s="1"/>
  <c r="T36" i="10"/>
  <c r="F33" i="11" s="1"/>
  <c r="AA40" i="10" l="1"/>
  <c r="M37" i="11" s="1"/>
  <c r="AB40" i="10"/>
  <c r="N37" i="11" s="1"/>
  <c r="AC40" i="10"/>
  <c r="O37" i="11" s="1"/>
  <c r="AP38" i="2" a="1"/>
  <c r="AP38" i="2" s="1"/>
  <c r="V38" i="10"/>
  <c r="H35" i="11" s="1"/>
  <c r="AJ36" i="2" a="1"/>
  <c r="AJ36" i="2" s="1"/>
  <c r="P39" i="10"/>
  <c r="B36" i="11" s="1"/>
  <c r="AN37" i="2" a="1"/>
  <c r="AN37" i="2" s="1"/>
  <c r="AO70" i="2" a="1"/>
  <c r="AO70" i="2" s="1"/>
  <c r="Q72" i="10"/>
  <c r="C69" i="11" s="1"/>
  <c r="AD36" i="10"/>
  <c r="AM35" i="2" a="1"/>
  <c r="AM35" i="2" s="1"/>
  <c r="R37" i="10"/>
  <c r="D34" i="11" s="1"/>
  <c r="S37" i="10"/>
  <c r="E34" i="11" s="1"/>
  <c r="T37" i="10"/>
  <c r="F34" i="11" s="1"/>
  <c r="U37" i="10"/>
  <c r="G34" i="11" s="1"/>
  <c r="AK39" i="2" a="1"/>
  <c r="AK39" i="2" s="1"/>
  <c r="AB41" i="10"/>
  <c r="N38" i="11" s="1"/>
  <c r="AO71" i="2" l="1" a="1"/>
  <c r="AO71" i="2" s="1"/>
  <c r="Q74" i="10" s="1"/>
  <c r="C71" i="11" s="1"/>
  <c r="Q73" i="10"/>
  <c r="C70" i="11" s="1"/>
  <c r="AD37" i="10"/>
  <c r="AJ37" i="2" a="1"/>
  <c r="AJ37" i="2" s="1"/>
  <c r="V39" i="10"/>
  <c r="H36" i="11" s="1"/>
  <c r="AN38" i="2" a="1"/>
  <c r="AN38" i="2" s="1"/>
  <c r="P40" i="10"/>
  <c r="B37" i="11" s="1"/>
  <c r="T38" i="10"/>
  <c r="F35" i="11" s="1"/>
  <c r="U38" i="10"/>
  <c r="G35" i="11" s="1"/>
  <c r="AP39" i="2" a="1"/>
  <c r="AP39" i="2" s="1"/>
  <c r="AC41" i="10"/>
  <c r="O38" i="11" s="1"/>
  <c r="AK40" i="2" a="1"/>
  <c r="AK40" i="2" s="1"/>
  <c r="AA42" i="10"/>
  <c r="M39" i="11" s="1"/>
  <c r="AB42" i="10"/>
  <c r="N39" i="11" s="1"/>
  <c r="AM36" i="2" a="1"/>
  <c r="AM36" i="2" s="1"/>
  <c r="R38" i="10"/>
  <c r="D35" i="11" s="1"/>
  <c r="S38" i="10"/>
  <c r="E35" i="11" s="1"/>
  <c r="AD38" i="10" l="1"/>
  <c r="AP40" i="2" a="1"/>
  <c r="AP40" i="2" s="1"/>
  <c r="AC42" i="10"/>
  <c r="O39" i="11" s="1"/>
  <c r="P41" i="10"/>
  <c r="B38" i="11" s="1"/>
  <c r="AN39" i="2" a="1"/>
  <c r="AN39" i="2" s="1"/>
  <c r="AJ38" i="2" a="1"/>
  <c r="AJ38" i="2" s="1"/>
  <c r="V40" i="10"/>
  <c r="H37" i="11" s="1"/>
  <c r="AM37" i="2" a="1"/>
  <c r="AM37" i="2" s="1"/>
  <c r="R39" i="10"/>
  <c r="D36" i="11" s="1"/>
  <c r="S39" i="10"/>
  <c r="E36" i="11" s="1"/>
  <c r="T39" i="10"/>
  <c r="F36" i="11" s="1"/>
  <c r="U39" i="10"/>
  <c r="G36" i="11" s="1"/>
  <c r="AK41" i="2" a="1"/>
  <c r="AK41" i="2" s="1"/>
  <c r="AA43" i="10"/>
  <c r="M40" i="11" s="1"/>
  <c r="AB43" i="10"/>
  <c r="N40" i="11" s="1"/>
  <c r="T40" i="10" l="1"/>
  <c r="F37" i="11" s="1"/>
  <c r="U40" i="10"/>
  <c r="G37" i="11" s="1"/>
  <c r="AD39" i="10"/>
  <c r="AN40" i="2" a="1"/>
  <c r="AN40" i="2" s="1"/>
  <c r="P42" i="10"/>
  <c r="B39" i="11" s="1"/>
  <c r="AP41" i="2" a="1"/>
  <c r="AP41" i="2" s="1"/>
  <c r="AC43" i="10"/>
  <c r="O40" i="11" s="1"/>
  <c r="AJ39" i="2" a="1"/>
  <c r="AJ39" i="2" s="1"/>
  <c r="V41" i="10"/>
  <c r="H38" i="11" s="1"/>
  <c r="AK42" i="2" a="1"/>
  <c r="AK42" i="2" s="1"/>
  <c r="AA44" i="10"/>
  <c r="M41" i="11" s="1"/>
  <c r="AB44" i="10"/>
  <c r="N41" i="11" s="1"/>
  <c r="AM38" i="2" a="1"/>
  <c r="AM38" i="2" s="1"/>
  <c r="R40" i="10"/>
  <c r="D37" i="11" s="1"/>
  <c r="S40" i="10"/>
  <c r="E37" i="11" s="1"/>
  <c r="P43" i="10" l="1"/>
  <c r="B40" i="11" s="1"/>
  <c r="AN41" i="2" a="1"/>
  <c r="AN41" i="2" s="1"/>
  <c r="AJ40" i="2" a="1"/>
  <c r="AJ40" i="2" s="1"/>
  <c r="V42" i="10"/>
  <c r="H39" i="11" s="1"/>
  <c r="AC44" i="10"/>
  <c r="O41" i="11" s="1"/>
  <c r="AP42" i="2" a="1"/>
  <c r="AP42" i="2" s="1"/>
  <c r="AD40" i="10"/>
  <c r="AM39" i="2" a="1"/>
  <c r="AM39" i="2" s="1"/>
  <c r="R41" i="10"/>
  <c r="D38" i="11" s="1"/>
  <c r="S41" i="10"/>
  <c r="E38" i="11" s="1"/>
  <c r="T41" i="10"/>
  <c r="F38" i="11" s="1"/>
  <c r="U41" i="10"/>
  <c r="G38" i="11" s="1"/>
  <c r="AK43" i="2" a="1"/>
  <c r="AK43" i="2" s="1"/>
  <c r="AA45" i="10"/>
  <c r="M42" i="11" s="1"/>
  <c r="AB45" i="10"/>
  <c r="N42" i="11" s="1"/>
  <c r="S42" i="10" l="1"/>
  <c r="E39" i="11" s="1"/>
  <c r="T42" i="10"/>
  <c r="F39" i="11" s="1"/>
  <c r="AC45" i="10"/>
  <c r="O42" i="11" s="1"/>
  <c r="AP43" i="2" a="1"/>
  <c r="AP43" i="2" s="1"/>
  <c r="AD41" i="10"/>
  <c r="AJ41" i="2" a="1"/>
  <c r="AJ41" i="2" s="1"/>
  <c r="V43" i="10"/>
  <c r="H40" i="11" s="1"/>
  <c r="P44" i="10"/>
  <c r="B41" i="11" s="1"/>
  <c r="AN42" i="2" a="1"/>
  <c r="AN42" i="2" s="1"/>
  <c r="AK44" i="2" a="1"/>
  <c r="AK44" i="2" s="1"/>
  <c r="AA46" i="10"/>
  <c r="M43" i="11" s="1"/>
  <c r="AB46" i="10"/>
  <c r="N43" i="11" s="1"/>
  <c r="AM40" i="2" a="1"/>
  <c r="AM40" i="2" s="1"/>
  <c r="R42" i="10"/>
  <c r="D39" i="11" s="1"/>
  <c r="U42" i="10"/>
  <c r="G39" i="11" s="1"/>
  <c r="AD42" i="10" l="1"/>
  <c r="AP44" i="2" a="1"/>
  <c r="AP44" i="2" s="1"/>
  <c r="AC46" i="10"/>
  <c r="O43" i="11" s="1"/>
  <c r="T43" i="10"/>
  <c r="F40" i="11" s="1"/>
  <c r="U43" i="10"/>
  <c r="G40" i="11" s="1"/>
  <c r="AJ42" i="2" a="1"/>
  <c r="AJ42" i="2" s="1"/>
  <c r="V44" i="10"/>
  <c r="H41" i="11" s="1"/>
  <c r="AN43" i="2" a="1"/>
  <c r="AN43" i="2" s="1"/>
  <c r="P45" i="10"/>
  <c r="B42" i="11" s="1"/>
  <c r="AM41" i="2" a="1"/>
  <c r="AM41" i="2" s="1"/>
  <c r="R43" i="10"/>
  <c r="D40" i="11" s="1"/>
  <c r="S43" i="10"/>
  <c r="E40" i="11" s="1"/>
  <c r="AK45" i="2" a="1"/>
  <c r="AK45" i="2" s="1"/>
  <c r="AA47" i="10"/>
  <c r="M44" i="11" s="1"/>
  <c r="AB47" i="10"/>
  <c r="N44" i="11" s="1"/>
  <c r="S44" i="10" l="1"/>
  <c r="E41" i="11" s="1"/>
  <c r="R44" i="10"/>
  <c r="D41" i="11" s="1"/>
  <c r="AJ43" i="2" a="1"/>
  <c r="AJ43" i="2" s="1"/>
  <c r="V45" i="10"/>
  <c r="H42" i="11" s="1"/>
  <c r="AD43" i="10"/>
  <c r="AC47" i="10"/>
  <c r="O44" i="11" s="1"/>
  <c r="AP45" i="2" a="1"/>
  <c r="AP45" i="2" s="1"/>
  <c r="AN44" i="2" a="1"/>
  <c r="AN44" i="2" s="1"/>
  <c r="P46" i="10"/>
  <c r="B43" i="11" s="1"/>
  <c r="AK46" i="2" a="1"/>
  <c r="AK46" i="2" s="1"/>
  <c r="AA48" i="10"/>
  <c r="M45" i="11" s="1"/>
  <c r="AB48" i="10"/>
  <c r="N45" i="11" s="1"/>
  <c r="AM42" i="2" a="1"/>
  <c r="AM42" i="2" s="1"/>
  <c r="T44" i="10"/>
  <c r="F41" i="11" s="1"/>
  <c r="U44" i="10"/>
  <c r="G41" i="11" s="1"/>
  <c r="AN45" i="2" l="1" a="1"/>
  <c r="AN45" i="2" s="1"/>
  <c r="P47" i="10"/>
  <c r="B44" i="11" s="1"/>
  <c r="AP46" i="2" a="1"/>
  <c r="AP46" i="2" s="1"/>
  <c r="AC48" i="10"/>
  <c r="O45" i="11" s="1"/>
  <c r="T45" i="10"/>
  <c r="F42" i="11" s="1"/>
  <c r="U45" i="10"/>
  <c r="G42" i="11" s="1"/>
  <c r="AJ44" i="2" a="1"/>
  <c r="AJ44" i="2" s="1"/>
  <c r="V46" i="10"/>
  <c r="H43" i="11" s="1"/>
  <c r="AD44" i="10"/>
  <c r="AM43" i="2" a="1"/>
  <c r="AM43" i="2" s="1"/>
  <c r="R45" i="10"/>
  <c r="D42" i="11" s="1"/>
  <c r="S45" i="10"/>
  <c r="E42" i="11" s="1"/>
  <c r="AK47" i="2" a="1"/>
  <c r="AK47" i="2" s="1"/>
  <c r="AA49" i="10"/>
  <c r="M46" i="11" s="1"/>
  <c r="AB49" i="10"/>
  <c r="N46" i="11" s="1"/>
  <c r="AD45" i="10" l="1"/>
  <c r="R46" i="10"/>
  <c r="D43" i="11" s="1"/>
  <c r="S46" i="10"/>
  <c r="E43" i="11" s="1"/>
  <c r="AJ45" i="2" a="1"/>
  <c r="AJ45" i="2" s="1"/>
  <c r="V47" i="10"/>
  <c r="H44" i="11" s="1"/>
  <c r="AC49" i="10"/>
  <c r="O46" i="11" s="1"/>
  <c r="AP47" i="2" a="1"/>
  <c r="AP47" i="2" s="1"/>
  <c r="AN46" i="2" a="1"/>
  <c r="AN46" i="2" s="1"/>
  <c r="P48" i="10"/>
  <c r="B45" i="11" s="1"/>
  <c r="AK48" i="2" a="1"/>
  <c r="AK48" i="2" s="1"/>
  <c r="AA50" i="10"/>
  <c r="M47" i="11" s="1"/>
  <c r="AB50" i="10"/>
  <c r="N47" i="11" s="1"/>
  <c r="AM44" i="2" a="1"/>
  <c r="AM44" i="2" s="1"/>
  <c r="T46" i="10"/>
  <c r="F43" i="11" s="1"/>
  <c r="U46" i="10"/>
  <c r="G43" i="11" s="1"/>
  <c r="AP48" i="2" l="1" a="1"/>
  <c r="AP48" i="2" s="1"/>
  <c r="AC50" i="10"/>
  <c r="O47" i="11" s="1"/>
  <c r="V48" i="10"/>
  <c r="H45" i="11" s="1"/>
  <c r="AJ46" i="2" a="1"/>
  <c r="AJ46" i="2" s="1"/>
  <c r="T47" i="10"/>
  <c r="F44" i="11" s="1"/>
  <c r="S47" i="10"/>
  <c r="E44" i="11" s="1"/>
  <c r="AN47" i="2" a="1"/>
  <c r="AN47" i="2" s="1"/>
  <c r="P49" i="10"/>
  <c r="B46" i="11" s="1"/>
  <c r="AD46" i="10"/>
  <c r="AM45" i="2" a="1"/>
  <c r="AM45" i="2" s="1"/>
  <c r="R48" i="10" s="1"/>
  <c r="D45" i="11" s="1"/>
  <c r="R47" i="10"/>
  <c r="D44" i="11" s="1"/>
  <c r="U47" i="10"/>
  <c r="G44" i="11" s="1"/>
  <c r="AK49" i="2" a="1"/>
  <c r="AK49" i="2" s="1"/>
  <c r="AB51" i="10"/>
  <c r="N48" i="11" s="1"/>
  <c r="AA51" i="10"/>
  <c r="M48" i="11" s="1"/>
  <c r="AD47" i="10" l="1"/>
  <c r="AN48" i="2" a="1"/>
  <c r="AN48" i="2" s="1"/>
  <c r="P50" i="10"/>
  <c r="B47" i="11" s="1"/>
  <c r="AC51" i="10"/>
  <c r="O48" i="11" s="1"/>
  <c r="AP49" i="2" a="1"/>
  <c r="AP49" i="2" s="1"/>
  <c r="AJ47" i="2" a="1"/>
  <c r="AJ47" i="2" s="1"/>
  <c r="V49" i="10"/>
  <c r="H46" i="11" s="1"/>
  <c r="AK50" i="2" a="1"/>
  <c r="AK50" i="2" s="1"/>
  <c r="AA52" i="10"/>
  <c r="M49" i="11" s="1"/>
  <c r="AB52" i="10"/>
  <c r="N49" i="11" s="1"/>
  <c r="AM46" i="2" a="1"/>
  <c r="AM46" i="2" s="1"/>
  <c r="U48" i="10"/>
  <c r="G45" i="11" s="1"/>
  <c r="S48" i="10"/>
  <c r="E45" i="11" s="1"/>
  <c r="T48" i="10"/>
  <c r="F45" i="11" s="1"/>
  <c r="S49" i="10" l="1"/>
  <c r="E46" i="11" s="1"/>
  <c r="T49" i="10"/>
  <c r="F46" i="11" s="1"/>
  <c r="AD48" i="10"/>
  <c r="V50" i="10"/>
  <c r="H47" i="11" s="1"/>
  <c r="AJ48" i="2" a="1"/>
  <c r="AJ48" i="2" s="1"/>
  <c r="AP50" i="2" a="1"/>
  <c r="AP50" i="2" s="1"/>
  <c r="AC52" i="10"/>
  <c r="O49" i="11" s="1"/>
  <c r="AN49" i="2" a="1"/>
  <c r="AN49" i="2" s="1"/>
  <c r="P51" i="10"/>
  <c r="B48" i="11" s="1"/>
  <c r="AM47" i="2" a="1"/>
  <c r="AM47" i="2" s="1"/>
  <c r="R50" i="10" s="1"/>
  <c r="D47" i="11" s="1"/>
  <c r="R49" i="10"/>
  <c r="D46" i="11" s="1"/>
  <c r="U49" i="10"/>
  <c r="G46" i="11" s="1"/>
  <c r="AK51" i="2" a="1"/>
  <c r="AK51" i="2" s="1"/>
  <c r="AA53" i="10"/>
  <c r="M50" i="11" s="1"/>
  <c r="AB53" i="10"/>
  <c r="N50" i="11" s="1"/>
  <c r="AD49" i="10" l="1"/>
  <c r="AP51" i="2" a="1"/>
  <c r="AP51" i="2" s="1"/>
  <c r="AC53" i="10"/>
  <c r="O50" i="11" s="1"/>
  <c r="AJ49" i="2" a="1"/>
  <c r="AJ49" i="2" s="1"/>
  <c r="V51" i="10"/>
  <c r="H48" i="11" s="1"/>
  <c r="AN50" i="2" a="1"/>
  <c r="AN50" i="2" s="1"/>
  <c r="P52" i="10"/>
  <c r="B49" i="11" s="1"/>
  <c r="AK52" i="2" a="1"/>
  <c r="AK52" i="2" s="1"/>
  <c r="AA54" i="10"/>
  <c r="M51" i="11" s="1"/>
  <c r="AB54" i="10"/>
  <c r="N51" i="11" s="1"/>
  <c r="AM48" i="2" a="1"/>
  <c r="AM48" i="2" s="1"/>
  <c r="U50" i="10"/>
  <c r="G47" i="11" s="1"/>
  <c r="S50" i="10"/>
  <c r="E47" i="11" s="1"/>
  <c r="T50" i="10"/>
  <c r="F47" i="11" s="1"/>
  <c r="AN51" i="2" l="1" a="1"/>
  <c r="AN51" i="2" s="1"/>
  <c r="P53" i="10"/>
  <c r="B50" i="11" s="1"/>
  <c r="V52" i="10"/>
  <c r="H49" i="11" s="1"/>
  <c r="AJ50" i="2" a="1"/>
  <c r="AJ50" i="2" s="1"/>
  <c r="S51" i="10"/>
  <c r="E48" i="11" s="1"/>
  <c r="T51" i="10"/>
  <c r="F48" i="11" s="1"/>
  <c r="AD50" i="10"/>
  <c r="AP52" i="2" a="1"/>
  <c r="AP52" i="2" s="1"/>
  <c r="AC54" i="10"/>
  <c r="O51" i="11" s="1"/>
  <c r="AM49" i="2" a="1"/>
  <c r="AM49" i="2" s="1"/>
  <c r="R52" i="10" s="1"/>
  <c r="D49" i="11" s="1"/>
  <c r="R51" i="10"/>
  <c r="D48" i="11" s="1"/>
  <c r="U51" i="10"/>
  <c r="G48" i="11" s="1"/>
  <c r="AK53" i="2" a="1"/>
  <c r="AK53" i="2" s="1"/>
  <c r="AB55" i="10"/>
  <c r="N52" i="11" s="1"/>
  <c r="AA55" i="10"/>
  <c r="M52" i="11" s="1"/>
  <c r="AD51" i="10" l="1"/>
  <c r="AP53" i="2" a="1"/>
  <c r="AP53" i="2" s="1"/>
  <c r="AC55" i="10"/>
  <c r="O52" i="11" s="1"/>
  <c r="AJ51" i="2" a="1"/>
  <c r="AJ51" i="2" s="1"/>
  <c r="V53" i="10"/>
  <c r="H50" i="11" s="1"/>
  <c r="AN52" i="2" a="1"/>
  <c r="AN52" i="2" s="1"/>
  <c r="P54" i="10"/>
  <c r="B51" i="11" s="1"/>
  <c r="AK54" i="2" a="1"/>
  <c r="AK54" i="2" s="1"/>
  <c r="AA56" i="10"/>
  <c r="M53" i="11" s="1"/>
  <c r="AB56" i="10"/>
  <c r="N53" i="11" s="1"/>
  <c r="AM50" i="2" a="1"/>
  <c r="AM50" i="2" s="1"/>
  <c r="U52" i="10"/>
  <c r="G49" i="11" s="1"/>
  <c r="S52" i="10"/>
  <c r="E49" i="11" s="1"/>
  <c r="T52" i="10"/>
  <c r="F49" i="11" s="1"/>
  <c r="T53" i="10" l="1"/>
  <c r="F50" i="11" s="1"/>
  <c r="S53" i="10"/>
  <c r="E50" i="11" s="1"/>
  <c r="AD52" i="10"/>
  <c r="AN53" i="2" a="1"/>
  <c r="AN53" i="2" s="1"/>
  <c r="P55" i="10"/>
  <c r="B52" i="11" s="1"/>
  <c r="V54" i="10"/>
  <c r="H51" i="11" s="1"/>
  <c r="AJ52" i="2" a="1"/>
  <c r="AJ52" i="2" s="1"/>
  <c r="AC56" i="10"/>
  <c r="O53" i="11" s="1"/>
  <c r="AP54" i="2" a="1"/>
  <c r="AP54" i="2" s="1"/>
  <c r="AM51" i="2" a="1"/>
  <c r="AM51" i="2" s="1"/>
  <c r="R54" i="10" s="1"/>
  <c r="D51" i="11" s="1"/>
  <c r="R53" i="10"/>
  <c r="D50" i="11" s="1"/>
  <c r="U53" i="10"/>
  <c r="G50" i="11" s="1"/>
  <c r="AK55" i="2" a="1"/>
  <c r="AK55" i="2" s="1"/>
  <c r="AA57" i="10"/>
  <c r="M54" i="11" s="1"/>
  <c r="AB57" i="10"/>
  <c r="N54" i="11" s="1"/>
  <c r="AD53" i="10" l="1"/>
  <c r="V55" i="10"/>
  <c r="H52" i="11" s="1"/>
  <c r="AJ53" i="2" a="1"/>
  <c r="AJ53" i="2" s="1"/>
  <c r="AN54" i="2" a="1"/>
  <c r="AN54" i="2" s="1"/>
  <c r="P56" i="10"/>
  <c r="B53" i="11" s="1"/>
  <c r="AP55" i="2" a="1"/>
  <c r="AP55" i="2" s="1"/>
  <c r="AC57" i="10"/>
  <c r="O54" i="11" s="1"/>
  <c r="AK56" i="2" a="1"/>
  <c r="AK56" i="2" s="1"/>
  <c r="AB59" i="10" s="1"/>
  <c r="N56" i="11" s="1"/>
  <c r="AA58" i="10"/>
  <c r="M55" i="11" s="1"/>
  <c r="AB58" i="10"/>
  <c r="N55" i="11" s="1"/>
  <c r="AM52" i="2" a="1"/>
  <c r="AM52" i="2" s="1"/>
  <c r="U54" i="10"/>
  <c r="G51" i="11" s="1"/>
  <c r="S54" i="10"/>
  <c r="E51" i="11" s="1"/>
  <c r="T54" i="10"/>
  <c r="F51" i="11" s="1"/>
  <c r="S55" i="10" l="1"/>
  <c r="E52" i="11" s="1"/>
  <c r="R55" i="10"/>
  <c r="D52" i="11" s="1"/>
  <c r="AP56" i="2" a="1"/>
  <c r="AP56" i="2" s="1"/>
  <c r="AC58" i="10"/>
  <c r="O55" i="11" s="1"/>
  <c r="AD54" i="10"/>
  <c r="AN55" i="2" a="1"/>
  <c r="AN55" i="2" s="1"/>
  <c r="P57" i="10"/>
  <c r="B54" i="11" s="1"/>
  <c r="AJ54" i="2" a="1"/>
  <c r="AJ54" i="2" s="1"/>
  <c r="V56" i="10"/>
  <c r="H53" i="11" s="1"/>
  <c r="AM53" i="2" a="1"/>
  <c r="AM53" i="2" s="1"/>
  <c r="T55" i="10"/>
  <c r="F52" i="11" s="1"/>
  <c r="U55" i="10"/>
  <c r="G52" i="11" s="1"/>
  <c r="AK57" i="2" a="1"/>
  <c r="AK57" i="2" s="1"/>
  <c r="AA59" i="10"/>
  <c r="M56" i="11" s="1"/>
  <c r="AJ55" i="2" l="1" a="1"/>
  <c r="AJ55" i="2" s="1"/>
  <c r="V57" i="10"/>
  <c r="H54" i="11" s="1"/>
  <c r="AN56" i="2" a="1"/>
  <c r="AN56" i="2" s="1"/>
  <c r="P58" i="10"/>
  <c r="B55" i="11" s="1"/>
  <c r="AP57" i="2" a="1"/>
  <c r="AP57" i="2" s="1"/>
  <c r="AC59" i="10"/>
  <c r="O56" i="11" s="1"/>
  <c r="AD55" i="10"/>
  <c r="AK58" i="2" a="1"/>
  <c r="AK58" i="2" s="1"/>
  <c r="AB61" i="10" s="1"/>
  <c r="N58" i="11" s="1"/>
  <c r="AA60" i="10"/>
  <c r="M57" i="11" s="1"/>
  <c r="AB60" i="10"/>
  <c r="N57" i="11" s="1"/>
  <c r="AM54" i="2" a="1"/>
  <c r="AM54" i="2" s="1"/>
  <c r="T56" i="10"/>
  <c r="F53" i="11" s="1"/>
  <c r="U56" i="10"/>
  <c r="G53" i="11" s="1"/>
  <c r="R56" i="10"/>
  <c r="D53" i="11" s="1"/>
  <c r="S56" i="10"/>
  <c r="E53" i="11" s="1"/>
  <c r="AJ56" i="2" l="1" a="1"/>
  <c r="AJ56" i="2" s="1"/>
  <c r="V58" i="10"/>
  <c r="H55" i="11" s="1"/>
  <c r="AD56" i="10"/>
  <c r="S57" i="10"/>
  <c r="E54" i="11" s="1"/>
  <c r="R57" i="10"/>
  <c r="D54" i="11" s="1"/>
  <c r="AC60" i="10"/>
  <c r="O57" i="11" s="1"/>
  <c r="AP58" i="2" a="1"/>
  <c r="AP58" i="2" s="1"/>
  <c r="AN57" i="2" a="1"/>
  <c r="AN57" i="2" s="1"/>
  <c r="P59" i="10"/>
  <c r="B56" i="11" s="1"/>
  <c r="AM55" i="2" a="1"/>
  <c r="AM55" i="2" s="1"/>
  <c r="T57" i="10"/>
  <c r="F54" i="11" s="1"/>
  <c r="U57" i="10"/>
  <c r="G54" i="11" s="1"/>
  <c r="AK59" i="2" a="1"/>
  <c r="AK59" i="2" s="1"/>
  <c r="AA61" i="10"/>
  <c r="M58" i="11" s="1"/>
  <c r="AN58" i="2" l="1" a="1"/>
  <c r="AN58" i="2" s="1"/>
  <c r="P60" i="10"/>
  <c r="B57" i="11" s="1"/>
  <c r="AD57" i="10"/>
  <c r="AP59" i="2" a="1"/>
  <c r="AP59" i="2" s="1"/>
  <c r="AC61" i="10"/>
  <c r="O58" i="11" s="1"/>
  <c r="AJ57" i="2" a="1"/>
  <c r="AJ57" i="2" s="1"/>
  <c r="V59" i="10"/>
  <c r="H56" i="11" s="1"/>
  <c r="AK60" i="2" a="1"/>
  <c r="AK60" i="2" s="1"/>
  <c r="AA62" i="10"/>
  <c r="M59" i="11" s="1"/>
  <c r="AB62" i="10"/>
  <c r="N59" i="11" s="1"/>
  <c r="AM56" i="2" a="1"/>
  <c r="AM56" i="2" s="1"/>
  <c r="R59" i="10" s="1"/>
  <c r="D56" i="11" s="1"/>
  <c r="T58" i="10"/>
  <c r="F55" i="11" s="1"/>
  <c r="U58" i="10"/>
  <c r="G55" i="11" s="1"/>
  <c r="R58" i="10"/>
  <c r="D55" i="11" s="1"/>
  <c r="S58" i="10"/>
  <c r="E55" i="11" s="1"/>
  <c r="AD58" i="10" l="1"/>
  <c r="AK61" i="2" a="1"/>
  <c r="AK61" i="2" s="1"/>
  <c r="AK62" i="2" s="1" a="1"/>
  <c r="AK62" i="2" s="1"/>
  <c r="AA63" i="10"/>
  <c r="M60" i="11" s="1"/>
  <c r="AB63" i="10"/>
  <c r="N60" i="11" s="1"/>
  <c r="AJ58" i="2" a="1"/>
  <c r="AJ58" i="2" s="1"/>
  <c r="V60" i="10"/>
  <c r="H57" i="11" s="1"/>
  <c r="AP60" i="2" a="1"/>
  <c r="AP60" i="2" s="1"/>
  <c r="AC62" i="10"/>
  <c r="O59" i="11" s="1"/>
  <c r="AN59" i="2" a="1"/>
  <c r="AN59" i="2" s="1"/>
  <c r="P61" i="10"/>
  <c r="B58" i="11" s="1"/>
  <c r="AM57" i="2" a="1"/>
  <c r="AM57" i="2" s="1"/>
  <c r="S59" i="10"/>
  <c r="E56" i="11" s="1"/>
  <c r="T59" i="10"/>
  <c r="F56" i="11" s="1"/>
  <c r="U59" i="10"/>
  <c r="G56" i="11" s="1"/>
  <c r="AK63" i="2" l="1" a="1"/>
  <c r="AK63" i="2" s="1"/>
  <c r="AA66" i="10" s="1"/>
  <c r="M63" i="11" s="1"/>
  <c r="AA65" i="10"/>
  <c r="M62" i="11" s="1"/>
  <c r="AB65" i="10"/>
  <c r="N62" i="11" s="1"/>
  <c r="P62" i="10"/>
  <c r="B59" i="11" s="1"/>
  <c r="AN60" i="2" a="1"/>
  <c r="AN60" i="2" s="1"/>
  <c r="AD59" i="10"/>
  <c r="AJ59" i="2" a="1"/>
  <c r="AJ59" i="2" s="1"/>
  <c r="V61" i="10"/>
  <c r="H58" i="11" s="1"/>
  <c r="AP61" i="2" a="1"/>
  <c r="AP61" i="2" s="1"/>
  <c r="AC63" i="10"/>
  <c r="O60" i="11" s="1"/>
  <c r="AB64" i="10"/>
  <c r="N61" i="11" s="1"/>
  <c r="AA64" i="10"/>
  <c r="M61" i="11" s="1"/>
  <c r="AM58" i="2" a="1"/>
  <c r="AM58" i="2" s="1"/>
  <c r="R61" i="10" s="1"/>
  <c r="D58" i="11" s="1"/>
  <c r="S60" i="10"/>
  <c r="E57" i="11" s="1"/>
  <c r="T60" i="10"/>
  <c r="F57" i="11" s="1"/>
  <c r="U60" i="10"/>
  <c r="G57" i="11" s="1"/>
  <c r="R60" i="10"/>
  <c r="D57" i="11" s="1"/>
  <c r="AP62" i="2" l="1" a="1"/>
  <c r="AP62" i="2" s="1"/>
  <c r="AC64" i="10"/>
  <c r="O61" i="11" s="1"/>
  <c r="AK64" i="2" a="1"/>
  <c r="AK64" i="2" s="1"/>
  <c r="AA67" i="10" s="1"/>
  <c r="M64" i="11" s="1"/>
  <c r="AJ60" i="2" a="1"/>
  <c r="AJ60" i="2" s="1"/>
  <c r="V62" i="10"/>
  <c r="H59" i="11" s="1"/>
  <c r="AB66" i="10"/>
  <c r="N63" i="11" s="1"/>
  <c r="AN61" i="2" a="1"/>
  <c r="AN61" i="2" s="1"/>
  <c r="P63" i="10"/>
  <c r="B60" i="11" s="1"/>
  <c r="AD60" i="10"/>
  <c r="AM59" i="2" a="1"/>
  <c r="AM59" i="2" s="1"/>
  <c r="S61" i="10"/>
  <c r="E58" i="11" s="1"/>
  <c r="T61" i="10"/>
  <c r="F58" i="11" s="1"/>
  <c r="U61" i="10"/>
  <c r="G58" i="11" s="1"/>
  <c r="AB67" i="10" l="1"/>
  <c r="N64" i="11" s="1"/>
  <c r="AN62" i="2" a="1"/>
  <c r="AN62" i="2" s="1"/>
  <c r="P64" i="10"/>
  <c r="B61" i="11" s="1"/>
  <c r="AK65" i="2" a="1"/>
  <c r="AK65" i="2" s="1"/>
  <c r="AB68" i="10" s="1"/>
  <c r="N65" i="11" s="1"/>
  <c r="AJ61" i="2" a="1"/>
  <c r="AJ61" i="2" s="1"/>
  <c r="V63" i="10"/>
  <c r="H60" i="11" s="1"/>
  <c r="AD61" i="10"/>
  <c r="AP63" i="2" a="1"/>
  <c r="AP63" i="2" s="1"/>
  <c r="AC65" i="10"/>
  <c r="O62" i="11" s="1"/>
  <c r="AM60" i="2" a="1"/>
  <c r="AM60" i="2" s="1"/>
  <c r="R62" i="10"/>
  <c r="D59" i="11" s="1"/>
  <c r="S62" i="10"/>
  <c r="E59" i="11" s="1"/>
  <c r="T62" i="10"/>
  <c r="F59" i="11" s="1"/>
  <c r="U62" i="10"/>
  <c r="G59" i="11" s="1"/>
  <c r="AD62" i="10" l="1"/>
  <c r="AA68" i="10"/>
  <c r="M65" i="11" s="1"/>
  <c r="AK66" i="2" a="1"/>
  <c r="AK66" i="2" s="1"/>
  <c r="AA69" i="10" s="1"/>
  <c r="M66" i="11" s="1"/>
  <c r="AP64" i="2" a="1"/>
  <c r="AP64" i="2" s="1"/>
  <c r="AC66" i="10"/>
  <c r="O63" i="11" s="1"/>
  <c r="V64" i="10"/>
  <c r="H61" i="11" s="1"/>
  <c r="AJ62" i="2" a="1"/>
  <c r="AJ62" i="2" s="1"/>
  <c r="AN63" i="2" a="1"/>
  <c r="AN63" i="2" s="1"/>
  <c r="P65" i="10"/>
  <c r="B62" i="11" s="1"/>
  <c r="AM61" i="2" a="1"/>
  <c r="AM61" i="2" s="1"/>
  <c r="U63" i="10"/>
  <c r="G60" i="11" s="1"/>
  <c r="R63" i="10"/>
  <c r="D60" i="11" s="1"/>
  <c r="S63" i="10"/>
  <c r="E60" i="11" s="1"/>
  <c r="T63" i="10"/>
  <c r="F60" i="11" s="1"/>
  <c r="AB69" i="10" l="1"/>
  <c r="N66" i="11" s="1"/>
  <c r="AD63" i="10"/>
  <c r="AK67" i="2" a="1"/>
  <c r="AK67" i="2" s="1"/>
  <c r="AB70" i="10" s="1"/>
  <c r="N67" i="11" s="1"/>
  <c r="AN64" i="2" a="1"/>
  <c r="AN64" i="2" s="1"/>
  <c r="P66" i="10"/>
  <c r="B63" i="11" s="1"/>
  <c r="AJ63" i="2" a="1"/>
  <c r="AJ63" i="2" s="1"/>
  <c r="V65" i="10"/>
  <c r="H62" i="11" s="1"/>
  <c r="AC67" i="10"/>
  <c r="O64" i="11" s="1"/>
  <c r="AP65" i="2" a="1"/>
  <c r="AP65" i="2" s="1"/>
  <c r="AM62" i="2" a="1"/>
  <c r="AM62" i="2" s="1"/>
  <c r="R64" i="10"/>
  <c r="D61" i="11" s="1"/>
  <c r="S64" i="10"/>
  <c r="E61" i="11" s="1"/>
  <c r="T64" i="10"/>
  <c r="F61" i="11" s="1"/>
  <c r="U64" i="10"/>
  <c r="G61" i="11" s="1"/>
  <c r="AP66" i="2" l="1" a="1"/>
  <c r="AP66" i="2" s="1"/>
  <c r="AC68" i="10"/>
  <c r="O65" i="11" s="1"/>
  <c r="AD64" i="10"/>
  <c r="AA70" i="10"/>
  <c r="M67" i="11" s="1"/>
  <c r="AJ64" i="2" a="1"/>
  <c r="AJ64" i="2" s="1"/>
  <c r="V66" i="10"/>
  <c r="H63" i="11" s="1"/>
  <c r="AN65" i="2" a="1"/>
  <c r="AN65" i="2" s="1"/>
  <c r="P67" i="10"/>
  <c r="B64" i="11" s="1"/>
  <c r="AK68" i="2" a="1"/>
  <c r="AK68" i="2" s="1"/>
  <c r="AA71" i="10" s="1"/>
  <c r="M68" i="11" s="1"/>
  <c r="AM63" i="2" a="1"/>
  <c r="AM63" i="2" s="1"/>
  <c r="U65" i="10"/>
  <c r="G62" i="11" s="1"/>
  <c r="R65" i="10"/>
  <c r="D62" i="11" s="1"/>
  <c r="S65" i="10"/>
  <c r="E62" i="11" s="1"/>
  <c r="T65" i="10"/>
  <c r="F62" i="11" s="1"/>
  <c r="AK69" i="2" l="1" a="1"/>
  <c r="AK69" i="2" s="1"/>
  <c r="AB72" i="10" s="1"/>
  <c r="N69" i="11" s="1"/>
  <c r="AJ65" i="2" a="1"/>
  <c r="AJ65" i="2" s="1"/>
  <c r="V67" i="10"/>
  <c r="H64" i="11" s="1"/>
  <c r="AB71" i="10"/>
  <c r="N68" i="11" s="1"/>
  <c r="AN66" i="2" a="1"/>
  <c r="AN66" i="2" s="1"/>
  <c r="P68" i="10"/>
  <c r="B65" i="11" s="1"/>
  <c r="AD65" i="10"/>
  <c r="AP67" i="2" a="1"/>
  <c r="AP67" i="2" s="1"/>
  <c r="AC69" i="10"/>
  <c r="O66" i="11" s="1"/>
  <c r="AM64" i="2" a="1"/>
  <c r="AM64" i="2" s="1"/>
  <c r="U67" i="10" s="1"/>
  <c r="G64" i="11" s="1"/>
  <c r="R66" i="10"/>
  <c r="D63" i="11" s="1"/>
  <c r="S66" i="10"/>
  <c r="E63" i="11" s="1"/>
  <c r="T66" i="10"/>
  <c r="F63" i="11" s="1"/>
  <c r="U66" i="10"/>
  <c r="G63" i="11" s="1"/>
  <c r="AK70" i="2" l="1" a="1"/>
  <c r="AK70" i="2" s="1"/>
  <c r="AA73" i="10" s="1"/>
  <c r="M70" i="11" s="1"/>
  <c r="AD66" i="10"/>
  <c r="AA72" i="10"/>
  <c r="M69" i="11" s="1"/>
  <c r="AP68" i="2" a="1"/>
  <c r="AP68" i="2" s="1"/>
  <c r="AC70" i="10"/>
  <c r="O67" i="11" s="1"/>
  <c r="AN67" i="2" a="1"/>
  <c r="AN67" i="2" s="1"/>
  <c r="P69" i="10"/>
  <c r="B66" i="11" s="1"/>
  <c r="AJ66" i="2" a="1"/>
  <c r="AJ66" i="2" s="1"/>
  <c r="V68" i="10"/>
  <c r="H65" i="11" s="1"/>
  <c r="AM65" i="2" a="1"/>
  <c r="AM65" i="2" s="1"/>
  <c r="S67" i="10"/>
  <c r="E64" i="11" s="1"/>
  <c r="T67" i="10"/>
  <c r="F64" i="11" s="1"/>
  <c r="R67" i="10"/>
  <c r="AD67" i="10" l="1"/>
  <c r="D64" i="11"/>
  <c r="AK71" i="2" a="1"/>
  <c r="AK71" i="2" s="1"/>
  <c r="AB73" i="10"/>
  <c r="N70" i="11" s="1"/>
  <c r="AJ67" i="2" a="1"/>
  <c r="AJ67" i="2" s="1"/>
  <c r="V69" i="10"/>
  <c r="H66" i="11" s="1"/>
  <c r="P70" i="10"/>
  <c r="B67" i="11" s="1"/>
  <c r="AN68" i="2" a="1"/>
  <c r="AN68" i="2" s="1"/>
  <c r="AP69" i="2" a="1"/>
  <c r="AP69" i="2" s="1"/>
  <c r="AC71" i="10"/>
  <c r="O68" i="11" s="1"/>
  <c r="AM66" i="2" a="1"/>
  <c r="AM66" i="2" s="1"/>
  <c r="U69" i="10" s="1"/>
  <c r="G66" i="11" s="1"/>
  <c r="R68" i="10"/>
  <c r="S68" i="10"/>
  <c r="E65" i="11" s="1"/>
  <c r="T68" i="10"/>
  <c r="F65" i="11" s="1"/>
  <c r="U68" i="10"/>
  <c r="G65" i="11" s="1"/>
  <c r="AD68" i="10" l="1"/>
  <c r="D65" i="11"/>
  <c r="AP70" i="2" a="1"/>
  <c r="AP70" i="2" s="1"/>
  <c r="AC72" i="10"/>
  <c r="O69" i="11" s="1"/>
  <c r="AN69" i="2" a="1"/>
  <c r="AN69" i="2" s="1"/>
  <c r="P71" i="10"/>
  <c r="B68" i="11" s="1"/>
  <c r="V70" i="10"/>
  <c r="H67" i="11" s="1"/>
  <c r="AJ68" i="2" a="1"/>
  <c r="AJ68" i="2" s="1"/>
  <c r="AA74" i="10"/>
  <c r="M71" i="11" s="1"/>
  <c r="AB74" i="10"/>
  <c r="N71" i="11" s="1"/>
  <c r="AM67" i="2" a="1"/>
  <c r="AM67" i="2" s="1"/>
  <c r="T69" i="10"/>
  <c r="F66" i="11" s="1"/>
  <c r="R69" i="10"/>
  <c r="D66" i="11" s="1"/>
  <c r="S69" i="10"/>
  <c r="E66" i="11" s="1"/>
  <c r="AJ69" i="2" l="1" a="1"/>
  <c r="AJ69" i="2" s="1"/>
  <c r="V71" i="10"/>
  <c r="H68" i="11" s="1"/>
  <c r="AD69" i="10"/>
  <c r="AN70" i="2" a="1"/>
  <c r="AN70" i="2" s="1"/>
  <c r="P72" i="10"/>
  <c r="B69" i="11" s="1"/>
  <c r="AP71" i="2" a="1"/>
  <c r="AP71" i="2" s="1"/>
  <c r="AC74" i="10" s="1"/>
  <c r="O71" i="11" s="1"/>
  <c r="AC73" i="10"/>
  <c r="O70" i="11" s="1"/>
  <c r="AM68" i="2" a="1"/>
  <c r="AM68" i="2" s="1"/>
  <c r="U71" i="10" s="1"/>
  <c r="G68" i="11" s="1"/>
  <c r="R70" i="10"/>
  <c r="D67" i="11" s="1"/>
  <c r="S70" i="10"/>
  <c r="E67" i="11" s="1"/>
  <c r="T70" i="10"/>
  <c r="F67" i="11" s="1"/>
  <c r="U70" i="10"/>
  <c r="G67" i="11" s="1"/>
  <c r="AD70" i="10" l="1"/>
  <c r="AN71" i="2" a="1"/>
  <c r="AN71" i="2" s="1"/>
  <c r="P74" i="10" s="1"/>
  <c r="B71" i="11" s="1"/>
  <c r="P73" i="10"/>
  <c r="B70" i="11" s="1"/>
  <c r="AJ70" i="2" a="1"/>
  <c r="AJ70" i="2" s="1"/>
  <c r="V72" i="10"/>
  <c r="H69" i="11" s="1"/>
  <c r="AM69" i="2" a="1"/>
  <c r="AM69" i="2" s="1"/>
  <c r="R71" i="10"/>
  <c r="D68" i="11" s="1"/>
  <c r="S71" i="10"/>
  <c r="E68" i="11" s="1"/>
  <c r="T71" i="10"/>
  <c r="F68" i="11" s="1"/>
  <c r="AD71" i="10" l="1"/>
  <c r="AJ71" i="2" a="1"/>
  <c r="AJ71" i="2" s="1"/>
  <c r="V74" i="10" s="1"/>
  <c r="H71" i="11" s="1"/>
  <c r="V73" i="10"/>
  <c r="H70" i="11" s="1"/>
  <c r="AM70" i="2" a="1"/>
  <c r="AM70" i="2" s="1"/>
  <c r="U73" i="10" s="1"/>
  <c r="G70" i="11" s="1"/>
  <c r="R72" i="10"/>
  <c r="D69" i="11" s="1"/>
  <c r="S72" i="10"/>
  <c r="E69" i="11" s="1"/>
  <c r="T72" i="10"/>
  <c r="F69" i="11" s="1"/>
  <c r="U72" i="10"/>
  <c r="G69" i="11" s="1"/>
  <c r="AD72" i="10" l="1"/>
  <c r="AM71" i="2" a="1"/>
  <c r="AM71" i="2" s="1"/>
  <c r="S73" i="10"/>
  <c r="E70" i="11" s="1"/>
  <c r="T73" i="10"/>
  <c r="F70" i="11" s="1"/>
  <c r="R73" i="10"/>
  <c r="AD73" i="10" l="1"/>
  <c r="D70" i="11"/>
  <c r="R74" i="10"/>
  <c r="D71" i="11" s="1"/>
  <c r="S74" i="10"/>
  <c r="E71" i="11" s="1"/>
  <c r="T74" i="10"/>
  <c r="F71" i="11" s="1"/>
  <c r="U74" i="10"/>
  <c r="G71" i="11" s="1"/>
  <c r="AD74" i="10" l="1"/>
  <c r="AH6" i="18"/>
  <c r="AH5" i="18"/>
  <c r="AH4" i="18"/>
  <c r="AL22" i="18" l="1"/>
  <c r="AL19" i="18"/>
  <c r="AL21" i="18"/>
  <c r="AL24" i="18"/>
  <c r="AL20" i="18"/>
  <c r="AL23" i="18"/>
  <c r="AP21" i="18"/>
  <c r="AP22" i="18"/>
  <c r="AP24" i="18"/>
  <c r="AP19" i="18"/>
  <c r="AP20" i="18"/>
  <c r="AP23" i="18"/>
  <c r="AO24" i="18"/>
  <c r="AO19" i="18"/>
  <c r="AO22" i="18"/>
  <c r="AO21" i="18"/>
  <c r="AO20" i="18"/>
  <c r="AO23" i="18"/>
  <c r="AK22" i="18"/>
  <c r="AK20" i="18"/>
  <c r="AK19" i="18"/>
  <c r="AK23" i="18"/>
  <c r="AK21" i="18"/>
  <c r="AK24" i="18"/>
  <c r="AM19" i="18"/>
  <c r="AM22" i="18"/>
  <c r="AM21" i="18"/>
  <c r="AM24" i="18"/>
  <c r="AM20" i="18"/>
  <c r="AM23" i="18"/>
  <c r="AN19" i="18"/>
  <c r="AN22" i="18"/>
  <c r="AN21" i="18"/>
  <c r="AN24" i="18"/>
  <c r="AN23" i="18"/>
  <c r="AN20" i="18"/>
  <c r="AJ19" i="18" l="1"/>
  <c r="AH7" i="18"/>
  <c r="AH24" i="18"/>
  <c r="AH19" i="18"/>
  <c r="AJ24" i="18"/>
  <c r="AH12" i="18"/>
  <c r="AH35" i="18"/>
  <c r="AH36" i="18"/>
  <c r="AH20" i="18"/>
  <c r="AH9" i="18"/>
  <c r="AJ21" i="18"/>
  <c r="AJ23" i="18"/>
  <c r="AJ22" i="18"/>
  <c r="AH38" i="18"/>
  <c r="AH26" i="18"/>
  <c r="AH28" i="18"/>
  <c r="AH13" i="18"/>
  <c r="AH29" i="18"/>
  <c r="AH25" i="18"/>
  <c r="AH32" i="18"/>
  <c r="AH18" i="18"/>
  <c r="AH31" i="18"/>
  <c r="AH23" i="18"/>
  <c r="AH42" i="18"/>
  <c r="AH33" i="18"/>
  <c r="AH16" i="18"/>
  <c r="AH40" i="18"/>
  <c r="AH43" i="18"/>
  <c r="AH15" i="18"/>
  <c r="AH17" i="18"/>
  <c r="AH21" i="18"/>
  <c r="AH37" i="18"/>
  <c r="AH44" i="18"/>
  <c r="AH46" i="18" s="1"/>
  <c r="AH47" i="18" s="1"/>
  <c r="AH30" i="18"/>
  <c r="AH34" i="18"/>
  <c r="AH41" i="18"/>
  <c r="AH39" i="18"/>
  <c r="AH14" i="18"/>
  <c r="AH22" i="18"/>
  <c r="AH27" i="18"/>
  <c r="AJ20" i="18"/>
  <c r="AH8" i="18" l="1"/>
  <c r="AH11" i="18"/>
  <c r="AH10"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Pukar Bhandari</author>
  </authors>
  <commentList>
    <comment ref="S2" authorId="0" shapeId="0" xr:uid="{A3E338FC-B183-4123-AE1E-50098380A887}">
      <text>
        <r>
          <rPr>
            <b/>
            <sz val="9"/>
            <color indexed="81"/>
            <rFont val="Tahoma"/>
            <family val="2"/>
          </rPr>
          <t>Pukar Bhandari:</t>
        </r>
        <r>
          <rPr>
            <sz val="9"/>
            <color indexed="81"/>
            <rFont val="Tahoma"/>
            <family val="2"/>
          </rPr>
          <t xml:space="preserve">
Start_Pop + (End_Pop - Start_Pop) * Ratio</t>
        </r>
      </text>
    </comment>
    <comment ref="Q3" authorId="0" shapeId="0" xr:uid="{7A034CE9-0042-4A12-802C-5880BEB09CBD}">
      <text>
        <r>
          <rPr>
            <b/>
            <sz val="9"/>
            <color indexed="81"/>
            <rFont val="Tahoma"/>
            <family val="2"/>
          </rPr>
          <t>Pukar Bhandari:</t>
        </r>
        <r>
          <rPr>
            <sz val="9"/>
            <color indexed="81"/>
            <rFont val="Tahoma"/>
            <family val="2"/>
          </rPr>
          <t xml:space="preserve">
(Current Year Pop - Start Pop) / (End Pop - Start Pop)</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<sst xmlns="http://schemas.openxmlformats.org/spreadsheetml/2006/main" count="622" uniqueCount="282">
  <si>
    <t>https://ushe.edu/institutional-data-resources-headcount/</t>
  </si>
  <si>
    <t>UOFU</t>
  </si>
  <si>
    <t>WSU</t>
  </si>
  <si>
    <t>UVU</t>
  </si>
  <si>
    <t>SLCC</t>
  </si>
  <si>
    <t>Year</t>
  </si>
  <si>
    <t>Source:</t>
  </si>
  <si>
    <t>Headcount: Fall Third Week</t>
  </si>
  <si>
    <t>DAVIS TECH</t>
  </si>
  <si>
    <t>MTLND TECH</t>
  </si>
  <si>
    <t>OGDEN-WEBER TECH</t>
  </si>
  <si>
    <t>Lower Division</t>
  </si>
  <si>
    <t>Upper Division</t>
  </si>
  <si>
    <t>Beginning Graduate</t>
  </si>
  <si>
    <t>Advanced Graduate</t>
  </si>
  <si>
    <t>BYU</t>
  </si>
  <si>
    <t>ENSIGN</t>
  </si>
  <si>
    <t>WESTMIN</t>
  </si>
  <si>
    <t>https://westminstercollege.edu/about/</t>
  </si>
  <si>
    <t>Draper</t>
  </si>
  <si>
    <t>Main Campus</t>
  </si>
  <si>
    <t>SLCC Airport Center</t>
  </si>
  <si>
    <t>SLCC Herriman Center</t>
  </si>
  <si>
    <t>SLCC Jordan Campus</t>
  </si>
  <si>
    <t>SLCC Larry H. Miller Campus</t>
  </si>
  <si>
    <t>SLCC Library Square Center (Previously Main Street Campus)</t>
  </si>
  <si>
    <t>SLCC Meadowbrook Campus</t>
  </si>
  <si>
    <t>SLCC South City Center</t>
  </si>
  <si>
    <t>SLCC West Point Center</t>
  </si>
  <si>
    <t>SLCC West Valley City</t>
  </si>
  <si>
    <t>USU</t>
  </si>
  <si>
    <t>Mountainland Technical College</t>
  </si>
  <si>
    <t>USU Brigham Center</t>
  </si>
  <si>
    <t>USU Ogden Center</t>
  </si>
  <si>
    <t>USU Orem Center</t>
  </si>
  <si>
    <t>USU Salt Lake Center</t>
  </si>
  <si>
    <t>USU Tooele Center</t>
  </si>
  <si>
    <t>UU</t>
  </si>
  <si>
    <t>UofU Sandy Center</t>
  </si>
  <si>
    <t>Davis Technical College</t>
  </si>
  <si>
    <t>Ogden-Weber Technical College</t>
  </si>
  <si>
    <t>WSU Davis Center</t>
  </si>
  <si>
    <t>WSU Farmington Station</t>
  </si>
  <si>
    <t>WSU West Center</t>
  </si>
  <si>
    <t>Attached is the data we discussed for the Wasatch Front region. I know we originally talked about sending it for the wholestate and you could share with the other councils; however, in talking with Carrie Mayne, my boss, I realized it</t>
  </si>
  <si>
    <t>would bemore appropriate for us to distribute to them upon request so we track where our data has landed. We have the data andcan share it with any of the councils we discussed. Please have them contact me if they are interested.</t>
  </si>
  <si>
    <r>
      <t xml:space="preserve">For each 5 digit zip code in Utah, the number of FT and PT students attending on-campus classes for each institutionwhere:
</t>
    </r>
    <r>
      <rPr>
        <strike/>
        <sz val="11"/>
        <color theme="1"/>
        <rFont val="Calibri"/>
        <family val="2"/>
        <scheme val="minor"/>
      </rPr>
      <t>data is for statewide for Fall semester 2019 (we can share with UDOT, and other MPOs)</t>
    </r>
    <r>
      <rPr>
        <sz val="11"/>
        <color theme="1"/>
        <rFont val="Calibri"/>
        <family val="2"/>
        <scheme val="minor"/>
      </rPr>
      <t xml:space="preserve">
home zip codes not matching 84* to be removed
'online only' attendees to be removed
concurrent enrollment high school students taking college classes onsite at their high schools are thrown out, but15% of concurrent enrollment students that attend PT on campus classes will be kept as PT students
students that attend on-campus class at two campuses of the same institution will be reported as PT studentassociated with each campus they attend
we may need to do some 'fitting/exclusion' to discount the presence of some cases where a student's homelocation has not been updated from a previous residence...but apparently students are presented with a 'updateyour current address' popup at registration each semester
USHE will keep the query so it can be rerun for consistency when we want updated data.
</t>
    </r>
  </si>
  <si>
    <t>School</t>
  </si>
  <si>
    <t>Campus</t>
  </si>
  <si>
    <t>Percent</t>
  </si>
  <si>
    <t>Headcount</t>
  </si>
  <si>
    <t>CODE</t>
  </si>
  <si>
    <t>SLCC_MAIN</t>
  </si>
  <si>
    <t>SLCC_JD</t>
  </si>
  <si>
    <t>SLCC_ML</t>
  </si>
  <si>
    <t>SLCC_SC</t>
  </si>
  <si>
    <t>https://ushe.edu/institutional-data-resources/</t>
  </si>
  <si>
    <t>https://ushe.edu/institutional-data-resources-fte/</t>
  </si>
  <si>
    <t>https://ushe.edu/data/</t>
  </si>
  <si>
    <t>https://ushe.edu/wp-content/uploads/pdf/databook/2021/2021_databook.pdf</t>
  </si>
  <si>
    <t>Brigham Young University-Provo</t>
  </si>
  <si>
    <t>Part time</t>
  </si>
  <si>
    <t>Full time</t>
  </si>
  <si>
    <t>University (2020)</t>
  </si>
  <si>
    <t>University (2019)</t>
  </si>
  <si>
    <t>University (2018)</t>
  </si>
  <si>
    <t>University (2017)</t>
  </si>
  <si>
    <t>University (2016)</t>
  </si>
  <si>
    <t>University (2015)</t>
  </si>
  <si>
    <t>University (2014)</t>
  </si>
  <si>
    <t>University (2013)</t>
  </si>
  <si>
    <t>University (2012)</t>
  </si>
  <si>
    <t>ID University (2020)</t>
  </si>
  <si>
    <t>ID University (2019)</t>
  </si>
  <si>
    <t>ID University (2018)</t>
  </si>
  <si>
    <t>ID University (2017)</t>
  </si>
  <si>
    <t>ID University (2016)</t>
  </si>
  <si>
    <t>ID University (2015)</t>
  </si>
  <si>
    <t>ID University (2014)</t>
  </si>
  <si>
    <t>ID University (2013)</t>
  </si>
  <si>
    <t>ID University (2012)</t>
  </si>
  <si>
    <t>Enrollment (2020)</t>
  </si>
  <si>
    <t>Enrollment (2019)</t>
  </si>
  <si>
    <t>Enrollment (2018)</t>
  </si>
  <si>
    <t>Enrollment (2017)</t>
  </si>
  <si>
    <t>Enrollment (2016)</t>
  </si>
  <si>
    <t>Enrollment (2015)</t>
  </si>
  <si>
    <t>Enrollment (2014)</t>
  </si>
  <si>
    <t>Enrollment (2013)</t>
  </si>
  <si>
    <t>Enrollment (2012)</t>
  </si>
  <si>
    <t>Enrollment Status</t>
  </si>
  <si>
    <t>ID Enrollment Status</t>
  </si>
  <si>
    <t>Total</t>
  </si>
  <si>
    <t>USHE 2020 Data Book</t>
  </si>
  <si>
    <t>https://ushe.edu/wp-content/uploads/pdf/databook/2020/2020_full_databook.pdf</t>
  </si>
  <si>
    <t>TARGET</t>
  </si>
  <si>
    <t>https://westminstercollege.edu/about/institutional-research/common-data-set.html</t>
  </si>
  <si>
    <t>PT</t>
  </si>
  <si>
    <t>FT</t>
  </si>
  <si>
    <t>UOFU_Main</t>
  </si>
  <si>
    <t>UVU_Main</t>
  </si>
  <si>
    <t xml:space="preserve"> </t>
  </si>
  <si>
    <t>https://www.ensign.edu/institutional-research</t>
  </si>
  <si>
    <t>Enrollment</t>
  </si>
  <si>
    <t>WSU_Davis</t>
  </si>
  <si>
    <t>WSU_Main</t>
  </si>
  <si>
    <t>WSU_Ogden</t>
  </si>
  <si>
    <t>School:</t>
  </si>
  <si>
    <t>% of School:</t>
  </si>
  <si>
    <t>Enrollment Projections by Campus</t>
  </si>
  <si>
    <t>;YEAR</t>
  </si>
  <si>
    <t>UVU-Heber</t>
  </si>
  <si>
    <t>UVU-Vineyard2</t>
  </si>
  <si>
    <t>UVU-Vineyard1</t>
  </si>
  <si>
    <t>UVU-Payson</t>
  </si>
  <si>
    <t>UVU-Lehi</t>
  </si>
  <si>
    <t>UVU-Orem</t>
  </si>
  <si>
    <t>External</t>
  </si>
  <si>
    <t>TAZID</t>
  </si>
  <si>
    <t>UVU_Lehi</t>
  </si>
  <si>
    <t>UVU_Payson</t>
  </si>
  <si>
    <t>UVU_Vineyard</t>
  </si>
  <si>
    <t>Fall FTE by Division</t>
  </si>
  <si>
    <t>Fall FTE</t>
  </si>
  <si>
    <t>FTE Factor</t>
  </si>
  <si>
    <t>Control Data</t>
  </si>
  <si>
    <t>Code</t>
  </si>
  <si>
    <t>College</t>
  </si>
  <si>
    <t>Estimates</t>
  </si>
  <si>
    <t>total headcount</t>
  </si>
  <si>
    <t>Dixie State College</t>
  </si>
  <si>
    <t>St. George</t>
  </si>
  <si>
    <t>LDS Bussiness College</t>
  </si>
  <si>
    <t>SL Community College</t>
  </si>
  <si>
    <t>Four Main</t>
  </si>
  <si>
    <t>Utah State University</t>
  </si>
  <si>
    <t>Logan</t>
  </si>
  <si>
    <t>Utah Valley University</t>
  </si>
  <si>
    <t>Orem</t>
  </si>
  <si>
    <t>University of Utah</t>
  </si>
  <si>
    <t>Weber State University</t>
  </si>
  <si>
    <t>Ogden</t>
  </si>
  <si>
    <t>Davis</t>
  </si>
  <si>
    <t>Westminster College</t>
  </si>
  <si>
    <t>the data from RSG, total is used for expansion without concurrent, etc.</t>
  </si>
  <si>
    <t>Source: from 2019 RTP</t>
  </si>
  <si>
    <t>;index</t>
  </si>
  <si>
    <t>LDSBC</t>
  </si>
  <si>
    <t>Westmin</t>
  </si>
  <si>
    <t>UofU_Main</t>
  </si>
  <si>
    <t>UofU_Med</t>
  </si>
  <si>
    <t>WSU_West</t>
  </si>
  <si>
    <t>SLCC_TL</t>
  </si>
  <si>
    <t>SLCC_Mead</t>
  </si>
  <si>
    <t>SLCC_LB</t>
  </si>
  <si>
    <t>SLCC_HL</t>
  </si>
  <si>
    <t>SLCC_Airp</t>
  </si>
  <si>
    <t>SLCC_West</t>
  </si>
  <si>
    <t>SLCC_HM</t>
  </si>
  <si>
    <t>UVU_main</t>
  </si>
  <si>
    <t>UVU_Geneva</t>
  </si>
  <si>
    <t>UVU_ThankP</t>
  </si>
  <si>
    <t>UVU_VINE</t>
  </si>
  <si>
    <t>UVU_PAYSON</t>
  </si>
  <si>
    <t>Var_Name</t>
  </si>
  <si>
    <t>Pct_Remove</t>
  </si>
  <si>
    <t>FTERate</t>
  </si>
  <si>
    <t>HBCRates</t>
  </si>
  <si>
    <t>Concurrent</t>
  </si>
  <si>
    <t>Prev Control</t>
  </si>
  <si>
    <t>New Control</t>
  </si>
  <si>
    <t>HBC Rates</t>
  </si>
  <si>
    <t>;INDEX</t>
  </si>
  <si>
    <t>Note:</t>
  </si>
  <si>
    <t>Removal means concurrent, online degree etc.</t>
  </si>
  <si>
    <t>FTERate = FTE / Total Headcount,  Total Headcount includes online and concurrent enrollment</t>
  </si>
  <si>
    <t>Enrollment (2021)</t>
  </si>
  <si>
    <t>Enrollment (2022)</t>
  </si>
  <si>
    <t>Enrollment (2023)</t>
  </si>
  <si>
    <t>Data Source</t>
  </si>
  <si>
    <t>https://datausa.io/profile/university/brigham-young-university#enrollment</t>
  </si>
  <si>
    <t>ID University (2021)</t>
  </si>
  <si>
    <t>ID University (2022)</t>
  </si>
  <si>
    <t>ID University (2023)</t>
  </si>
  <si>
    <t>University (2021)</t>
  </si>
  <si>
    <t>University (2022)</t>
  </si>
  <si>
    <t>University (2023)</t>
  </si>
  <si>
    <t>*USHE not currently releasing updates forecasts</t>
  </si>
  <si>
    <t>Probably from College Survey</t>
  </si>
  <si>
    <t>Brigham Young University</t>
  </si>
  <si>
    <t>UofU</t>
  </si>
  <si>
    <t>Salt Lake Community College</t>
  </si>
  <si>
    <t>Ensign College</t>
  </si>
  <si>
    <t>Source: USHE Enrollment data by Zip (Base Distribution: 2-Public Enrollment Data 2020 by Zip Code.ipynb)</t>
  </si>
  <si>
    <t>Source: IPEDS as Calculated in 5-CollegeEnrollmentIPEDS.qmd (intermediate/Fall_Enrollment_1997_2023.csv), old data (&lt;2000 from 2019 RTP)</t>
  </si>
  <si>
    <t>Old Data from 2019 RTP:</t>
  </si>
  <si>
    <t>(Data Last Updated: 2026/01/02)</t>
  </si>
  <si>
    <t>Headcount (Source: IPEDS/5-CollegeEnrollmentIPEDS.qmd)</t>
  </si>
  <si>
    <t>FTE (Source: IPEDS/5-CollegeEnrollmentIPEDS.qmd)</t>
  </si>
  <si>
    <t>Source: from 2019 RTP (Not used in calculation)</t>
  </si>
  <si>
    <t>Old</t>
  </si>
  <si>
    <t>USHE Projections</t>
  </si>
  <si>
    <t>Interpolation to Target</t>
  </si>
  <si>
    <t>MAG Forecast</t>
  </si>
  <si>
    <t>RTP 2027</t>
  </si>
  <si>
    <t>RTP 2023</t>
  </si>
  <si>
    <t>RTP 2019</t>
  </si>
  <si>
    <t>Historical (IPEDS)</t>
  </si>
  <si>
    <t>Historical (USHE)</t>
  </si>
  <si>
    <t>MAG</t>
  </si>
  <si>
    <t>AJ</t>
  </si>
  <si>
    <t>AK</t>
  </si>
  <si>
    <t>AL</t>
  </si>
  <si>
    <t>AM</t>
  </si>
  <si>
    <t>AN</t>
  </si>
  <si>
    <t>AO</t>
  </si>
  <si>
    <t>AP</t>
  </si>
  <si>
    <t>Historical (Corrected - ENSIGN)</t>
  </si>
  <si>
    <t>ABB</t>
  </si>
  <si>
    <t>NAME</t>
  </si>
  <si>
    <t>IPEDS ID</t>
  </si>
  <si>
    <t>Table 3: College-Age Population with Change by County, 2020 and 2060</t>
  </si>
  <si>
    <r>
      <rPr>
        <b/>
        <sz val="8"/>
        <color rgb="FFFFFFFF"/>
        <rFont val="Myriad Pro"/>
        <family val="2"/>
      </rPr>
      <t>County</t>
    </r>
  </si>
  <si>
    <r>
      <rPr>
        <b/>
        <sz val="8"/>
        <color rgb="FF010202"/>
        <rFont val="Myriad Pro"/>
        <family val="2"/>
      </rPr>
      <t>State of Utah</t>
    </r>
  </si>
  <si>
    <r>
      <rPr>
        <sz val="8"/>
        <color rgb="FF010202"/>
        <rFont val="Myriad Pro"/>
        <family val="2"/>
      </rPr>
      <t>Beaver County</t>
    </r>
  </si>
  <si>
    <r>
      <rPr>
        <sz val="8"/>
        <color rgb="FF010202"/>
        <rFont val="Myriad Pro"/>
        <family val="2"/>
      </rPr>
      <t>Box Elder County</t>
    </r>
  </si>
  <si>
    <r>
      <rPr>
        <sz val="8"/>
        <color rgb="FF010202"/>
        <rFont val="Myriad Pro"/>
        <family val="2"/>
      </rPr>
      <t>Cache County</t>
    </r>
  </si>
  <si>
    <r>
      <rPr>
        <sz val="8"/>
        <color rgb="FF010202"/>
        <rFont val="Myriad Pro"/>
        <family val="2"/>
      </rPr>
      <t>Carbon County</t>
    </r>
  </si>
  <si>
    <r>
      <rPr>
        <sz val="8"/>
        <color rgb="FF010202"/>
        <rFont val="Myriad Pro"/>
        <family val="2"/>
      </rPr>
      <t>Daggett County</t>
    </r>
  </si>
  <si>
    <r>
      <rPr>
        <sz val="8"/>
        <color rgb="FF010202"/>
        <rFont val="Myriad Pro"/>
        <family val="2"/>
      </rPr>
      <t>Davis County</t>
    </r>
  </si>
  <si>
    <r>
      <rPr>
        <sz val="8"/>
        <color rgb="FF010202"/>
        <rFont val="Myriad Pro"/>
        <family val="2"/>
      </rPr>
      <t>Duchesne County</t>
    </r>
  </si>
  <si>
    <r>
      <rPr>
        <sz val="8"/>
        <color rgb="FF010202"/>
        <rFont val="Myriad Pro"/>
        <family val="2"/>
      </rPr>
      <t>Emery County</t>
    </r>
  </si>
  <si>
    <r>
      <rPr>
        <sz val="8"/>
        <color rgb="FF010202"/>
        <rFont val="Myriad Pro"/>
        <family val="2"/>
      </rPr>
      <t>Garfield County</t>
    </r>
  </si>
  <si>
    <r>
      <rPr>
        <sz val="8"/>
        <color rgb="FF010202"/>
        <rFont val="Myriad Pro"/>
        <family val="2"/>
      </rPr>
      <t>Grand County</t>
    </r>
  </si>
  <si>
    <r>
      <rPr>
        <sz val="8"/>
        <color rgb="FF010202"/>
        <rFont val="Myriad Pro"/>
        <family val="2"/>
      </rPr>
      <t>Iron County</t>
    </r>
  </si>
  <si>
    <r>
      <rPr>
        <sz val="8"/>
        <color rgb="FF010202"/>
        <rFont val="Myriad Pro"/>
        <family val="2"/>
      </rPr>
      <t>Juab County</t>
    </r>
  </si>
  <si>
    <r>
      <rPr>
        <sz val="8"/>
        <color rgb="FF010202"/>
        <rFont val="Myriad Pro"/>
        <family val="2"/>
      </rPr>
      <t>Kane County</t>
    </r>
  </si>
  <si>
    <r>
      <rPr>
        <sz val="8"/>
        <color rgb="FF010202"/>
        <rFont val="Myriad Pro"/>
        <family val="2"/>
      </rPr>
      <t>Millard County</t>
    </r>
  </si>
  <si>
    <r>
      <rPr>
        <sz val="8"/>
        <color rgb="FF010202"/>
        <rFont val="Myriad Pro"/>
        <family val="2"/>
      </rPr>
      <t>Morgan County</t>
    </r>
  </si>
  <si>
    <r>
      <rPr>
        <sz val="8"/>
        <color rgb="FF010202"/>
        <rFont val="Myriad Pro"/>
        <family val="2"/>
      </rPr>
      <t>Piute County</t>
    </r>
  </si>
  <si>
    <r>
      <rPr>
        <sz val="8"/>
        <color rgb="FF010202"/>
        <rFont val="Myriad Pro"/>
        <family val="2"/>
      </rPr>
      <t>Rich County</t>
    </r>
  </si>
  <si>
    <r>
      <rPr>
        <sz val="8"/>
        <color rgb="FF010202"/>
        <rFont val="Myriad Pro"/>
        <family val="2"/>
      </rPr>
      <t>Salt Lake County</t>
    </r>
  </si>
  <si>
    <r>
      <rPr>
        <sz val="8"/>
        <color rgb="FF010202"/>
        <rFont val="Myriad Pro"/>
        <family val="2"/>
      </rPr>
      <t>San Juan County</t>
    </r>
  </si>
  <si>
    <r>
      <rPr>
        <sz val="8"/>
        <color rgb="FF010202"/>
        <rFont val="Myriad Pro"/>
        <family val="2"/>
      </rPr>
      <t>Sanpete County</t>
    </r>
  </si>
  <si>
    <r>
      <rPr>
        <sz val="8"/>
        <color rgb="FF010202"/>
        <rFont val="Myriad Pro"/>
        <family val="2"/>
      </rPr>
      <t>Sevier County</t>
    </r>
  </si>
  <si>
    <r>
      <rPr>
        <sz val="8"/>
        <color rgb="FF010202"/>
        <rFont val="Myriad Pro"/>
        <family val="2"/>
      </rPr>
      <t>Summit County</t>
    </r>
  </si>
  <si>
    <r>
      <rPr>
        <sz val="8"/>
        <color rgb="FF010202"/>
        <rFont val="Myriad Pro"/>
        <family val="2"/>
      </rPr>
      <t>Tooele County</t>
    </r>
  </si>
  <si>
    <r>
      <rPr>
        <sz val="8"/>
        <color rgb="FF010202"/>
        <rFont val="Myriad Pro"/>
        <family val="2"/>
      </rPr>
      <t>Uintah County</t>
    </r>
  </si>
  <si>
    <r>
      <rPr>
        <sz val="8"/>
        <color rgb="FF010202"/>
        <rFont val="Myriad Pro"/>
        <family val="2"/>
      </rPr>
      <t>Utah County</t>
    </r>
  </si>
  <si>
    <r>
      <rPr>
        <sz val="8"/>
        <color rgb="FF010202"/>
        <rFont val="Myriad Pro"/>
        <family val="2"/>
      </rPr>
      <t>Wasatch County</t>
    </r>
  </si>
  <si>
    <r>
      <rPr>
        <sz val="8"/>
        <color rgb="FF010202"/>
        <rFont val="Myriad Pro"/>
        <family val="2"/>
      </rPr>
      <t>Washington County</t>
    </r>
  </si>
  <si>
    <r>
      <rPr>
        <sz val="8"/>
        <color rgb="FF010202"/>
        <rFont val="Myriad Pro"/>
        <family val="2"/>
      </rPr>
      <t>Wayne County</t>
    </r>
  </si>
  <si>
    <r>
      <rPr>
        <sz val="8"/>
        <color rgb="FF010202"/>
        <rFont val="Myriad Pro"/>
        <family val="2"/>
      </rPr>
      <t>Weber County</t>
    </r>
  </si>
  <si>
    <t>https://d36oiwf74r1rap.cloudfront.net/wp-content/uploads/SchColAgeFS-Dec2022.pdf</t>
  </si>
  <si>
    <t>Absolute Change
2020-2060</t>
  </si>
  <si>
    <t>Percent Change
2020-2060</t>
  </si>
  <si>
    <r>
      <rPr>
        <b/>
        <sz val="8"/>
        <color rgb="FFFFFFFF"/>
        <rFont val="Myriad Pro"/>
        <family val="2"/>
      </rPr>
      <t>Year</t>
    </r>
  </si>
  <si>
    <r>
      <rPr>
        <b/>
        <sz val="8"/>
        <color rgb="FFFFFFFF"/>
        <rFont val="Myriad Pro"/>
        <family val="2"/>
      </rPr>
      <t>Total Population</t>
    </r>
  </si>
  <si>
    <r>
      <rPr>
        <b/>
        <sz val="8"/>
        <color rgb="FFFFFFFF"/>
        <rFont val="Myriad Pro"/>
        <family val="2"/>
      </rPr>
      <t>School-Age Population (5-17)</t>
    </r>
  </si>
  <si>
    <r>
      <rPr>
        <b/>
        <sz val="8"/>
        <color rgb="FFFFFFFF"/>
        <rFont val="Myriad Pro"/>
        <family val="2"/>
      </rPr>
      <t>College-Age Population (18-24)</t>
    </r>
  </si>
  <si>
    <r>
      <rPr>
        <b/>
        <sz val="8"/>
        <color rgb="FFFFFFFF"/>
        <rFont val="Myriad Pro"/>
        <family val="2"/>
      </rPr>
      <t>Total</t>
    </r>
  </si>
  <si>
    <r>
      <rPr>
        <b/>
        <sz val="8"/>
        <color rgb="FFFFFFFF"/>
        <rFont val="Myriad Pro"/>
        <family val="2"/>
      </rPr>
      <t>Absolute Growth</t>
    </r>
  </si>
  <si>
    <r>
      <rPr>
        <b/>
        <sz val="8"/>
        <color rgb="FFFFFFFF"/>
        <rFont val="Myriad Pro"/>
        <family val="2"/>
      </rPr>
      <t>Growth Rate</t>
    </r>
  </si>
  <si>
    <r>
      <rPr>
        <b/>
        <sz val="8"/>
        <color rgb="FFFFFFFF"/>
        <rFont val="Myriad Pro"/>
        <family val="2"/>
      </rPr>
      <t>Share of Total Pop.</t>
    </r>
  </si>
  <si>
    <t>Note: College-age reflects population ages 18 to 24.</t>
  </si>
  <si>
    <t>Source: Kem C. Gardner Policy Institute, 2020–2060 Projections</t>
  </si>
  <si>
    <t xml:space="preserve">Note: School-age reflects population ages 5 to 17. College-age reflects population ages 18 to 24.									</t>
  </si>
  <si>
    <t>WF-TDM Counties</t>
  </si>
  <si>
    <t>Growth_Ratio</t>
  </si>
  <si>
    <t>Salt Lake</t>
  </si>
  <si>
    <t>Utah</t>
  </si>
  <si>
    <t>Weber</t>
  </si>
  <si>
    <t>Box Elder</t>
  </si>
  <si>
    <t>County Level Trend of College-Age Population</t>
  </si>
  <si>
    <t>Salt Lake, Davis, Utah</t>
  </si>
  <si>
    <t>Salt Lake, Utah</t>
  </si>
  <si>
    <t>Weber, Davis, Box Elder</t>
  </si>
  <si>
    <t>Absolute Change</t>
  </si>
  <si>
    <t>Percent Change</t>
  </si>
  <si>
    <t>Observed</t>
  </si>
  <si>
    <t>Difference</t>
  </si>
  <si>
    <t>Suggested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</si>
</sst>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5" formatCode="0.0%"/>
    <numFmt numFmtId="166" formatCode="_(* #,##0_);_(* \(#,##0\);_(* &quot;-&quot;??_);_(@_)"/>
    <numFmt numFmtId="167" formatCode="0.000"/>
    <numFmt numFmtId="168" formatCode="#,##0;\-#,##0;\-"/>
    <numFmt numFmtId="169" formatCode="0.0000"/>
    <numFmt numFmtId="170" formatCode="_(* #,##0.0000_);_(* \(#,##0.0000\);_(* &quot;-&quot;??_);_(@_)"/>
  </numFmts>
  <fonts count="33">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rgb="FFFF0000"/>
      <name val="Segoe UI"/>
      <family val="2"/>
    </font>
    <font>
      <strike/>
      <sz val="11"/>
      <color theme="1"/>
      <name val="Calibri"/>
      <family val="2"/>
      <scheme val="minor"/>
    </font>
    <font>
      <sz val="11"/>
      <color rgb="FF0000FF"/>
      <name val="Calibri"/>
      <family val="2"/>
      <scheme val="minor"/>
    </font>
    <font>
      <sz val="11"/>
      <name val="Calibri"/>
      <family val="2"/>
      <scheme val="minor"/>
    </font>
    <font>
      <sz val="11"/>
      <color rgb="FF008000"/>
      <name val="Calibri"/>
      <family val="2"/>
      <scheme val="minor"/>
    </font>
    <font>
      <i/>
      <sz val="11"/>
      <color theme="1"/>
      <name val="Calibri"/>
      <family val="2"/>
      <scheme val="minor"/>
    </font>
    <font>
      <sz val="10"/>
      <color theme="1"/>
      <name val="Arial Narrow"/>
      <family val="2"/>
    </font>
    <font>
      <sz val="11"/>
      <color theme="1"/>
      <name val="Arial Narrow"/>
      <family val="2"/>
    </font>
    <font>
      <b/>
      <sz val="11"/>
      <name val="Calibri"/>
      <family val="2"/>
    </font>
    <font>
      <b/>
      <sz val="11"/>
      <color theme="1"/>
      <name val="Arial Narrow"/>
      <family val="2"/>
    </font>
    <font>
      <sz val="11"/>
      <name val="Calibri"/>
      <family val="2"/>
    </font>
    <font>
      <i/>
      <sz val="11"/>
      <color rgb="FFFF0000"/>
      <name val="Calibri"/>
      <family val="2"/>
      <scheme val="minor"/>
    </font>
    <font>
      <i/>
      <sz val="11"/>
      <color theme="0" tint="-0.499984740745262"/>
      <name val="Calibri"/>
      <family val="2"/>
      <scheme val="minor"/>
    </font>
    <font>
      <sz val="11"/>
      <color theme="5" tint="-0.249977111117893"/>
      <name val="Calibri"/>
      <family val="2"/>
      <scheme val="minor"/>
    </font>
    <font>
      <b/>
      <sz val="11"/>
      <color theme="0"/>
      <name val="Calibri"/>
      <family val="2"/>
      <scheme val="minor"/>
    </font>
    <font>
      <sz val="11"/>
      <color theme="0"/>
      <name val="Calibri"/>
      <family val="2"/>
      <scheme val="minor"/>
    </font>
    <font>
      <sz val="10"/>
      <color rgb="FF000000"/>
      <name val="Times New Roman"/>
      <family val="1"/>
    </font>
    <font>
      <sz val="8"/>
      <name val="Myriad Pro"/>
    </font>
    <font>
      <b/>
      <sz val="8"/>
      <name val="Myriad Pro"/>
    </font>
    <font>
      <sz val="8"/>
      <color rgb="FF231F20"/>
      <name val="Myriad Pro"/>
      <family val="2"/>
    </font>
    <font>
      <b/>
      <sz val="8"/>
      <color rgb="FFFFFFFF"/>
      <name val="Myriad Pro"/>
      <family val="2"/>
    </font>
    <font>
      <b/>
      <sz val="8"/>
      <color rgb="FF010202"/>
      <name val="Myriad Pro"/>
      <family val="2"/>
    </font>
    <font>
      <sz val="8"/>
      <color rgb="FF010202"/>
      <name val="Myriad Pro"/>
      <family val="2"/>
    </font>
    <font>
      <sz val="10"/>
      <color rgb="FF000000"/>
      <name val="Times New Roman"/>
      <charset val="204"/>
    </font>
    <font>
      <b/>
      <sz val="11"/>
      <color rgb="FFFF0000"/>
      <name val="Calibri"/>
      <family val="2"/>
      <scheme val="minor"/>
    </font>
    <font>
      <b/>
      <sz val="8"/>
      <color theme="0"/>
      <name val="Myriad Pro"/>
    </font>
    <font>
      <sz val="9"/>
      <color indexed="81"/>
      <name val="Tahoma"/>
      <family val="2"/>
    </font>
    <font>
      <b/>
      <sz val="9"/>
      <color indexed="81"/>
      <name val="Tahoma"/>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rgb="FFC4122F"/>
      </patternFill>
    </fill>
    <fill>
      <patternFill patternType="solid">
        <fgColor rgb="FFF1F2F2"/>
      </patternFill>
    </fill>
    <fill>
      <patternFill patternType="solid">
        <fgColor rgb="FFBF2026"/>
      </patternFill>
    </fill>
    <fill>
      <patternFill patternType="solid">
        <fgColor rgb="FFBFBFBF"/>
      </patternFill>
    </fill>
    <fill>
      <patternFill patternType="solid">
        <fgColor theme="2" tint="-9.9978637043366805E-2"/>
        <bgColor indexed="64"/>
      </patternFill>
    </fill>
  </fills>
  <borders count="27">
    <border>
      <left/>
      <right/>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rgb="FF231F20"/>
      </left>
      <right/>
      <top style="thin">
        <color rgb="FF231F20"/>
      </top>
      <bottom/>
      <diagonal/>
    </border>
    <border>
      <left style="thin">
        <color rgb="FF231F20"/>
      </left>
      <right/>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style="thin">
        <color rgb="FF010202"/>
      </left>
      <right/>
      <top style="thin">
        <color rgb="FF010202"/>
      </top>
      <bottom style="thin">
        <color rgb="FF01020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010202"/>
      </bottom>
      <diagonal/>
    </border>
    <border>
      <left style="thin">
        <color rgb="FF010202"/>
      </left>
      <right/>
      <top style="thin">
        <color indexed="64"/>
      </top>
      <bottom style="thin">
        <color rgb="FF010202"/>
      </bottom>
      <diagonal/>
    </border>
    <border>
      <left style="thin">
        <color rgb="FF010202"/>
      </left>
      <right style="thin">
        <color indexed="64"/>
      </right>
      <top style="thin">
        <color indexed="64"/>
      </top>
      <bottom style="thin">
        <color rgb="FF010202"/>
      </bottom>
      <diagonal/>
    </border>
    <border>
      <left style="thin">
        <color indexed="64"/>
      </left>
      <right/>
      <top style="thin">
        <color rgb="FF010202"/>
      </top>
      <bottom style="thin">
        <color rgb="FF010202"/>
      </bottom>
      <diagonal/>
    </border>
    <border>
      <left style="thin">
        <color rgb="FF010202"/>
      </left>
      <right style="thin">
        <color indexed="64"/>
      </right>
      <top style="thin">
        <color rgb="FF010202"/>
      </top>
      <bottom style="thin">
        <color rgb="FF010202"/>
      </bottom>
      <diagonal/>
    </border>
    <border>
      <left style="thin">
        <color indexed="64"/>
      </left>
      <right/>
      <top style="thin">
        <color rgb="FF010202"/>
      </top>
      <bottom style="thin">
        <color indexed="64"/>
      </bottom>
      <diagonal/>
    </border>
    <border>
      <left style="thin">
        <color rgb="FF010202"/>
      </left>
      <right/>
      <top style="thin">
        <color rgb="FF010202"/>
      </top>
      <bottom style="thin">
        <color indexed="64"/>
      </bottom>
      <diagonal/>
    </border>
    <border>
      <left style="thin">
        <color rgb="FF010202"/>
      </left>
      <right style="thin">
        <color indexed="64"/>
      </right>
      <top style="thin">
        <color rgb="FF010202"/>
      </top>
      <bottom style="thin">
        <color indexed="64"/>
      </bottom>
      <diagonal/>
    </border>
    <border>
      <left style="thin">
        <color rgb="FF231F20"/>
      </left>
      <right/>
      <top/>
      <bottom/>
      <diagonal/>
    </border>
  </borders>
  <cellStyleXfs count="6">
    <xf numFmtId="0" fontId="0" fillId="0" borderId="0"/>
    <xf numFmtId="9" fontId="1" fillId="0" borderId="0" applyFont="0" applyFill="0" applyBorder="0" applyAlignment="0" applyProtection="0"/>
    <xf numFmtId="0" fontId="4" fillId="0" borderId="0" applyNumberFormat="0" applyFill="0" applyBorder="0" applyAlignment="0" applyProtection="0"/>
    <xf numFmtId="43" fontId="1" fillId="0" borderId="0" applyFont="0" applyFill="0" applyBorder="0" applyAlignment="0" applyProtection="0"/>
    <xf numFmtId="0" fontId="21" fillId="0" borderId="0"/>
    <xf numFmtId="0" fontId="28" fillId="0" borderId="0"/>
  </cellStyleXfs>
  <cellXfs count="179">
    <xf numFmtId="0" fontId="0" fillId="0" borderId="0" xfId="0"/>
    <xf numFmtId="0" fontId="4" fillId="2" borderId="0" xfId="2" applyFill="1"/>
    <xf numFmtId="0" fontId="0" fillId="2" borderId="0" xfId="0" applyFill="1"/>
    <xf numFmtId="0" fontId="0" fillId="4" borderId="0" xfId="0" applyFill="1" applyAlignment="1">
      <alignment horizontal="center"/>
    </xf>
    <xf numFmtId="3" fontId="0" fillId="3" borderId="0" xfId="0" applyNumberFormat="1" applyFill="1" applyAlignment="1">
      <alignment horizontal="center"/>
    </xf>
    <xf numFmtId="0" fontId="3" fillId="2" borderId="0" xfId="0" applyFont="1" applyFill="1"/>
    <xf numFmtId="0" fontId="0" fillId="4" borderId="0" xfId="0" applyFill="1" applyAlignment="1">
      <alignment horizontal="center" wrapText="1"/>
    </xf>
    <xf numFmtId="0" fontId="0" fillId="2" borderId="0" xfId="0" applyFill="1" applyAlignment="1">
      <alignment horizontal="center"/>
    </xf>
    <xf numFmtId="0" fontId="0" fillId="4" borderId="1" xfId="0" applyFill="1" applyBorder="1" applyAlignment="1">
      <alignment horizontal="center" wrapText="1"/>
    </xf>
    <xf numFmtId="164" fontId="0" fillId="2" borderId="0" xfId="0" applyNumberFormat="1" applyFill="1" applyAlignment="1">
      <alignment horizontal="center"/>
    </xf>
    <xf numFmtId="164" fontId="0" fillId="2" borderId="1" xfId="0" applyNumberFormat="1" applyFill="1" applyBorder="1" applyAlignment="1">
      <alignment horizontal="center"/>
    </xf>
    <xf numFmtId="0" fontId="0" fillId="2" borderId="0" xfId="0" applyFill="1" applyAlignment="1">
      <alignment horizontal="left"/>
    </xf>
    <xf numFmtId="3" fontId="5" fillId="3" borderId="0" xfId="0" applyNumberFormat="1" applyFont="1" applyFill="1" applyAlignment="1">
      <alignment horizontal="right" vertical="center" wrapText="1"/>
    </xf>
    <xf numFmtId="3" fontId="5" fillId="3" borderId="2" xfId="0" applyNumberFormat="1" applyFont="1" applyFill="1" applyBorder="1" applyAlignment="1">
      <alignment horizontal="right" vertical="center" wrapText="1"/>
    </xf>
    <xf numFmtId="3" fontId="5" fillId="3" borderId="4" xfId="0" applyNumberFormat="1" applyFont="1" applyFill="1" applyBorder="1" applyAlignment="1">
      <alignment horizontal="right" vertical="center" wrapText="1"/>
    </xf>
    <xf numFmtId="3" fontId="5" fillId="3" borderId="3" xfId="0" applyNumberFormat="1" applyFont="1" applyFill="1" applyBorder="1" applyAlignment="1">
      <alignment horizontal="right" vertical="center" wrapText="1"/>
    </xf>
    <xf numFmtId="0" fontId="0" fillId="4" borderId="0" xfId="0" applyFill="1"/>
    <xf numFmtId="0" fontId="0" fillId="4" borderId="0" xfId="0" applyFill="1" applyAlignment="1">
      <alignment horizontal="left"/>
    </xf>
    <xf numFmtId="3" fontId="2" fillId="3" borderId="0" xfId="0" applyNumberFormat="1" applyFont="1" applyFill="1" applyAlignment="1">
      <alignment horizontal="center"/>
    </xf>
    <xf numFmtId="3" fontId="2" fillId="5" borderId="0" xfId="0" applyNumberFormat="1" applyFont="1" applyFill="1" applyAlignment="1">
      <alignment horizontal="center"/>
    </xf>
    <xf numFmtId="3" fontId="7" fillId="3" borderId="0" xfId="0" applyNumberFormat="1" applyFont="1" applyFill="1" applyAlignment="1">
      <alignment horizontal="center"/>
    </xf>
    <xf numFmtId="0" fontId="2" fillId="3" borderId="0" xfId="0" applyFont="1" applyFill="1"/>
    <xf numFmtId="3" fontId="2" fillId="3" borderId="0" xfId="0" applyNumberFormat="1" applyFont="1" applyFill="1"/>
    <xf numFmtId="3" fontId="0" fillId="3" borderId="0" xfId="0" applyNumberFormat="1" applyFill="1"/>
    <xf numFmtId="0" fontId="0" fillId="3" borderId="0" xfId="0" applyFill="1" applyAlignment="1">
      <alignment horizontal="right"/>
    </xf>
    <xf numFmtId="0" fontId="0" fillId="5" borderId="0" xfId="0" applyFill="1"/>
    <xf numFmtId="3" fontId="8" fillId="3" borderId="0" xfId="0" applyNumberFormat="1" applyFont="1" applyFill="1" applyAlignment="1">
      <alignment horizontal="center"/>
    </xf>
    <xf numFmtId="3" fontId="2" fillId="7" borderId="0" xfId="0" applyNumberFormat="1" applyFont="1" applyFill="1" applyAlignment="1">
      <alignment horizontal="center"/>
    </xf>
    <xf numFmtId="0" fontId="0" fillId="7" borderId="0" xfId="0" applyFill="1"/>
    <xf numFmtId="0" fontId="0" fillId="5" borderId="0" xfId="0" applyFill="1" applyAlignment="1">
      <alignment horizontal="center"/>
    </xf>
    <xf numFmtId="0" fontId="0" fillId="7" borderId="0" xfId="0" applyFill="1" applyAlignment="1">
      <alignment horizontal="center"/>
    </xf>
    <xf numFmtId="0" fontId="0" fillId="3" borderId="0" xfId="0" applyFill="1" applyAlignment="1">
      <alignment horizontal="center"/>
    </xf>
    <xf numFmtId="0" fontId="7" fillId="3" borderId="0" xfId="0" applyFont="1" applyFill="1" applyAlignment="1">
      <alignment horizontal="center"/>
    </xf>
    <xf numFmtId="165" fontId="2" fillId="7" borderId="0" xfId="1" applyNumberFormat="1" applyFont="1" applyFill="1" applyAlignment="1">
      <alignment horizontal="center"/>
    </xf>
    <xf numFmtId="0" fontId="3" fillId="2" borderId="0" xfId="0" applyFont="1" applyFill="1" applyAlignment="1">
      <alignment horizontal="left" vertical="center"/>
    </xf>
    <xf numFmtId="3" fontId="7" fillId="8" borderId="0" xfId="0" applyNumberFormat="1" applyFont="1" applyFill="1" applyAlignment="1">
      <alignment horizontal="center"/>
    </xf>
    <xf numFmtId="0" fontId="7" fillId="8" borderId="0" xfId="0" applyFont="1" applyFill="1" applyAlignment="1">
      <alignment horizontal="center"/>
    </xf>
    <xf numFmtId="0" fontId="2" fillId="3" borderId="0" xfId="0" applyFont="1" applyFill="1" applyAlignment="1">
      <alignment horizontal="center"/>
    </xf>
    <xf numFmtId="0" fontId="8" fillId="4" borderId="0" xfId="0" applyFont="1" applyFill="1"/>
    <xf numFmtId="0" fontId="8" fillId="4" borderId="0" xfId="0" applyFont="1" applyFill="1" applyAlignment="1">
      <alignment horizontal="center"/>
    </xf>
    <xf numFmtId="0" fontId="2" fillId="2" borderId="0" xfId="0" applyFont="1" applyFill="1"/>
    <xf numFmtId="164" fontId="2" fillId="3" borderId="1" xfId="0" applyNumberFormat="1" applyFont="1" applyFill="1" applyBorder="1" applyAlignment="1">
      <alignment horizontal="center"/>
    </xf>
    <xf numFmtId="164" fontId="2" fillId="3" borderId="0" xfId="0" applyNumberFormat="1" applyFont="1" applyFill="1" applyAlignment="1">
      <alignment horizontal="center"/>
    </xf>
    <xf numFmtId="4" fontId="7" fillId="3" borderId="0" xfId="0" applyNumberFormat="1" applyFont="1" applyFill="1" applyAlignment="1">
      <alignment horizontal="center"/>
    </xf>
    <xf numFmtId="166" fontId="2" fillId="3" borderId="0" xfId="3" applyNumberFormat="1" applyFont="1" applyFill="1"/>
    <xf numFmtId="9" fontId="2" fillId="3" borderId="0" xfId="1" applyFont="1" applyFill="1"/>
    <xf numFmtId="165" fontId="2" fillId="3" borderId="0" xfId="1" applyNumberFormat="1" applyFont="1" applyFill="1"/>
    <xf numFmtId="167" fontId="9" fillId="3" borderId="0" xfId="0" applyNumberFormat="1" applyFont="1" applyFill="1" applyAlignment="1">
      <alignment horizontal="center"/>
    </xf>
    <xf numFmtId="167" fontId="9" fillId="9" borderId="0" xfId="0" applyNumberFormat="1" applyFont="1" applyFill="1" applyAlignment="1">
      <alignment horizontal="center"/>
    </xf>
    <xf numFmtId="167" fontId="2" fillId="3" borderId="1" xfId="0" applyNumberFormat="1" applyFont="1" applyFill="1" applyBorder="1"/>
    <xf numFmtId="167" fontId="2" fillId="3" borderId="0" xfId="3" applyNumberFormat="1" applyFont="1" applyFill="1"/>
    <xf numFmtId="0" fontId="0" fillId="3" borderId="0" xfId="0" applyFill="1"/>
    <xf numFmtId="167" fontId="7" fillId="3" borderId="0" xfId="0" applyNumberFormat="1" applyFont="1" applyFill="1" applyAlignment="1">
      <alignment horizontal="center"/>
    </xf>
    <xf numFmtId="0" fontId="10" fillId="2" borderId="0" xfId="0" applyFont="1" applyFill="1" applyAlignment="1">
      <alignment horizontal="center"/>
    </xf>
    <xf numFmtId="0" fontId="3" fillId="4" borderId="0" xfId="0" applyFont="1" applyFill="1" applyAlignment="1">
      <alignment horizontal="left"/>
    </xf>
    <xf numFmtId="0" fontId="3" fillId="4" borderId="0" xfId="0" applyFont="1" applyFill="1" applyAlignment="1">
      <alignment horizontal="center"/>
    </xf>
    <xf numFmtId="4" fontId="7" fillId="5" borderId="0" xfId="0" applyNumberFormat="1" applyFont="1" applyFill="1" applyAlignment="1">
      <alignment horizontal="center"/>
    </xf>
    <xf numFmtId="0" fontId="11" fillId="3" borderId="0" xfId="0" applyFont="1" applyFill="1"/>
    <xf numFmtId="0" fontId="11" fillId="3" borderId="0" xfId="0" applyFont="1" applyFill="1" applyAlignment="1">
      <alignment horizontal="center"/>
    </xf>
    <xf numFmtId="0" fontId="0" fillId="3" borderId="0" xfId="0" applyFill="1" applyAlignment="1">
      <alignment horizontal="left"/>
    </xf>
    <xf numFmtId="0" fontId="12" fillId="3" borderId="0" xfId="0" applyFont="1" applyFill="1"/>
    <xf numFmtId="0" fontId="12" fillId="3" borderId="0" xfId="0" applyFont="1" applyFill="1" applyAlignment="1">
      <alignment horizontal="center"/>
    </xf>
    <xf numFmtId="0" fontId="13" fillId="3" borderId="0" xfId="0" applyFont="1" applyFill="1" applyAlignment="1">
      <alignment horizontal="center"/>
    </xf>
    <xf numFmtId="0" fontId="13" fillId="3" borderId="0" xfId="0" applyFont="1" applyFill="1" applyAlignment="1">
      <alignment horizontal="center" wrapText="1"/>
    </xf>
    <xf numFmtId="1" fontId="13" fillId="3" borderId="0" xfId="0" applyNumberFormat="1" applyFont="1" applyFill="1" applyAlignment="1">
      <alignment horizontal="center" wrapText="1"/>
    </xf>
    <xf numFmtId="0" fontId="14" fillId="3" borderId="0" xfId="0" applyFont="1" applyFill="1" applyAlignment="1">
      <alignment horizontal="center"/>
    </xf>
    <xf numFmtId="0" fontId="15" fillId="3" borderId="5" xfId="0" applyFont="1" applyFill="1" applyBorder="1" applyAlignment="1">
      <alignment horizontal="center"/>
    </xf>
    <xf numFmtId="168" fontId="15" fillId="3" borderId="6" xfId="0" applyNumberFormat="1" applyFont="1" applyFill="1" applyBorder="1" applyAlignment="1">
      <alignment horizontal="center"/>
    </xf>
    <xf numFmtId="168" fontId="15" fillId="3" borderId="7" xfId="0" applyNumberFormat="1" applyFont="1" applyFill="1" applyBorder="1" applyAlignment="1">
      <alignment horizontal="center"/>
    </xf>
    <xf numFmtId="168" fontId="15" fillId="3" borderId="8" xfId="0" applyNumberFormat="1" applyFont="1" applyFill="1" applyBorder="1" applyAlignment="1">
      <alignment horizontal="center"/>
    </xf>
    <xf numFmtId="167" fontId="0" fillId="3" borderId="0" xfId="0" applyNumberFormat="1" applyFill="1" applyAlignment="1">
      <alignment horizontal="center"/>
    </xf>
    <xf numFmtId="0" fontId="15" fillId="3" borderId="9" xfId="0" applyFont="1" applyFill="1" applyBorder="1" applyAlignment="1">
      <alignment horizontal="center"/>
    </xf>
    <xf numFmtId="168" fontId="15" fillId="3" borderId="0" xfId="0" applyNumberFormat="1" applyFont="1" applyFill="1" applyAlignment="1">
      <alignment horizontal="center"/>
    </xf>
    <xf numFmtId="168" fontId="15" fillId="3" borderId="10" xfId="0" applyNumberFormat="1" applyFont="1" applyFill="1" applyBorder="1" applyAlignment="1">
      <alignment horizontal="center"/>
    </xf>
    <xf numFmtId="0" fontId="2" fillId="3" borderId="1" xfId="0" applyFont="1" applyFill="1" applyBorder="1" applyAlignment="1">
      <alignment horizontal="center"/>
    </xf>
    <xf numFmtId="0" fontId="16" fillId="3" borderId="0" xfId="0" applyFont="1" applyFill="1"/>
    <xf numFmtId="0" fontId="7" fillId="4" borderId="0" xfId="0" applyFont="1" applyFill="1" applyAlignment="1">
      <alignment horizontal="center"/>
    </xf>
    <xf numFmtId="165" fontId="7" fillId="4" borderId="0" xfId="1" applyNumberFormat="1" applyFont="1" applyFill="1" applyAlignment="1">
      <alignment horizontal="center"/>
    </xf>
    <xf numFmtId="165" fontId="7" fillId="8" borderId="0" xfId="1" applyNumberFormat="1" applyFont="1" applyFill="1" applyAlignment="1">
      <alignment horizontal="center"/>
    </xf>
    <xf numFmtId="0" fontId="5" fillId="3" borderId="0" xfId="0" applyFont="1" applyFill="1" applyAlignment="1">
      <alignment vertical="top" wrapText="1"/>
    </xf>
    <xf numFmtId="0" fontId="5" fillId="3" borderId="0" xfId="0" applyFont="1" applyFill="1" applyAlignment="1">
      <alignment horizontal="left" vertical="top" wrapText="1"/>
    </xf>
    <xf numFmtId="165" fontId="5" fillId="3" borderId="0" xfId="1" applyNumberFormat="1" applyFont="1" applyFill="1" applyBorder="1" applyAlignment="1">
      <alignment horizontal="right" vertical="top" wrapText="1"/>
    </xf>
    <xf numFmtId="0" fontId="5" fillId="3" borderId="0" xfId="0" applyFont="1" applyFill="1" applyAlignment="1">
      <alignment horizontal="left" vertical="center" wrapText="1"/>
    </xf>
    <xf numFmtId="165" fontId="5" fillId="3" borderId="0" xfId="1" applyNumberFormat="1" applyFont="1" applyFill="1" applyBorder="1" applyAlignment="1">
      <alignment horizontal="right" vertical="center" wrapText="1"/>
    </xf>
    <xf numFmtId="0" fontId="5" fillId="3" borderId="2" xfId="0" applyFont="1" applyFill="1" applyBorder="1" applyAlignment="1">
      <alignment vertical="top" wrapText="1"/>
    </xf>
    <xf numFmtId="0" fontId="5" fillId="3" borderId="2" xfId="0" applyFont="1" applyFill="1" applyBorder="1" applyAlignment="1">
      <alignment horizontal="left" vertical="center" wrapText="1"/>
    </xf>
    <xf numFmtId="165" fontId="5" fillId="3" borderId="2" xfId="1" applyNumberFormat="1" applyFont="1" applyFill="1" applyBorder="1" applyAlignment="1">
      <alignment horizontal="right" vertical="center" wrapText="1"/>
    </xf>
    <xf numFmtId="0" fontId="5" fillId="3" borderId="4" xfId="0" applyFont="1" applyFill="1" applyBorder="1" applyAlignment="1">
      <alignment horizontal="left" vertical="top" wrapText="1"/>
    </xf>
    <xf numFmtId="165" fontId="5" fillId="3" borderId="4" xfId="1" applyNumberFormat="1" applyFont="1" applyFill="1" applyBorder="1" applyAlignment="1">
      <alignment horizontal="right" vertical="top" wrapText="1"/>
    </xf>
    <xf numFmtId="0" fontId="5" fillId="3" borderId="3" xfId="0" applyFont="1" applyFill="1" applyBorder="1" applyAlignment="1">
      <alignment horizontal="left" vertical="top" wrapText="1"/>
    </xf>
    <xf numFmtId="165" fontId="5" fillId="3" borderId="3" xfId="1" applyNumberFormat="1" applyFont="1" applyFill="1" applyBorder="1" applyAlignment="1">
      <alignment horizontal="right" vertical="top" wrapText="1"/>
    </xf>
    <xf numFmtId="0" fontId="3" fillId="2" borderId="0" xfId="0" applyFont="1" applyFill="1" applyAlignment="1">
      <alignment horizontal="left"/>
    </xf>
    <xf numFmtId="0" fontId="0" fillId="10" borderId="0" xfId="0" applyFill="1" applyAlignment="1">
      <alignment horizontal="center"/>
    </xf>
    <xf numFmtId="0" fontId="17" fillId="2" borderId="0" xfId="0" applyFont="1" applyFill="1"/>
    <xf numFmtId="0" fontId="17" fillId="2" borderId="0" xfId="0" applyFont="1" applyFill="1" applyAlignment="1">
      <alignment horizontal="left" indent="1"/>
    </xf>
    <xf numFmtId="167" fontId="8" fillId="3" borderId="0" xfId="0" applyNumberFormat="1" applyFont="1" applyFill="1" applyAlignment="1">
      <alignment horizontal="center"/>
    </xf>
    <xf numFmtId="15" fontId="0" fillId="2" borderId="0" xfId="0" applyNumberFormat="1" applyFill="1"/>
    <xf numFmtId="0" fontId="0" fillId="4" borderId="11" xfId="0" applyFill="1" applyBorder="1" applyAlignment="1">
      <alignment horizontal="center"/>
    </xf>
    <xf numFmtId="14" fontId="0" fillId="2" borderId="0" xfId="0" applyNumberFormat="1" applyFill="1"/>
    <xf numFmtId="3" fontId="0" fillId="2" borderId="0" xfId="0" applyNumberFormat="1" applyFill="1"/>
    <xf numFmtId="0" fontId="10" fillId="2" borderId="0" xfId="0" applyFont="1" applyFill="1"/>
    <xf numFmtId="0" fontId="2" fillId="2" borderId="0" xfId="0" applyFont="1" applyFill="1" applyAlignment="1">
      <alignment horizontal="left"/>
    </xf>
    <xf numFmtId="0" fontId="3" fillId="0" borderId="0" xfId="0" applyFont="1"/>
    <xf numFmtId="0" fontId="18" fillId="2" borderId="0" xfId="0" applyFont="1" applyFill="1"/>
    <xf numFmtId="3" fontId="7" fillId="11" borderId="0" xfId="0" applyNumberFormat="1" applyFont="1" applyFill="1" applyAlignment="1">
      <alignment horizontal="center"/>
    </xf>
    <xf numFmtId="3" fontId="7" fillId="3" borderId="0" xfId="0" applyNumberFormat="1" applyFont="1" applyFill="1" applyAlignment="1">
      <alignment horizontal="left"/>
    </xf>
    <xf numFmtId="3" fontId="2" fillId="5" borderId="0" xfId="0" applyNumberFormat="1" applyFont="1" applyFill="1" applyAlignment="1">
      <alignment horizontal="left"/>
    </xf>
    <xf numFmtId="3" fontId="7" fillId="6" borderId="0" xfId="0" applyNumberFormat="1" applyFont="1" applyFill="1" applyAlignment="1">
      <alignment horizontal="left"/>
    </xf>
    <xf numFmtId="3" fontId="7" fillId="11" borderId="0" xfId="0" applyNumberFormat="1" applyFont="1" applyFill="1" applyAlignment="1">
      <alignment horizontal="left"/>
    </xf>
    <xf numFmtId="3" fontId="7" fillId="8" borderId="0" xfId="0" applyNumberFormat="1" applyFont="1" applyFill="1" applyAlignment="1">
      <alignment horizontal="left"/>
    </xf>
    <xf numFmtId="0" fontId="19" fillId="2" borderId="0" xfId="0" applyFont="1" applyFill="1"/>
    <xf numFmtId="3" fontId="7" fillId="12" borderId="0" xfId="0" applyNumberFormat="1" applyFont="1" applyFill="1" applyAlignment="1">
      <alignment horizontal="left"/>
    </xf>
    <xf numFmtId="3" fontId="7" fillId="12" borderId="0" xfId="0" applyNumberFormat="1" applyFont="1" applyFill="1" applyAlignment="1">
      <alignment horizontal="center"/>
    </xf>
    <xf numFmtId="3" fontId="7" fillId="13" borderId="0" xfId="0" applyNumberFormat="1" applyFont="1" applyFill="1" applyAlignment="1">
      <alignment horizontal="center"/>
    </xf>
    <xf numFmtId="166" fontId="7" fillId="3" borderId="0" xfId="3" applyNumberFormat="1" applyFont="1" applyFill="1" applyAlignment="1">
      <alignment horizontal="center"/>
    </xf>
    <xf numFmtId="166" fontId="7" fillId="8" borderId="0" xfId="3" applyNumberFormat="1" applyFont="1" applyFill="1" applyAlignment="1">
      <alignment horizontal="center"/>
    </xf>
    <xf numFmtId="166" fontId="0" fillId="3" borderId="0" xfId="3" applyNumberFormat="1" applyFont="1" applyFill="1" applyAlignment="1">
      <alignment horizontal="center"/>
    </xf>
    <xf numFmtId="166" fontId="8" fillId="3" borderId="0" xfId="3" applyNumberFormat="1" applyFont="1" applyFill="1" applyAlignment="1">
      <alignment horizontal="center"/>
    </xf>
    <xf numFmtId="0" fontId="19" fillId="2" borderId="0" xfId="0" applyFont="1" applyFill="1" applyAlignment="1">
      <alignment horizontal="center"/>
    </xf>
    <xf numFmtId="0" fontId="20" fillId="2" borderId="0" xfId="0" applyFont="1" applyFill="1" applyAlignment="1">
      <alignment horizontal="left"/>
    </xf>
    <xf numFmtId="0" fontId="20" fillId="2" borderId="0" xfId="0" applyFont="1" applyFill="1"/>
    <xf numFmtId="0" fontId="20" fillId="2" borderId="0" xfId="0" applyFont="1" applyFill="1" applyAlignment="1">
      <alignment horizontal="center"/>
    </xf>
    <xf numFmtId="3" fontId="26" fillId="17" borderId="16" xfId="4" applyNumberFormat="1" applyFont="1" applyFill="1" applyBorder="1" applyAlignment="1">
      <alignment horizontal="right" vertical="top" shrinkToFit="1"/>
    </xf>
    <xf numFmtId="1" fontId="27" fillId="15" borderId="16" xfId="4" applyNumberFormat="1" applyFont="1" applyFill="1" applyBorder="1" applyAlignment="1">
      <alignment horizontal="right" vertical="top" shrinkToFit="1"/>
    </xf>
    <xf numFmtId="3" fontId="27" fillId="0" borderId="16" xfId="4" applyNumberFormat="1" applyFont="1" applyBorder="1" applyAlignment="1">
      <alignment horizontal="right" vertical="top" shrinkToFit="1"/>
    </xf>
    <xf numFmtId="3" fontId="27" fillId="15" borderId="16" xfId="4" applyNumberFormat="1" applyFont="1" applyFill="1" applyBorder="1" applyAlignment="1">
      <alignment horizontal="right" vertical="top" shrinkToFit="1"/>
    </xf>
    <xf numFmtId="1" fontId="27" fillId="0" borderId="16" xfId="4" applyNumberFormat="1" applyFont="1" applyBorder="1" applyAlignment="1">
      <alignment horizontal="right" vertical="top" shrinkToFit="1"/>
    </xf>
    <xf numFmtId="0" fontId="23" fillId="16" borderId="18" xfId="4" applyFont="1" applyFill="1" applyBorder="1" applyAlignment="1">
      <alignment horizontal="left" vertical="center" wrapText="1"/>
    </xf>
    <xf numFmtId="1" fontId="25" fillId="16" borderId="19" xfId="4" applyNumberFormat="1" applyFont="1" applyFill="1" applyBorder="1" applyAlignment="1">
      <alignment horizontal="center" vertical="center" shrinkToFit="1"/>
    </xf>
    <xf numFmtId="0" fontId="23" fillId="17" borderId="21" xfId="4" applyFont="1" applyFill="1" applyBorder="1" applyAlignment="1">
      <alignment horizontal="left" vertical="top" wrapText="1"/>
    </xf>
    <xf numFmtId="0" fontId="22" fillId="15" borderId="21" xfId="4" applyFont="1" applyFill="1" applyBorder="1" applyAlignment="1">
      <alignment horizontal="left" vertical="top" wrapText="1"/>
    </xf>
    <xf numFmtId="0" fontId="22" fillId="0" borderId="21" xfId="4" applyFont="1" applyBorder="1" applyAlignment="1">
      <alignment horizontal="left" vertical="top" wrapText="1"/>
    </xf>
    <xf numFmtId="9" fontId="26" fillId="17" borderId="22" xfId="1" applyFont="1" applyFill="1" applyBorder="1" applyAlignment="1">
      <alignment horizontal="right" vertical="top" shrinkToFit="1"/>
    </xf>
    <xf numFmtId="9" fontId="27" fillId="15" borderId="22" xfId="1" applyFont="1" applyFill="1" applyBorder="1" applyAlignment="1">
      <alignment horizontal="right" vertical="top" shrinkToFit="1"/>
    </xf>
    <xf numFmtId="9" fontId="27" fillId="0" borderId="22" xfId="1" applyFont="1" applyBorder="1" applyAlignment="1">
      <alignment horizontal="right" vertical="top" shrinkToFit="1"/>
    </xf>
    <xf numFmtId="0" fontId="0" fillId="0" borderId="0" xfId="0" applyAlignment="1">
      <alignment wrapText="1"/>
    </xf>
    <xf numFmtId="0" fontId="4" fillId="0" borderId="0" xfId="2"/>
    <xf numFmtId="0" fontId="25" fillId="16" borderId="19" xfId="4" applyFont="1" applyFill="1" applyBorder="1" applyAlignment="1">
      <alignment horizontal="center" vertical="top" wrapText="1"/>
    </xf>
    <xf numFmtId="0" fontId="25" fillId="16" borderId="20" xfId="4" applyFont="1" applyFill="1" applyBorder="1" applyAlignment="1">
      <alignment horizontal="center" vertical="center" wrapText="1"/>
    </xf>
    <xf numFmtId="1" fontId="24" fillId="15" borderId="14" xfId="5" applyNumberFormat="1" applyFont="1" applyFill="1" applyBorder="1" applyAlignment="1">
      <alignment horizontal="left" vertical="top" shrinkToFit="1"/>
    </xf>
    <xf numFmtId="3" fontId="24" fillId="15" borderId="14" xfId="5" applyNumberFormat="1" applyFont="1" applyFill="1" applyBorder="1" applyAlignment="1">
      <alignment horizontal="right" vertical="top" shrinkToFit="1"/>
    </xf>
    <xf numFmtId="165" fontId="24" fillId="15" borderId="14" xfId="5" applyNumberFormat="1" applyFont="1" applyFill="1" applyBorder="1" applyAlignment="1">
      <alignment horizontal="right" vertical="top" shrinkToFit="1"/>
    </xf>
    <xf numFmtId="1" fontId="24" fillId="0" borderId="14" xfId="5" applyNumberFormat="1" applyFont="1" applyBorder="1" applyAlignment="1">
      <alignment horizontal="left" vertical="top" shrinkToFit="1"/>
    </xf>
    <xf numFmtId="3" fontId="24" fillId="0" borderId="14" xfId="5" applyNumberFormat="1" applyFont="1" applyBorder="1" applyAlignment="1">
      <alignment horizontal="right" vertical="top" shrinkToFit="1"/>
    </xf>
    <xf numFmtId="165" fontId="24" fillId="0" borderId="14" xfId="5" applyNumberFormat="1" applyFont="1" applyBorder="1" applyAlignment="1">
      <alignment horizontal="right" vertical="top" shrinkToFit="1"/>
    </xf>
    <xf numFmtId="1" fontId="24" fillId="0" borderId="14" xfId="5" applyNumberFormat="1" applyFont="1" applyBorder="1" applyAlignment="1">
      <alignment horizontal="right" vertical="top" shrinkToFit="1"/>
    </xf>
    <xf numFmtId="1" fontId="24" fillId="15" borderId="14" xfId="5" applyNumberFormat="1" applyFont="1" applyFill="1" applyBorder="1" applyAlignment="1">
      <alignment horizontal="right" vertical="top" shrinkToFit="1"/>
    </xf>
    <xf numFmtId="0" fontId="23" fillId="14" borderId="14" xfId="5" applyFont="1" applyFill="1" applyBorder="1" applyAlignment="1">
      <alignment horizontal="center" vertical="top" wrapText="1"/>
    </xf>
    <xf numFmtId="0" fontId="23" fillId="14" borderId="14" xfId="5" applyFont="1" applyFill="1" applyBorder="1" applyAlignment="1">
      <alignment horizontal="center" vertical="center" wrapText="1"/>
    </xf>
    <xf numFmtId="0" fontId="22" fillId="5" borderId="21" xfId="4" applyFont="1" applyFill="1" applyBorder="1" applyAlignment="1">
      <alignment horizontal="left" vertical="top" wrapText="1"/>
    </xf>
    <xf numFmtId="3" fontId="27" fillId="5" borderId="16" xfId="4" applyNumberFormat="1" applyFont="1" applyFill="1" applyBorder="1" applyAlignment="1">
      <alignment horizontal="right" vertical="top" shrinkToFit="1"/>
    </xf>
    <xf numFmtId="9" fontId="27" fillId="5" borderId="22" xfId="1" applyFont="1" applyFill="1" applyBorder="1" applyAlignment="1">
      <alignment horizontal="right" vertical="top" shrinkToFit="1"/>
    </xf>
    <xf numFmtId="0" fontId="22" fillId="5" borderId="23" xfId="4" applyFont="1" applyFill="1" applyBorder="1" applyAlignment="1">
      <alignment horizontal="left" vertical="top" wrapText="1"/>
    </xf>
    <xf numFmtId="3" fontId="27" fillId="5" borderId="24" xfId="4" applyNumberFormat="1" applyFont="1" applyFill="1" applyBorder="1" applyAlignment="1">
      <alignment horizontal="right" vertical="top" shrinkToFit="1"/>
    </xf>
    <xf numFmtId="9" fontId="27" fillId="5" borderId="25" xfId="1" applyFont="1" applyFill="1" applyBorder="1" applyAlignment="1">
      <alignment horizontal="right" vertical="top" shrinkToFit="1"/>
    </xf>
    <xf numFmtId="0" fontId="29" fillId="5" borderId="0" xfId="0" applyFont="1" applyFill="1"/>
    <xf numFmtId="3" fontId="29" fillId="5" borderId="0" xfId="0" applyNumberFormat="1" applyFont="1" applyFill="1"/>
    <xf numFmtId="9" fontId="29" fillId="5" borderId="0" xfId="1" applyFont="1" applyFill="1"/>
    <xf numFmtId="169" fontId="0" fillId="0" borderId="0" xfId="0" applyNumberFormat="1"/>
    <xf numFmtId="0" fontId="30" fillId="14" borderId="26" xfId="5" applyFont="1" applyFill="1" applyBorder="1" applyAlignment="1">
      <alignment horizontal="center" vertical="center" wrapText="1"/>
    </xf>
    <xf numFmtId="0" fontId="30" fillId="14" borderId="12" xfId="5" applyFont="1" applyFill="1" applyBorder="1" applyAlignment="1">
      <alignment horizontal="center" vertical="center" wrapText="1"/>
    </xf>
    <xf numFmtId="166" fontId="0" fillId="0" borderId="17" xfId="3" applyNumberFormat="1" applyFont="1" applyBorder="1"/>
    <xf numFmtId="170" fontId="16" fillId="5" borderId="0" xfId="3" applyNumberFormat="1" applyFont="1" applyFill="1"/>
    <xf numFmtId="0" fontId="30" fillId="14" borderId="0" xfId="5" applyFont="1" applyFill="1" applyAlignment="1">
      <alignment horizontal="center" vertical="center" wrapText="1"/>
    </xf>
    <xf numFmtId="166" fontId="0" fillId="0" borderId="0" xfId="0" applyNumberFormat="1"/>
    <xf numFmtId="165" fontId="0" fillId="0" borderId="0" xfId="1" applyNumberFormat="1" applyFont="1"/>
    <xf numFmtId="166" fontId="0" fillId="18" borderId="17" xfId="3" applyNumberFormat="1" applyFont="1" applyFill="1" applyBorder="1"/>
    <xf numFmtId="0" fontId="0" fillId="0" borderId="4" xfId="0" applyBorder="1" applyAlignment="1">
      <alignment horizontal="left" wrapText="1"/>
    </xf>
    <xf numFmtId="0" fontId="23" fillId="14" borderId="12" xfId="5" applyFont="1" applyFill="1" applyBorder="1" applyAlignment="1">
      <alignment horizontal="center" vertical="center" wrapText="1"/>
    </xf>
    <xf numFmtId="0" fontId="23" fillId="14" borderId="13" xfId="5" applyFont="1" applyFill="1" applyBorder="1" applyAlignment="1">
      <alignment horizontal="center" vertical="center" wrapText="1"/>
    </xf>
    <xf numFmtId="0" fontId="23" fillId="14" borderId="14" xfId="5" applyFont="1" applyFill="1" applyBorder="1" applyAlignment="1">
      <alignment horizontal="center" vertical="top" wrapText="1"/>
    </xf>
    <xf numFmtId="0" fontId="23" fillId="14" borderId="15" xfId="5" applyFont="1" applyFill="1" applyBorder="1" applyAlignment="1">
      <alignment horizontal="center" vertical="top" wrapText="1"/>
    </xf>
    <xf numFmtId="0" fontId="0" fillId="4" borderId="1" xfId="0" applyFill="1" applyBorder="1" applyAlignment="1">
      <alignment horizontal="center"/>
    </xf>
    <xf numFmtId="0" fontId="0" fillId="4" borderId="0" xfId="0" applyFill="1" applyAlignment="1">
      <alignment horizontal="center"/>
    </xf>
    <xf numFmtId="0" fontId="0" fillId="3" borderId="0" xfId="0" applyFill="1" applyAlignment="1">
      <alignment horizontal="left" vertical="top" wrapText="1"/>
    </xf>
    <xf numFmtId="0" fontId="0" fillId="0" borderId="17" xfId="0" applyBorder="1"/>
    <xf numFmtId="0" fontId="30" fillId="14" borderId="17" xfId="5" applyFont="1" applyFill="1" applyBorder="1" applyAlignment="1">
      <alignment horizontal="center" vertical="center" wrapText="1"/>
    </xf>
    <xf numFmtId="0" fontId="30" fillId="14" borderId="0" xfId="5" applyFont="1" applyFill="1" applyBorder="1" applyAlignment="1">
      <alignment horizontal="center" vertical="center" wrapText="1"/>
    </xf>
    <xf numFmtId="166" fontId="0" fillId="4" borderId="17" xfId="3" applyNumberFormat="1" applyFont="1" applyFill="1" applyBorder="1"/>
  </cellXfs>
  <cellStyles count="6">
    <cellStyle name="Comma" xfId="3" builtinId="3"/>
    <cellStyle name="Hyperlink" xfId="2" builtinId="8"/>
    <cellStyle name="Normal" xfId="0" builtinId="0"/>
    <cellStyle name="Normal 2" xfId="4" xr:uid="{21AF548D-AB7D-4AFA-B10B-24FFB34A5755}"/>
    <cellStyle name="Normal 3" xfId="5" xr:uid="{DFD537FB-29A8-435E-A068-0A9169B2F9EC}"/>
    <cellStyle name="Percent" xfId="1" builtinId="5"/>
  </cellStyles>
  <dxfs count="0"/>
  <tableStyles count="0" defaultTableStyle="TableStyleMedium2" defaultPivotStyle="PivotStyleLight16"/>
  <colors>
    <mruColors>
      <color rgb="FFFFFFCC"/>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College Control Total Enrollment by Campus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'Campus Enrol Disaggregation'!$P$4</c:f>
              <c:strCache>
                <c:ptCount val="1"/>
                <c:pt idx="0">
                  <c:v>BYU</c:v>
                </c:pt>
              </c:strCache>
            </c:strRef>
          </c:tx>
          <c:spPr>
            <a:ln w="28575" cap="rnd">
              <a:solidFill>
                <a:schemeClr val="accent1"/>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Disaggregation'!$P$5:$P$75</c:f>
              <c:numCache>
                <c:formatCode>_(* #,##0_);_(* \(#,##0\);_(* "-"??_);_(@_)</c:formatCode>
                <c:ptCount val="71"/>
                <c:pt idx="0">
                  <c:v>30450</c:v>
                </c:pt>
                <c:pt idx="1">
                  <c:v>31100</c:v>
                </c:pt>
                <c:pt idx="2">
                  <c:v>31100</c:v>
                </c:pt>
                <c:pt idx="3">
                  <c:v>30550</c:v>
                </c:pt>
                <c:pt idx="4">
                  <c:v>30400</c:v>
                </c:pt>
                <c:pt idx="5">
                  <c:v>30450</c:v>
                </c:pt>
                <c:pt idx="6">
                  <c:v>30550</c:v>
                </c:pt>
                <c:pt idx="7">
                  <c:v>31250</c:v>
                </c:pt>
                <c:pt idx="8">
                  <c:v>32200</c:v>
                </c:pt>
                <c:pt idx="9">
                  <c:v>32750</c:v>
                </c:pt>
                <c:pt idx="10">
                  <c:v>32550</c:v>
                </c:pt>
                <c:pt idx="11">
                  <c:v>32750</c:v>
                </c:pt>
                <c:pt idx="12">
                  <c:v>32400</c:v>
                </c:pt>
                <c:pt idx="13">
                  <c:v>33000</c:v>
                </c:pt>
                <c:pt idx="14">
                  <c:v>34350</c:v>
                </c:pt>
                <c:pt idx="15">
                  <c:v>34050</c:v>
                </c:pt>
                <c:pt idx="16">
                  <c:v>34200</c:v>
                </c:pt>
                <c:pt idx="17">
                  <c:v>34150</c:v>
                </c:pt>
                <c:pt idx="18">
                  <c:v>34250</c:v>
                </c:pt>
                <c:pt idx="19">
                  <c:v>34150</c:v>
                </c:pt>
                <c:pt idx="20">
                  <c:v>33850</c:v>
                </c:pt>
                <c:pt idx="21">
                  <c:v>34100</c:v>
                </c:pt>
                <c:pt idx="22">
                  <c:v>34400</c:v>
                </c:pt>
                <c:pt idx="23">
                  <c:v>31100</c:v>
                </c:pt>
                <c:pt idx="24">
                  <c:v>30500</c:v>
                </c:pt>
                <c:pt idx="25">
                  <c:v>33450</c:v>
                </c:pt>
                <c:pt idx="26">
                  <c:v>34250</c:v>
                </c:pt>
                <c:pt idx="27">
                  <c:v>34350</c:v>
                </c:pt>
                <c:pt idx="28">
                  <c:v>34500</c:v>
                </c:pt>
                <c:pt idx="29">
                  <c:v>34300</c:v>
                </c:pt>
                <c:pt idx="30">
                  <c:v>36450</c:v>
                </c:pt>
                <c:pt idx="31">
                  <c:v>34800</c:v>
                </c:pt>
                <c:pt idx="32">
                  <c:v>34450</c:v>
                </c:pt>
                <c:pt idx="33">
                  <c:v>35050</c:v>
                </c:pt>
                <c:pt idx="34">
                  <c:v>36900</c:v>
                </c:pt>
                <c:pt idx="35">
                  <c:v>37500</c:v>
                </c:pt>
                <c:pt idx="36">
                  <c:v>37500</c:v>
                </c:pt>
                <c:pt idx="37">
                  <c:v>37550</c:v>
                </c:pt>
                <c:pt idx="38">
                  <c:v>37600</c:v>
                </c:pt>
                <c:pt idx="39">
                  <c:v>37650</c:v>
                </c:pt>
                <c:pt idx="40">
                  <c:v>37650</c:v>
                </c:pt>
                <c:pt idx="41">
                  <c:v>37700</c:v>
                </c:pt>
                <c:pt idx="42">
                  <c:v>37750</c:v>
                </c:pt>
                <c:pt idx="43">
                  <c:v>37750</c:v>
                </c:pt>
                <c:pt idx="44">
                  <c:v>37800</c:v>
                </c:pt>
                <c:pt idx="45">
                  <c:v>37850</c:v>
                </c:pt>
                <c:pt idx="46">
                  <c:v>37900</c:v>
                </c:pt>
                <c:pt idx="47">
                  <c:v>37900</c:v>
                </c:pt>
                <c:pt idx="48">
                  <c:v>37950</c:v>
                </c:pt>
                <c:pt idx="49">
                  <c:v>38000</c:v>
                </c:pt>
                <c:pt idx="50">
                  <c:v>38050</c:v>
                </c:pt>
                <c:pt idx="51">
                  <c:v>38050</c:v>
                </c:pt>
                <c:pt idx="52">
                  <c:v>38100</c:v>
                </c:pt>
                <c:pt idx="53">
                  <c:v>38150</c:v>
                </c:pt>
                <c:pt idx="54">
                  <c:v>38500</c:v>
                </c:pt>
                <c:pt idx="55">
                  <c:v>38900</c:v>
                </c:pt>
                <c:pt idx="56">
                  <c:v>39300</c:v>
                </c:pt>
                <c:pt idx="57">
                  <c:v>39300</c:v>
                </c:pt>
                <c:pt idx="58">
                  <c:v>39300</c:v>
                </c:pt>
                <c:pt idx="59">
                  <c:v>39300</c:v>
                </c:pt>
                <c:pt idx="60">
                  <c:v>39300</c:v>
                </c:pt>
                <c:pt idx="61">
                  <c:v>39300</c:v>
                </c:pt>
                <c:pt idx="62">
                  <c:v>39300</c:v>
                </c:pt>
                <c:pt idx="63">
                  <c:v>39300</c:v>
                </c:pt>
                <c:pt idx="64">
                  <c:v>39300</c:v>
                </c:pt>
                <c:pt idx="65">
                  <c:v>39300</c:v>
                </c:pt>
                <c:pt idx="66">
                  <c:v>39300</c:v>
                </c:pt>
                <c:pt idx="67">
                  <c:v>39300</c:v>
                </c:pt>
                <c:pt idx="68">
                  <c:v>39300</c:v>
                </c:pt>
                <c:pt idx="69">
                  <c:v>39300</c:v>
                </c:pt>
                <c:pt idx="70">
                  <c:v>39300</c:v>
                </c:pt>
              </c:numCache>
            </c:numRef>
          </c:val>
          <c:smooth val="0"/>
          <c:extLst>
            <c:ext xmlns:c16="http://schemas.microsoft.com/office/drawing/2014/chart" uri="{C3380CC4-5D6E-409C-BE32-E72D297353CC}">
              <c16:uniqueId val="{00000000-6C95-4AF9-9677-75D0BF8DBF4A}"/>
            </c:ext>
          </c:extLst>
        </c:ser>
        <c:ser>
          <c:idx val="1"/>
          <c:order val="1"/>
          <c:tx>
            <c:strRef>
              <c:f>'Campus Enrol Disaggregation'!$Q$4</c:f>
              <c:strCache>
                <c:ptCount val="1"/>
                <c:pt idx="0">
                  <c:v>ENSIGN</c:v>
                </c:pt>
              </c:strCache>
            </c:strRef>
          </c:tx>
          <c:spPr>
            <a:ln w="28575" cap="rnd">
              <a:solidFill>
                <a:schemeClr val="accent2"/>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Disaggregation'!$Q$5:$Q$75</c:f>
              <c:numCache>
                <c:formatCode>_(* #,##0_);_(* \(#,##0\);_(* "-"??_);_(@_)</c:formatCode>
                <c:ptCount val="71"/>
                <c:pt idx="0">
                  <c:v>0</c:v>
                </c:pt>
                <c:pt idx="1">
                  <c:v>0</c:v>
                </c:pt>
                <c:pt idx="2">
                  <c:v>0</c:v>
                </c:pt>
                <c:pt idx="3">
                  <c:v>0</c:v>
                </c:pt>
                <c:pt idx="4">
                  <c:v>0</c:v>
                </c:pt>
                <c:pt idx="5">
                  <c:v>0</c:v>
                </c:pt>
                <c:pt idx="6">
                  <c:v>0</c:v>
                </c:pt>
                <c:pt idx="7">
                  <c:v>0</c:v>
                </c:pt>
                <c:pt idx="8">
                  <c:v>0</c:v>
                </c:pt>
                <c:pt idx="9">
                  <c:v>0</c:v>
                </c:pt>
                <c:pt idx="10">
                  <c:v>800</c:v>
                </c:pt>
                <c:pt idx="11">
                  <c:v>1050</c:v>
                </c:pt>
                <c:pt idx="12">
                  <c:v>1100</c:v>
                </c:pt>
                <c:pt idx="13">
                  <c:v>1250</c:v>
                </c:pt>
                <c:pt idx="14">
                  <c:v>1250</c:v>
                </c:pt>
                <c:pt idx="15">
                  <c:v>1250</c:v>
                </c:pt>
                <c:pt idx="16">
                  <c:v>1300</c:v>
                </c:pt>
                <c:pt idx="17">
                  <c:v>1300</c:v>
                </c:pt>
                <c:pt idx="18">
                  <c:v>1400</c:v>
                </c:pt>
                <c:pt idx="19">
                  <c:v>1600</c:v>
                </c:pt>
                <c:pt idx="20">
                  <c:v>1800</c:v>
                </c:pt>
                <c:pt idx="21">
                  <c:v>2000</c:v>
                </c:pt>
                <c:pt idx="22">
                  <c:v>2200</c:v>
                </c:pt>
                <c:pt idx="23">
                  <c:v>2050</c:v>
                </c:pt>
                <c:pt idx="24">
                  <c:v>2000</c:v>
                </c:pt>
                <c:pt idx="25">
                  <c:v>2150</c:v>
                </c:pt>
                <c:pt idx="26">
                  <c:v>2100</c:v>
                </c:pt>
                <c:pt idx="27">
                  <c:v>2050</c:v>
                </c:pt>
                <c:pt idx="28">
                  <c:v>2000</c:v>
                </c:pt>
                <c:pt idx="29">
                  <c:v>1950</c:v>
                </c:pt>
                <c:pt idx="30">
                  <c:v>1850</c:v>
                </c:pt>
                <c:pt idx="31">
                  <c:v>1750</c:v>
                </c:pt>
                <c:pt idx="32">
                  <c:v>1600</c:v>
                </c:pt>
                <c:pt idx="33">
                  <c:v>1850</c:v>
                </c:pt>
                <c:pt idx="34">
                  <c:v>1950</c:v>
                </c:pt>
                <c:pt idx="35">
                  <c:v>1950</c:v>
                </c:pt>
                <c:pt idx="36">
                  <c:v>2000</c:v>
                </c:pt>
                <c:pt idx="37">
                  <c:v>2050</c:v>
                </c:pt>
                <c:pt idx="38">
                  <c:v>2100</c:v>
                </c:pt>
                <c:pt idx="39">
                  <c:v>2100</c:v>
                </c:pt>
                <c:pt idx="40">
                  <c:v>2150</c:v>
                </c:pt>
                <c:pt idx="41">
                  <c:v>2200</c:v>
                </c:pt>
                <c:pt idx="42">
                  <c:v>2200</c:v>
                </c:pt>
                <c:pt idx="43">
                  <c:v>2250</c:v>
                </c:pt>
                <c:pt idx="44">
                  <c:v>2300</c:v>
                </c:pt>
                <c:pt idx="45">
                  <c:v>2300</c:v>
                </c:pt>
                <c:pt idx="46">
                  <c:v>2350</c:v>
                </c:pt>
                <c:pt idx="47">
                  <c:v>2400</c:v>
                </c:pt>
                <c:pt idx="48">
                  <c:v>2450</c:v>
                </c:pt>
                <c:pt idx="49">
                  <c:v>2450</c:v>
                </c:pt>
                <c:pt idx="50">
                  <c:v>2500</c:v>
                </c:pt>
                <c:pt idx="51">
                  <c:v>2550</c:v>
                </c:pt>
                <c:pt idx="52">
                  <c:v>2550</c:v>
                </c:pt>
                <c:pt idx="53">
                  <c:v>2600</c:v>
                </c:pt>
                <c:pt idx="54">
                  <c:v>2650</c:v>
                </c:pt>
                <c:pt idx="55">
                  <c:v>2650</c:v>
                </c:pt>
                <c:pt idx="56">
                  <c:v>2700</c:v>
                </c:pt>
                <c:pt idx="57">
                  <c:v>2750</c:v>
                </c:pt>
                <c:pt idx="58">
                  <c:v>2800</c:v>
                </c:pt>
                <c:pt idx="59">
                  <c:v>2800</c:v>
                </c:pt>
                <c:pt idx="60">
                  <c:v>2850</c:v>
                </c:pt>
                <c:pt idx="61">
                  <c:v>2900</c:v>
                </c:pt>
                <c:pt idx="62">
                  <c:v>2900</c:v>
                </c:pt>
                <c:pt idx="63">
                  <c:v>2950</c:v>
                </c:pt>
                <c:pt idx="64">
                  <c:v>3000</c:v>
                </c:pt>
                <c:pt idx="65">
                  <c:v>3000</c:v>
                </c:pt>
                <c:pt idx="66">
                  <c:v>3050</c:v>
                </c:pt>
                <c:pt idx="67">
                  <c:v>3100</c:v>
                </c:pt>
                <c:pt idx="68">
                  <c:v>3150</c:v>
                </c:pt>
                <c:pt idx="69">
                  <c:v>3150</c:v>
                </c:pt>
                <c:pt idx="70">
                  <c:v>3200</c:v>
                </c:pt>
              </c:numCache>
            </c:numRef>
          </c:val>
          <c:smooth val="0"/>
          <c:extLst>
            <c:ext xmlns:c16="http://schemas.microsoft.com/office/drawing/2014/chart" uri="{C3380CC4-5D6E-409C-BE32-E72D297353CC}">
              <c16:uniqueId val="{00000001-6C95-4AF9-9677-75D0BF8DBF4A}"/>
            </c:ext>
          </c:extLst>
        </c:ser>
        <c:ser>
          <c:idx val="2"/>
          <c:order val="2"/>
          <c:tx>
            <c:strRef>
              <c:f>'Campus Enrol Disaggregation'!$R$4</c:f>
              <c:strCache>
                <c:ptCount val="1"/>
                <c:pt idx="0">
                  <c:v>SLCC_MAIN</c:v>
                </c:pt>
              </c:strCache>
            </c:strRef>
          </c:tx>
          <c:spPr>
            <a:ln w="28575" cap="rnd">
              <a:solidFill>
                <a:schemeClr val="accent3"/>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Disaggregation'!$R$5:$R$75</c:f>
              <c:numCache>
                <c:formatCode>_(* #,##0_);_(* \(#,##0\);_(* "-"??_);_(@_)</c:formatCode>
                <c:ptCount val="71"/>
                <c:pt idx="0">
                  <c:v>9150</c:v>
                </c:pt>
                <c:pt idx="1">
                  <c:v>10950</c:v>
                </c:pt>
                <c:pt idx="2">
                  <c:v>12150</c:v>
                </c:pt>
                <c:pt idx="3">
                  <c:v>12550</c:v>
                </c:pt>
                <c:pt idx="4">
                  <c:v>13300</c:v>
                </c:pt>
                <c:pt idx="5">
                  <c:v>14250</c:v>
                </c:pt>
                <c:pt idx="6">
                  <c:v>15300</c:v>
                </c:pt>
                <c:pt idx="7">
                  <c:v>16650</c:v>
                </c:pt>
                <c:pt idx="8">
                  <c:v>13500</c:v>
                </c:pt>
                <c:pt idx="9">
                  <c:v>14550</c:v>
                </c:pt>
                <c:pt idx="10">
                  <c:v>14750</c:v>
                </c:pt>
                <c:pt idx="11">
                  <c:v>16200</c:v>
                </c:pt>
                <c:pt idx="12">
                  <c:v>15950</c:v>
                </c:pt>
                <c:pt idx="13">
                  <c:v>16450</c:v>
                </c:pt>
                <c:pt idx="14">
                  <c:v>16900</c:v>
                </c:pt>
                <c:pt idx="15">
                  <c:v>16500</c:v>
                </c:pt>
                <c:pt idx="16">
                  <c:v>16600</c:v>
                </c:pt>
                <c:pt idx="17">
                  <c:v>17250</c:v>
                </c:pt>
                <c:pt idx="18">
                  <c:v>20100</c:v>
                </c:pt>
                <c:pt idx="19">
                  <c:v>23900</c:v>
                </c:pt>
                <c:pt idx="20">
                  <c:v>23700</c:v>
                </c:pt>
                <c:pt idx="21">
                  <c:v>22850</c:v>
                </c:pt>
                <c:pt idx="22">
                  <c:v>20500</c:v>
                </c:pt>
                <c:pt idx="23">
                  <c:v>21900</c:v>
                </c:pt>
                <c:pt idx="24">
                  <c:v>20700</c:v>
                </c:pt>
                <c:pt idx="25">
                  <c:v>20100</c:v>
                </c:pt>
                <c:pt idx="26">
                  <c:v>20450</c:v>
                </c:pt>
                <c:pt idx="27">
                  <c:v>20250</c:v>
                </c:pt>
                <c:pt idx="28">
                  <c:v>19950</c:v>
                </c:pt>
                <c:pt idx="29">
                  <c:v>20200</c:v>
                </c:pt>
                <c:pt idx="30">
                  <c:v>18650</c:v>
                </c:pt>
                <c:pt idx="31">
                  <c:v>18600</c:v>
                </c:pt>
                <c:pt idx="32">
                  <c:v>18000</c:v>
                </c:pt>
                <c:pt idx="33">
                  <c:v>18300</c:v>
                </c:pt>
                <c:pt idx="34">
                  <c:v>22250</c:v>
                </c:pt>
                <c:pt idx="35">
                  <c:v>22250</c:v>
                </c:pt>
                <c:pt idx="36">
                  <c:v>22250</c:v>
                </c:pt>
                <c:pt idx="37">
                  <c:v>22150</c:v>
                </c:pt>
                <c:pt idx="38">
                  <c:v>22050</c:v>
                </c:pt>
                <c:pt idx="39">
                  <c:v>22250</c:v>
                </c:pt>
                <c:pt idx="40">
                  <c:v>22500</c:v>
                </c:pt>
                <c:pt idx="41">
                  <c:v>22750</c:v>
                </c:pt>
                <c:pt idx="42">
                  <c:v>22950</c:v>
                </c:pt>
                <c:pt idx="43">
                  <c:v>23200</c:v>
                </c:pt>
                <c:pt idx="44">
                  <c:v>23400</c:v>
                </c:pt>
                <c:pt idx="45">
                  <c:v>23650</c:v>
                </c:pt>
                <c:pt idx="46">
                  <c:v>23900</c:v>
                </c:pt>
                <c:pt idx="47">
                  <c:v>24100</c:v>
                </c:pt>
                <c:pt idx="48">
                  <c:v>24350</c:v>
                </c:pt>
                <c:pt idx="49">
                  <c:v>24600</c:v>
                </c:pt>
                <c:pt idx="50">
                  <c:v>24800</c:v>
                </c:pt>
                <c:pt idx="51">
                  <c:v>25050</c:v>
                </c:pt>
                <c:pt idx="52">
                  <c:v>25250</c:v>
                </c:pt>
                <c:pt idx="53">
                  <c:v>25500</c:v>
                </c:pt>
                <c:pt idx="54">
                  <c:v>25750</c:v>
                </c:pt>
                <c:pt idx="55">
                  <c:v>25950</c:v>
                </c:pt>
                <c:pt idx="56">
                  <c:v>26200</c:v>
                </c:pt>
                <c:pt idx="57">
                  <c:v>26400</c:v>
                </c:pt>
                <c:pt idx="58">
                  <c:v>26650</c:v>
                </c:pt>
                <c:pt idx="59">
                  <c:v>26900</c:v>
                </c:pt>
                <c:pt idx="60">
                  <c:v>27100</c:v>
                </c:pt>
                <c:pt idx="61">
                  <c:v>27350</c:v>
                </c:pt>
                <c:pt idx="62">
                  <c:v>27550</c:v>
                </c:pt>
                <c:pt idx="63">
                  <c:v>27800</c:v>
                </c:pt>
                <c:pt idx="64">
                  <c:v>28050</c:v>
                </c:pt>
                <c:pt idx="65">
                  <c:v>28250</c:v>
                </c:pt>
                <c:pt idx="66">
                  <c:v>28500</c:v>
                </c:pt>
                <c:pt idx="67">
                  <c:v>28750</c:v>
                </c:pt>
                <c:pt idx="68">
                  <c:v>28950</c:v>
                </c:pt>
                <c:pt idx="69">
                  <c:v>29200</c:v>
                </c:pt>
                <c:pt idx="70">
                  <c:v>29400</c:v>
                </c:pt>
              </c:numCache>
            </c:numRef>
          </c:val>
          <c:smooth val="0"/>
          <c:extLst>
            <c:ext xmlns:c16="http://schemas.microsoft.com/office/drawing/2014/chart" uri="{C3380CC4-5D6E-409C-BE32-E72D297353CC}">
              <c16:uniqueId val="{00000002-6C95-4AF9-9677-75D0BF8DBF4A}"/>
            </c:ext>
          </c:extLst>
        </c:ser>
        <c:ser>
          <c:idx val="3"/>
          <c:order val="3"/>
          <c:tx>
            <c:strRef>
              <c:f>'Campus Enrol Disaggregation'!$S$4</c:f>
              <c:strCache>
                <c:ptCount val="1"/>
                <c:pt idx="0">
                  <c:v>SLCC_JD</c:v>
                </c:pt>
              </c:strCache>
            </c:strRef>
          </c:tx>
          <c:spPr>
            <a:ln w="28575" cap="rnd">
              <a:solidFill>
                <a:schemeClr val="accent4"/>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Disaggregation'!$S$5:$S$75</c:f>
              <c:numCache>
                <c:formatCode>_(* #,##0_);_(* \(#,##0\);_(* "-"??_);_(@_)</c:formatCode>
                <c:ptCount val="71"/>
                <c:pt idx="0">
                  <c:v>1800</c:v>
                </c:pt>
                <c:pt idx="1">
                  <c:v>2150</c:v>
                </c:pt>
                <c:pt idx="2">
                  <c:v>2350</c:v>
                </c:pt>
                <c:pt idx="3">
                  <c:v>2450</c:v>
                </c:pt>
                <c:pt idx="4">
                  <c:v>2600</c:v>
                </c:pt>
                <c:pt idx="5">
                  <c:v>2800</c:v>
                </c:pt>
                <c:pt idx="6">
                  <c:v>3000</c:v>
                </c:pt>
                <c:pt idx="7">
                  <c:v>3250</c:v>
                </c:pt>
                <c:pt idx="8">
                  <c:v>2650</c:v>
                </c:pt>
                <c:pt idx="9">
                  <c:v>2850</c:v>
                </c:pt>
                <c:pt idx="10">
                  <c:v>2900</c:v>
                </c:pt>
                <c:pt idx="11">
                  <c:v>3150</c:v>
                </c:pt>
                <c:pt idx="12">
                  <c:v>3100</c:v>
                </c:pt>
                <c:pt idx="13">
                  <c:v>3200</c:v>
                </c:pt>
                <c:pt idx="14">
                  <c:v>3300</c:v>
                </c:pt>
                <c:pt idx="15">
                  <c:v>3200</c:v>
                </c:pt>
                <c:pt idx="16">
                  <c:v>3250</c:v>
                </c:pt>
                <c:pt idx="17">
                  <c:v>3350</c:v>
                </c:pt>
                <c:pt idx="18">
                  <c:v>3900</c:v>
                </c:pt>
                <c:pt idx="19">
                  <c:v>4650</c:v>
                </c:pt>
                <c:pt idx="20">
                  <c:v>4600</c:v>
                </c:pt>
                <c:pt idx="21">
                  <c:v>4450</c:v>
                </c:pt>
                <c:pt idx="22">
                  <c:v>4000</c:v>
                </c:pt>
                <c:pt idx="23">
                  <c:v>4250</c:v>
                </c:pt>
                <c:pt idx="24">
                  <c:v>4050</c:v>
                </c:pt>
                <c:pt idx="25">
                  <c:v>3900</c:v>
                </c:pt>
                <c:pt idx="26">
                  <c:v>4000</c:v>
                </c:pt>
                <c:pt idx="27">
                  <c:v>3950</c:v>
                </c:pt>
                <c:pt idx="28">
                  <c:v>3900</c:v>
                </c:pt>
                <c:pt idx="29">
                  <c:v>3950</c:v>
                </c:pt>
                <c:pt idx="30">
                  <c:v>3650</c:v>
                </c:pt>
                <c:pt idx="31">
                  <c:v>3650</c:v>
                </c:pt>
                <c:pt idx="32">
                  <c:v>3500</c:v>
                </c:pt>
                <c:pt idx="33">
                  <c:v>3550</c:v>
                </c:pt>
                <c:pt idx="34">
                  <c:v>4350</c:v>
                </c:pt>
                <c:pt idx="35">
                  <c:v>4350</c:v>
                </c:pt>
                <c:pt idx="36">
                  <c:v>4350</c:v>
                </c:pt>
                <c:pt idx="37">
                  <c:v>4300</c:v>
                </c:pt>
                <c:pt idx="38">
                  <c:v>4300</c:v>
                </c:pt>
                <c:pt idx="39">
                  <c:v>4350</c:v>
                </c:pt>
                <c:pt idx="40">
                  <c:v>4400</c:v>
                </c:pt>
                <c:pt idx="41">
                  <c:v>4450</c:v>
                </c:pt>
                <c:pt idx="42">
                  <c:v>4500</c:v>
                </c:pt>
                <c:pt idx="43">
                  <c:v>4500</c:v>
                </c:pt>
                <c:pt idx="44">
                  <c:v>4550</c:v>
                </c:pt>
                <c:pt idx="45">
                  <c:v>4600</c:v>
                </c:pt>
                <c:pt idx="46">
                  <c:v>4650</c:v>
                </c:pt>
                <c:pt idx="47">
                  <c:v>4700</c:v>
                </c:pt>
                <c:pt idx="48">
                  <c:v>4750</c:v>
                </c:pt>
                <c:pt idx="49">
                  <c:v>4800</c:v>
                </c:pt>
                <c:pt idx="50">
                  <c:v>4850</c:v>
                </c:pt>
                <c:pt idx="51">
                  <c:v>4900</c:v>
                </c:pt>
                <c:pt idx="52">
                  <c:v>4950</c:v>
                </c:pt>
                <c:pt idx="53">
                  <c:v>4950</c:v>
                </c:pt>
                <c:pt idx="54">
                  <c:v>5000</c:v>
                </c:pt>
                <c:pt idx="55">
                  <c:v>5050</c:v>
                </c:pt>
                <c:pt idx="56">
                  <c:v>5100</c:v>
                </c:pt>
                <c:pt idx="57">
                  <c:v>5150</c:v>
                </c:pt>
                <c:pt idx="58">
                  <c:v>5200</c:v>
                </c:pt>
                <c:pt idx="59">
                  <c:v>5250</c:v>
                </c:pt>
                <c:pt idx="60">
                  <c:v>5300</c:v>
                </c:pt>
                <c:pt idx="61">
                  <c:v>5350</c:v>
                </c:pt>
                <c:pt idx="62">
                  <c:v>5400</c:v>
                </c:pt>
                <c:pt idx="63">
                  <c:v>5400</c:v>
                </c:pt>
                <c:pt idx="64">
                  <c:v>5450</c:v>
                </c:pt>
                <c:pt idx="65">
                  <c:v>5500</c:v>
                </c:pt>
                <c:pt idx="66">
                  <c:v>5550</c:v>
                </c:pt>
                <c:pt idx="67">
                  <c:v>5600</c:v>
                </c:pt>
                <c:pt idx="68">
                  <c:v>5650</c:v>
                </c:pt>
                <c:pt idx="69">
                  <c:v>5700</c:v>
                </c:pt>
                <c:pt idx="70">
                  <c:v>5750</c:v>
                </c:pt>
              </c:numCache>
            </c:numRef>
          </c:val>
          <c:smooth val="0"/>
          <c:extLst>
            <c:ext xmlns:c16="http://schemas.microsoft.com/office/drawing/2014/chart" uri="{C3380CC4-5D6E-409C-BE32-E72D297353CC}">
              <c16:uniqueId val="{00000003-6C95-4AF9-9677-75D0BF8DBF4A}"/>
            </c:ext>
          </c:extLst>
        </c:ser>
        <c:ser>
          <c:idx val="4"/>
          <c:order val="4"/>
          <c:tx>
            <c:strRef>
              <c:f>'Campus Enrol Disaggregation'!$T$4</c:f>
              <c:strCache>
                <c:ptCount val="1"/>
                <c:pt idx="0">
                  <c:v>SLCC_ML</c:v>
                </c:pt>
              </c:strCache>
            </c:strRef>
          </c:tx>
          <c:spPr>
            <a:ln w="28575" cap="rnd">
              <a:solidFill>
                <a:schemeClr val="accent5"/>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Disaggregation'!$T$5:$T$75</c:f>
              <c:numCache>
                <c:formatCode>_(* #,##0_);_(* \(#,##0\);_(* "-"??_);_(@_)</c:formatCode>
                <c:ptCount val="71"/>
                <c:pt idx="0">
                  <c:v>200</c:v>
                </c:pt>
                <c:pt idx="1">
                  <c:v>250</c:v>
                </c:pt>
                <c:pt idx="2">
                  <c:v>300</c:v>
                </c:pt>
                <c:pt idx="3">
                  <c:v>300</c:v>
                </c:pt>
                <c:pt idx="4">
                  <c:v>300</c:v>
                </c:pt>
                <c:pt idx="5">
                  <c:v>350</c:v>
                </c:pt>
                <c:pt idx="6">
                  <c:v>350</c:v>
                </c:pt>
                <c:pt idx="7">
                  <c:v>400</c:v>
                </c:pt>
                <c:pt idx="8">
                  <c:v>300</c:v>
                </c:pt>
                <c:pt idx="9">
                  <c:v>350</c:v>
                </c:pt>
                <c:pt idx="10">
                  <c:v>350</c:v>
                </c:pt>
                <c:pt idx="11">
                  <c:v>400</c:v>
                </c:pt>
                <c:pt idx="12">
                  <c:v>400</c:v>
                </c:pt>
                <c:pt idx="13">
                  <c:v>400</c:v>
                </c:pt>
                <c:pt idx="14">
                  <c:v>400</c:v>
                </c:pt>
                <c:pt idx="15">
                  <c:v>400</c:v>
                </c:pt>
                <c:pt idx="16">
                  <c:v>400</c:v>
                </c:pt>
                <c:pt idx="17">
                  <c:v>400</c:v>
                </c:pt>
                <c:pt idx="18">
                  <c:v>500</c:v>
                </c:pt>
                <c:pt idx="19">
                  <c:v>550</c:v>
                </c:pt>
                <c:pt idx="20">
                  <c:v>550</c:v>
                </c:pt>
                <c:pt idx="21">
                  <c:v>550</c:v>
                </c:pt>
                <c:pt idx="22">
                  <c:v>500</c:v>
                </c:pt>
                <c:pt idx="23">
                  <c:v>500</c:v>
                </c:pt>
                <c:pt idx="24">
                  <c:v>500</c:v>
                </c:pt>
                <c:pt idx="25">
                  <c:v>450</c:v>
                </c:pt>
                <c:pt idx="26">
                  <c:v>500</c:v>
                </c:pt>
                <c:pt idx="27">
                  <c:v>500</c:v>
                </c:pt>
                <c:pt idx="28">
                  <c:v>450</c:v>
                </c:pt>
                <c:pt idx="29">
                  <c:v>500</c:v>
                </c:pt>
                <c:pt idx="30">
                  <c:v>450</c:v>
                </c:pt>
                <c:pt idx="31">
                  <c:v>450</c:v>
                </c:pt>
                <c:pt idx="32">
                  <c:v>450</c:v>
                </c:pt>
                <c:pt idx="33">
                  <c:v>450</c:v>
                </c:pt>
                <c:pt idx="34">
                  <c:v>550</c:v>
                </c:pt>
                <c:pt idx="35">
                  <c:v>550</c:v>
                </c:pt>
                <c:pt idx="36">
                  <c:v>550</c:v>
                </c:pt>
                <c:pt idx="37">
                  <c:v>500</c:v>
                </c:pt>
                <c:pt idx="38">
                  <c:v>500</c:v>
                </c:pt>
                <c:pt idx="39">
                  <c:v>550</c:v>
                </c:pt>
                <c:pt idx="40">
                  <c:v>550</c:v>
                </c:pt>
                <c:pt idx="41">
                  <c:v>550</c:v>
                </c:pt>
                <c:pt idx="42">
                  <c:v>550</c:v>
                </c:pt>
                <c:pt idx="43">
                  <c:v>550</c:v>
                </c:pt>
                <c:pt idx="44">
                  <c:v>550</c:v>
                </c:pt>
                <c:pt idx="45">
                  <c:v>550</c:v>
                </c:pt>
                <c:pt idx="46">
                  <c:v>550</c:v>
                </c:pt>
                <c:pt idx="47">
                  <c:v>550</c:v>
                </c:pt>
                <c:pt idx="48">
                  <c:v>600</c:v>
                </c:pt>
                <c:pt idx="49">
                  <c:v>600</c:v>
                </c:pt>
                <c:pt idx="50">
                  <c:v>600</c:v>
                </c:pt>
                <c:pt idx="51">
                  <c:v>600</c:v>
                </c:pt>
                <c:pt idx="52">
                  <c:v>600</c:v>
                </c:pt>
                <c:pt idx="53">
                  <c:v>600</c:v>
                </c:pt>
                <c:pt idx="54">
                  <c:v>600</c:v>
                </c:pt>
                <c:pt idx="55">
                  <c:v>600</c:v>
                </c:pt>
                <c:pt idx="56">
                  <c:v>600</c:v>
                </c:pt>
                <c:pt idx="57">
                  <c:v>600</c:v>
                </c:pt>
                <c:pt idx="58">
                  <c:v>650</c:v>
                </c:pt>
                <c:pt idx="59">
                  <c:v>650</c:v>
                </c:pt>
                <c:pt idx="60">
                  <c:v>650</c:v>
                </c:pt>
                <c:pt idx="61">
                  <c:v>650</c:v>
                </c:pt>
                <c:pt idx="62">
                  <c:v>650</c:v>
                </c:pt>
                <c:pt idx="63">
                  <c:v>650</c:v>
                </c:pt>
                <c:pt idx="64">
                  <c:v>650</c:v>
                </c:pt>
                <c:pt idx="65">
                  <c:v>650</c:v>
                </c:pt>
                <c:pt idx="66">
                  <c:v>650</c:v>
                </c:pt>
                <c:pt idx="67">
                  <c:v>700</c:v>
                </c:pt>
                <c:pt idx="68">
                  <c:v>700</c:v>
                </c:pt>
                <c:pt idx="69">
                  <c:v>700</c:v>
                </c:pt>
                <c:pt idx="70">
                  <c:v>700</c:v>
                </c:pt>
              </c:numCache>
            </c:numRef>
          </c:val>
          <c:smooth val="0"/>
          <c:extLst>
            <c:ext xmlns:c16="http://schemas.microsoft.com/office/drawing/2014/chart" uri="{C3380CC4-5D6E-409C-BE32-E72D297353CC}">
              <c16:uniqueId val="{00000004-6C95-4AF9-9677-75D0BF8DBF4A}"/>
            </c:ext>
          </c:extLst>
        </c:ser>
        <c:ser>
          <c:idx val="5"/>
          <c:order val="5"/>
          <c:tx>
            <c:strRef>
              <c:f>'Campus Enrol Disaggregation'!$U$4</c:f>
              <c:strCache>
                <c:ptCount val="1"/>
                <c:pt idx="0">
                  <c:v>SLCC_SC</c:v>
                </c:pt>
              </c:strCache>
            </c:strRef>
          </c:tx>
          <c:spPr>
            <a:ln w="28575" cap="rnd">
              <a:solidFill>
                <a:schemeClr val="accent6"/>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Disaggregation'!$U$5:$U$75</c:f>
              <c:numCache>
                <c:formatCode>_(* #,##0_);_(* \(#,##0\);_(* "-"??_);_(@_)</c:formatCode>
                <c:ptCount val="71"/>
                <c:pt idx="0">
                  <c:v>1350</c:v>
                </c:pt>
                <c:pt idx="1">
                  <c:v>1650</c:v>
                </c:pt>
                <c:pt idx="2">
                  <c:v>1800</c:v>
                </c:pt>
                <c:pt idx="3">
                  <c:v>1850</c:v>
                </c:pt>
                <c:pt idx="4">
                  <c:v>2000</c:v>
                </c:pt>
                <c:pt idx="5">
                  <c:v>2100</c:v>
                </c:pt>
                <c:pt idx="6">
                  <c:v>2300</c:v>
                </c:pt>
                <c:pt idx="7">
                  <c:v>2450</c:v>
                </c:pt>
                <c:pt idx="8">
                  <c:v>2000</c:v>
                </c:pt>
                <c:pt idx="9">
                  <c:v>2150</c:v>
                </c:pt>
                <c:pt idx="10">
                  <c:v>2200</c:v>
                </c:pt>
                <c:pt idx="11">
                  <c:v>2400</c:v>
                </c:pt>
                <c:pt idx="12">
                  <c:v>2400</c:v>
                </c:pt>
                <c:pt idx="13">
                  <c:v>2450</c:v>
                </c:pt>
                <c:pt idx="14">
                  <c:v>2500</c:v>
                </c:pt>
                <c:pt idx="15">
                  <c:v>2450</c:v>
                </c:pt>
                <c:pt idx="16">
                  <c:v>2450</c:v>
                </c:pt>
                <c:pt idx="17">
                  <c:v>2550</c:v>
                </c:pt>
                <c:pt idx="18">
                  <c:v>3000</c:v>
                </c:pt>
                <c:pt idx="19">
                  <c:v>3550</c:v>
                </c:pt>
                <c:pt idx="20">
                  <c:v>3550</c:v>
                </c:pt>
                <c:pt idx="21">
                  <c:v>3400</c:v>
                </c:pt>
                <c:pt idx="22">
                  <c:v>3050</c:v>
                </c:pt>
                <c:pt idx="23">
                  <c:v>3250</c:v>
                </c:pt>
                <c:pt idx="24">
                  <c:v>3100</c:v>
                </c:pt>
                <c:pt idx="25">
                  <c:v>3000</c:v>
                </c:pt>
                <c:pt idx="26">
                  <c:v>3050</c:v>
                </c:pt>
                <c:pt idx="27">
                  <c:v>3000</c:v>
                </c:pt>
                <c:pt idx="28">
                  <c:v>2950</c:v>
                </c:pt>
                <c:pt idx="29">
                  <c:v>3000</c:v>
                </c:pt>
                <c:pt idx="30">
                  <c:v>2800</c:v>
                </c:pt>
                <c:pt idx="31">
                  <c:v>2750</c:v>
                </c:pt>
                <c:pt idx="32">
                  <c:v>2700</c:v>
                </c:pt>
                <c:pt idx="33">
                  <c:v>2700</c:v>
                </c:pt>
                <c:pt idx="34">
                  <c:v>3300</c:v>
                </c:pt>
                <c:pt idx="35">
                  <c:v>3300</c:v>
                </c:pt>
                <c:pt idx="36">
                  <c:v>3300</c:v>
                </c:pt>
                <c:pt idx="37">
                  <c:v>3300</c:v>
                </c:pt>
                <c:pt idx="38">
                  <c:v>3300</c:v>
                </c:pt>
                <c:pt idx="39">
                  <c:v>3300</c:v>
                </c:pt>
                <c:pt idx="40">
                  <c:v>3350</c:v>
                </c:pt>
                <c:pt idx="41">
                  <c:v>3400</c:v>
                </c:pt>
                <c:pt idx="42">
                  <c:v>3400</c:v>
                </c:pt>
                <c:pt idx="43">
                  <c:v>3450</c:v>
                </c:pt>
                <c:pt idx="44">
                  <c:v>3500</c:v>
                </c:pt>
                <c:pt idx="45">
                  <c:v>3500</c:v>
                </c:pt>
                <c:pt idx="46">
                  <c:v>3550</c:v>
                </c:pt>
                <c:pt idx="47">
                  <c:v>3600</c:v>
                </c:pt>
                <c:pt idx="48">
                  <c:v>3600</c:v>
                </c:pt>
                <c:pt idx="49">
                  <c:v>3650</c:v>
                </c:pt>
                <c:pt idx="50">
                  <c:v>3700</c:v>
                </c:pt>
                <c:pt idx="51">
                  <c:v>3700</c:v>
                </c:pt>
                <c:pt idx="52">
                  <c:v>3750</c:v>
                </c:pt>
                <c:pt idx="53">
                  <c:v>3800</c:v>
                </c:pt>
                <c:pt idx="54">
                  <c:v>3850</c:v>
                </c:pt>
                <c:pt idx="55">
                  <c:v>3850</c:v>
                </c:pt>
                <c:pt idx="56">
                  <c:v>3900</c:v>
                </c:pt>
                <c:pt idx="57">
                  <c:v>3950</c:v>
                </c:pt>
                <c:pt idx="58">
                  <c:v>3950</c:v>
                </c:pt>
                <c:pt idx="59">
                  <c:v>4000</c:v>
                </c:pt>
                <c:pt idx="60">
                  <c:v>4050</c:v>
                </c:pt>
                <c:pt idx="61">
                  <c:v>4050</c:v>
                </c:pt>
                <c:pt idx="62">
                  <c:v>4100</c:v>
                </c:pt>
                <c:pt idx="63">
                  <c:v>4150</c:v>
                </c:pt>
                <c:pt idx="64">
                  <c:v>4150</c:v>
                </c:pt>
                <c:pt idx="65">
                  <c:v>4200</c:v>
                </c:pt>
                <c:pt idx="66">
                  <c:v>4250</c:v>
                </c:pt>
                <c:pt idx="67">
                  <c:v>4250</c:v>
                </c:pt>
                <c:pt idx="68">
                  <c:v>4300</c:v>
                </c:pt>
                <c:pt idx="69">
                  <c:v>4350</c:v>
                </c:pt>
                <c:pt idx="70">
                  <c:v>4400</c:v>
                </c:pt>
              </c:numCache>
            </c:numRef>
          </c:val>
          <c:smooth val="0"/>
          <c:extLst>
            <c:ext xmlns:c16="http://schemas.microsoft.com/office/drawing/2014/chart" uri="{C3380CC4-5D6E-409C-BE32-E72D297353CC}">
              <c16:uniqueId val="{00000005-6C95-4AF9-9677-75D0BF8DBF4A}"/>
            </c:ext>
          </c:extLst>
        </c:ser>
        <c:ser>
          <c:idx val="6"/>
          <c:order val="6"/>
          <c:tx>
            <c:strRef>
              <c:f>'Campus Enrol Disaggregation'!$V$4</c:f>
              <c:strCache>
                <c:ptCount val="1"/>
                <c:pt idx="0">
                  <c:v>UOFU_Main</c:v>
                </c:pt>
              </c:strCache>
            </c:strRef>
          </c:tx>
          <c:spPr>
            <a:ln w="28575" cap="rnd">
              <a:solidFill>
                <a:schemeClr val="accent1">
                  <a:lumMod val="60000"/>
                </a:schemeClr>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Disaggregation'!$V$5:$V$75</c:f>
              <c:numCache>
                <c:formatCode>_(* #,##0_);_(* \(#,##0\);_(* "-"??_);_(@_)</c:formatCode>
                <c:ptCount val="71"/>
                <c:pt idx="0">
                  <c:v>23550</c:v>
                </c:pt>
                <c:pt idx="1">
                  <c:v>24750</c:v>
                </c:pt>
                <c:pt idx="2">
                  <c:v>25050</c:v>
                </c:pt>
                <c:pt idx="3">
                  <c:v>25150</c:v>
                </c:pt>
                <c:pt idx="4">
                  <c:v>24850</c:v>
                </c:pt>
                <c:pt idx="5">
                  <c:v>25950</c:v>
                </c:pt>
                <c:pt idx="6">
                  <c:v>25250</c:v>
                </c:pt>
                <c:pt idx="7">
                  <c:v>25050</c:v>
                </c:pt>
                <c:pt idx="8">
                  <c:v>24200</c:v>
                </c:pt>
                <c:pt idx="9">
                  <c:v>24950</c:v>
                </c:pt>
                <c:pt idx="10">
                  <c:v>24150</c:v>
                </c:pt>
                <c:pt idx="11">
                  <c:v>26800</c:v>
                </c:pt>
                <c:pt idx="12">
                  <c:v>27450</c:v>
                </c:pt>
                <c:pt idx="13">
                  <c:v>27550</c:v>
                </c:pt>
                <c:pt idx="14">
                  <c:v>28000</c:v>
                </c:pt>
                <c:pt idx="15">
                  <c:v>29600</c:v>
                </c:pt>
                <c:pt idx="16">
                  <c:v>29550</c:v>
                </c:pt>
                <c:pt idx="17">
                  <c:v>27150</c:v>
                </c:pt>
                <c:pt idx="18">
                  <c:v>27300</c:v>
                </c:pt>
                <c:pt idx="19">
                  <c:v>28350</c:v>
                </c:pt>
                <c:pt idx="20">
                  <c:v>29850</c:v>
                </c:pt>
                <c:pt idx="21">
                  <c:v>30650</c:v>
                </c:pt>
                <c:pt idx="22">
                  <c:v>31350</c:v>
                </c:pt>
                <c:pt idx="23">
                  <c:v>31050</c:v>
                </c:pt>
                <c:pt idx="24">
                  <c:v>30500</c:v>
                </c:pt>
                <c:pt idx="25">
                  <c:v>30600</c:v>
                </c:pt>
                <c:pt idx="26">
                  <c:v>30850</c:v>
                </c:pt>
                <c:pt idx="27">
                  <c:v>31750</c:v>
                </c:pt>
                <c:pt idx="28">
                  <c:v>31950</c:v>
                </c:pt>
                <c:pt idx="29">
                  <c:v>31800</c:v>
                </c:pt>
                <c:pt idx="30">
                  <c:v>32050</c:v>
                </c:pt>
                <c:pt idx="31">
                  <c:v>33350</c:v>
                </c:pt>
                <c:pt idx="32">
                  <c:v>33650</c:v>
                </c:pt>
                <c:pt idx="33">
                  <c:v>34150</c:v>
                </c:pt>
                <c:pt idx="34">
                  <c:v>35400</c:v>
                </c:pt>
                <c:pt idx="35">
                  <c:v>35700</c:v>
                </c:pt>
                <c:pt idx="36">
                  <c:v>35900</c:v>
                </c:pt>
                <c:pt idx="37">
                  <c:v>36100</c:v>
                </c:pt>
                <c:pt idx="38">
                  <c:v>36150</c:v>
                </c:pt>
                <c:pt idx="39">
                  <c:v>36450</c:v>
                </c:pt>
                <c:pt idx="40">
                  <c:v>36700</c:v>
                </c:pt>
                <c:pt idx="41">
                  <c:v>37000</c:v>
                </c:pt>
                <c:pt idx="42">
                  <c:v>37300</c:v>
                </c:pt>
                <c:pt idx="43">
                  <c:v>37600</c:v>
                </c:pt>
                <c:pt idx="44">
                  <c:v>37900</c:v>
                </c:pt>
                <c:pt idx="45">
                  <c:v>38200</c:v>
                </c:pt>
                <c:pt idx="46">
                  <c:v>38500</c:v>
                </c:pt>
                <c:pt idx="47">
                  <c:v>38750</c:v>
                </c:pt>
                <c:pt idx="48">
                  <c:v>39050</c:v>
                </c:pt>
                <c:pt idx="49">
                  <c:v>39350</c:v>
                </c:pt>
                <c:pt idx="50">
                  <c:v>39650</c:v>
                </c:pt>
                <c:pt idx="51">
                  <c:v>39950</c:v>
                </c:pt>
                <c:pt idx="52">
                  <c:v>40250</c:v>
                </c:pt>
                <c:pt idx="53">
                  <c:v>40550</c:v>
                </c:pt>
                <c:pt idx="54">
                  <c:v>40800</c:v>
                </c:pt>
                <c:pt idx="55">
                  <c:v>41100</c:v>
                </c:pt>
                <c:pt idx="56">
                  <c:v>41400</c:v>
                </c:pt>
                <c:pt idx="57">
                  <c:v>41700</c:v>
                </c:pt>
                <c:pt idx="58">
                  <c:v>42000</c:v>
                </c:pt>
                <c:pt idx="59">
                  <c:v>42300</c:v>
                </c:pt>
                <c:pt idx="60">
                  <c:v>42600</c:v>
                </c:pt>
                <c:pt idx="61">
                  <c:v>42850</c:v>
                </c:pt>
                <c:pt idx="62">
                  <c:v>43150</c:v>
                </c:pt>
                <c:pt idx="63">
                  <c:v>43450</c:v>
                </c:pt>
                <c:pt idx="64">
                  <c:v>43750</c:v>
                </c:pt>
                <c:pt idx="65">
                  <c:v>44050</c:v>
                </c:pt>
                <c:pt idx="66">
                  <c:v>44350</c:v>
                </c:pt>
                <c:pt idx="67">
                  <c:v>44650</c:v>
                </c:pt>
                <c:pt idx="68">
                  <c:v>44900</c:v>
                </c:pt>
                <c:pt idx="69">
                  <c:v>45200</c:v>
                </c:pt>
                <c:pt idx="70">
                  <c:v>45500</c:v>
                </c:pt>
              </c:numCache>
            </c:numRef>
          </c:val>
          <c:smooth val="0"/>
          <c:extLst>
            <c:ext xmlns:c16="http://schemas.microsoft.com/office/drawing/2014/chart" uri="{C3380CC4-5D6E-409C-BE32-E72D297353CC}">
              <c16:uniqueId val="{00000006-6C95-4AF9-9677-75D0BF8DBF4A}"/>
            </c:ext>
          </c:extLst>
        </c:ser>
        <c:ser>
          <c:idx val="7"/>
          <c:order val="7"/>
          <c:tx>
            <c:strRef>
              <c:f>'Campus Enrol Disaggregation'!$W$4</c:f>
              <c:strCache>
                <c:ptCount val="1"/>
                <c:pt idx="0">
                  <c:v>UVU_Main</c:v>
                </c:pt>
              </c:strCache>
            </c:strRef>
          </c:tx>
          <c:spPr>
            <a:ln w="28575" cap="rnd">
              <a:solidFill>
                <a:schemeClr val="accent2">
                  <a:lumMod val="60000"/>
                </a:schemeClr>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Disaggregation'!$W$5:$W$75</c:f>
              <c:numCache>
                <c:formatCode>_(* #,##0_);_(* \(#,##0\);_(* "-"??_);_(@_)</c:formatCode>
                <c:ptCount val="71"/>
                <c:pt idx="0">
                  <c:v>7900</c:v>
                </c:pt>
                <c:pt idx="1">
                  <c:v>8800</c:v>
                </c:pt>
                <c:pt idx="2">
                  <c:v>9600</c:v>
                </c:pt>
                <c:pt idx="3">
                  <c:v>10500</c:v>
                </c:pt>
                <c:pt idx="4">
                  <c:v>13300</c:v>
                </c:pt>
                <c:pt idx="5">
                  <c:v>14050</c:v>
                </c:pt>
                <c:pt idx="6">
                  <c:v>14750</c:v>
                </c:pt>
                <c:pt idx="7">
                  <c:v>16000</c:v>
                </c:pt>
                <c:pt idx="8">
                  <c:v>18150</c:v>
                </c:pt>
                <c:pt idx="9">
                  <c:v>20050</c:v>
                </c:pt>
                <c:pt idx="10">
                  <c:v>20950</c:v>
                </c:pt>
                <c:pt idx="11">
                  <c:v>22600</c:v>
                </c:pt>
                <c:pt idx="12">
                  <c:v>23600</c:v>
                </c:pt>
                <c:pt idx="13">
                  <c:v>23800</c:v>
                </c:pt>
                <c:pt idx="14">
                  <c:v>24150</c:v>
                </c:pt>
                <c:pt idx="15">
                  <c:v>24500</c:v>
                </c:pt>
                <c:pt idx="16">
                  <c:v>23300</c:v>
                </c:pt>
                <c:pt idx="17">
                  <c:v>23850</c:v>
                </c:pt>
                <c:pt idx="18">
                  <c:v>27050</c:v>
                </c:pt>
                <c:pt idx="19">
                  <c:v>29050</c:v>
                </c:pt>
                <c:pt idx="20">
                  <c:v>31750</c:v>
                </c:pt>
                <c:pt idx="21">
                  <c:v>32750</c:v>
                </c:pt>
                <c:pt idx="22">
                  <c:v>31800</c:v>
                </c:pt>
                <c:pt idx="23">
                  <c:v>30900</c:v>
                </c:pt>
                <c:pt idx="24">
                  <c:v>31600</c:v>
                </c:pt>
                <c:pt idx="25">
                  <c:v>33550</c:v>
                </c:pt>
                <c:pt idx="26">
                  <c:v>35150</c:v>
                </c:pt>
                <c:pt idx="27">
                  <c:v>37800</c:v>
                </c:pt>
                <c:pt idx="28">
                  <c:v>39950</c:v>
                </c:pt>
                <c:pt idx="29">
                  <c:v>40300</c:v>
                </c:pt>
                <c:pt idx="30">
                  <c:v>39450</c:v>
                </c:pt>
                <c:pt idx="31">
                  <c:v>39700</c:v>
                </c:pt>
                <c:pt idx="32">
                  <c:v>41500</c:v>
                </c:pt>
                <c:pt idx="33">
                  <c:v>43100</c:v>
                </c:pt>
                <c:pt idx="34">
                  <c:v>44700</c:v>
                </c:pt>
                <c:pt idx="35">
                  <c:v>46400</c:v>
                </c:pt>
                <c:pt idx="36">
                  <c:v>47150</c:v>
                </c:pt>
                <c:pt idx="37">
                  <c:v>48100</c:v>
                </c:pt>
                <c:pt idx="38">
                  <c:v>48850</c:v>
                </c:pt>
                <c:pt idx="39">
                  <c:v>48850</c:v>
                </c:pt>
                <c:pt idx="40">
                  <c:v>49750</c:v>
                </c:pt>
                <c:pt idx="41">
                  <c:v>50650</c:v>
                </c:pt>
                <c:pt idx="42">
                  <c:v>51600</c:v>
                </c:pt>
                <c:pt idx="43">
                  <c:v>52500</c:v>
                </c:pt>
                <c:pt idx="44">
                  <c:v>53400</c:v>
                </c:pt>
                <c:pt idx="45">
                  <c:v>54300</c:v>
                </c:pt>
                <c:pt idx="46">
                  <c:v>55250</c:v>
                </c:pt>
                <c:pt idx="47">
                  <c:v>56150</c:v>
                </c:pt>
                <c:pt idx="48">
                  <c:v>57050</c:v>
                </c:pt>
                <c:pt idx="49">
                  <c:v>57950</c:v>
                </c:pt>
                <c:pt idx="50">
                  <c:v>58850</c:v>
                </c:pt>
                <c:pt idx="51">
                  <c:v>59800</c:v>
                </c:pt>
                <c:pt idx="52">
                  <c:v>60700</c:v>
                </c:pt>
                <c:pt idx="53">
                  <c:v>61600</c:v>
                </c:pt>
                <c:pt idx="54">
                  <c:v>62500</c:v>
                </c:pt>
                <c:pt idx="55">
                  <c:v>63450</c:v>
                </c:pt>
                <c:pt idx="56">
                  <c:v>64350</c:v>
                </c:pt>
                <c:pt idx="57">
                  <c:v>65250</c:v>
                </c:pt>
                <c:pt idx="58">
                  <c:v>66150</c:v>
                </c:pt>
                <c:pt idx="59">
                  <c:v>67050</c:v>
                </c:pt>
                <c:pt idx="60">
                  <c:v>68000</c:v>
                </c:pt>
                <c:pt idx="61">
                  <c:v>68000</c:v>
                </c:pt>
                <c:pt idx="62">
                  <c:v>68000</c:v>
                </c:pt>
                <c:pt idx="63">
                  <c:v>68000</c:v>
                </c:pt>
                <c:pt idx="64">
                  <c:v>68000</c:v>
                </c:pt>
                <c:pt idx="65">
                  <c:v>68000</c:v>
                </c:pt>
                <c:pt idx="66">
                  <c:v>68000</c:v>
                </c:pt>
                <c:pt idx="67">
                  <c:v>68000</c:v>
                </c:pt>
                <c:pt idx="68">
                  <c:v>68000</c:v>
                </c:pt>
                <c:pt idx="69">
                  <c:v>68000</c:v>
                </c:pt>
                <c:pt idx="70">
                  <c:v>68000</c:v>
                </c:pt>
              </c:numCache>
            </c:numRef>
          </c:val>
          <c:smooth val="0"/>
          <c:extLst>
            <c:ext xmlns:c16="http://schemas.microsoft.com/office/drawing/2014/chart" uri="{C3380CC4-5D6E-409C-BE32-E72D297353CC}">
              <c16:uniqueId val="{00000007-6C95-4AF9-9677-75D0BF8DBF4A}"/>
            </c:ext>
          </c:extLst>
        </c:ser>
        <c:ser>
          <c:idx val="8"/>
          <c:order val="8"/>
          <c:tx>
            <c:strRef>
              <c:f>'Campus Enrol Disaggregation'!$X$4</c:f>
              <c:strCache>
                <c:ptCount val="1"/>
                <c:pt idx="0">
                  <c:v>UVU_Lehi</c:v>
                </c:pt>
              </c:strCache>
            </c:strRef>
          </c:tx>
          <c:spPr>
            <a:ln w="28575" cap="rnd">
              <a:solidFill>
                <a:schemeClr val="accent3">
                  <a:lumMod val="60000"/>
                </a:schemeClr>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Disaggregation'!$X$5:$X$75</c:f>
              <c:numCache>
                <c:formatCode>_(* #,##0_);_(* \(#,##0\);_(* "-"??_);_(@_)</c:formatCode>
                <c:ptCount val="7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1300</c:v>
                </c:pt>
                <c:pt idx="30">
                  <c:v>1350</c:v>
                </c:pt>
                <c:pt idx="31">
                  <c:v>1400</c:v>
                </c:pt>
                <c:pt idx="32">
                  <c:v>1450</c:v>
                </c:pt>
                <c:pt idx="33">
                  <c:v>1450</c:v>
                </c:pt>
                <c:pt idx="34">
                  <c:v>1500</c:v>
                </c:pt>
                <c:pt idx="35">
                  <c:v>1550</c:v>
                </c:pt>
                <c:pt idx="36">
                  <c:v>1600</c:v>
                </c:pt>
                <c:pt idx="37">
                  <c:v>1650</c:v>
                </c:pt>
                <c:pt idx="38">
                  <c:v>1700</c:v>
                </c:pt>
                <c:pt idx="39">
                  <c:v>1700</c:v>
                </c:pt>
                <c:pt idx="40">
                  <c:v>1750</c:v>
                </c:pt>
                <c:pt idx="41">
                  <c:v>1800</c:v>
                </c:pt>
                <c:pt idx="42">
                  <c:v>1850</c:v>
                </c:pt>
                <c:pt idx="43">
                  <c:v>1900</c:v>
                </c:pt>
                <c:pt idx="44">
                  <c:v>1950</c:v>
                </c:pt>
                <c:pt idx="45">
                  <c:v>1950</c:v>
                </c:pt>
                <c:pt idx="46">
                  <c:v>2000</c:v>
                </c:pt>
                <c:pt idx="47">
                  <c:v>2050</c:v>
                </c:pt>
                <c:pt idx="48">
                  <c:v>2100</c:v>
                </c:pt>
                <c:pt idx="49">
                  <c:v>2150</c:v>
                </c:pt>
                <c:pt idx="50">
                  <c:v>2200</c:v>
                </c:pt>
                <c:pt idx="51">
                  <c:v>2200</c:v>
                </c:pt>
                <c:pt idx="52">
                  <c:v>2250</c:v>
                </c:pt>
                <c:pt idx="53">
                  <c:v>2300</c:v>
                </c:pt>
                <c:pt idx="54">
                  <c:v>2350</c:v>
                </c:pt>
                <c:pt idx="55">
                  <c:v>2400</c:v>
                </c:pt>
                <c:pt idx="56">
                  <c:v>2450</c:v>
                </c:pt>
                <c:pt idx="57">
                  <c:v>2450</c:v>
                </c:pt>
                <c:pt idx="58">
                  <c:v>2500</c:v>
                </c:pt>
                <c:pt idx="59">
                  <c:v>2550</c:v>
                </c:pt>
                <c:pt idx="60">
                  <c:v>2600</c:v>
                </c:pt>
                <c:pt idx="61">
                  <c:v>2600</c:v>
                </c:pt>
                <c:pt idx="62">
                  <c:v>2600</c:v>
                </c:pt>
                <c:pt idx="63">
                  <c:v>2600</c:v>
                </c:pt>
                <c:pt idx="64">
                  <c:v>2600</c:v>
                </c:pt>
                <c:pt idx="65">
                  <c:v>2600</c:v>
                </c:pt>
                <c:pt idx="66">
                  <c:v>2600</c:v>
                </c:pt>
                <c:pt idx="67">
                  <c:v>2600</c:v>
                </c:pt>
                <c:pt idx="68">
                  <c:v>2600</c:v>
                </c:pt>
                <c:pt idx="69">
                  <c:v>2600</c:v>
                </c:pt>
                <c:pt idx="70">
                  <c:v>2600</c:v>
                </c:pt>
              </c:numCache>
            </c:numRef>
          </c:val>
          <c:smooth val="0"/>
          <c:extLst>
            <c:ext xmlns:c16="http://schemas.microsoft.com/office/drawing/2014/chart" uri="{C3380CC4-5D6E-409C-BE32-E72D297353CC}">
              <c16:uniqueId val="{00000008-6C95-4AF9-9677-75D0BF8DBF4A}"/>
            </c:ext>
          </c:extLst>
        </c:ser>
        <c:ser>
          <c:idx val="9"/>
          <c:order val="9"/>
          <c:tx>
            <c:strRef>
              <c:f>'Campus Enrol Disaggregation'!$Y$4</c:f>
              <c:strCache>
                <c:ptCount val="1"/>
                <c:pt idx="0">
                  <c:v>UVU_Payson</c:v>
                </c:pt>
              </c:strCache>
            </c:strRef>
          </c:tx>
          <c:spPr>
            <a:ln w="28575" cap="rnd">
              <a:solidFill>
                <a:schemeClr val="accent4">
                  <a:lumMod val="60000"/>
                </a:schemeClr>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Disaggregation'!$Y$5:$Y$75</c:f>
              <c:numCache>
                <c:formatCode>_(* #,##0_);_(* \(#,##0\);_(* "-"??_);_(@_)</c:formatCode>
                <c:ptCount val="7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650</c:v>
                </c:pt>
                <c:pt idx="40">
                  <c:v>750</c:v>
                </c:pt>
                <c:pt idx="41">
                  <c:v>850</c:v>
                </c:pt>
                <c:pt idx="42">
                  <c:v>1000</c:v>
                </c:pt>
                <c:pt idx="43">
                  <c:v>1100</c:v>
                </c:pt>
                <c:pt idx="44">
                  <c:v>1200</c:v>
                </c:pt>
                <c:pt idx="45">
                  <c:v>1300</c:v>
                </c:pt>
                <c:pt idx="46">
                  <c:v>1450</c:v>
                </c:pt>
                <c:pt idx="47">
                  <c:v>1550</c:v>
                </c:pt>
                <c:pt idx="48">
                  <c:v>1650</c:v>
                </c:pt>
                <c:pt idx="49">
                  <c:v>1750</c:v>
                </c:pt>
                <c:pt idx="50">
                  <c:v>1900</c:v>
                </c:pt>
                <c:pt idx="51">
                  <c:v>2000</c:v>
                </c:pt>
                <c:pt idx="52">
                  <c:v>2100</c:v>
                </c:pt>
                <c:pt idx="53">
                  <c:v>2200</c:v>
                </c:pt>
                <c:pt idx="54">
                  <c:v>2350</c:v>
                </c:pt>
                <c:pt idx="55">
                  <c:v>2450</c:v>
                </c:pt>
                <c:pt idx="56">
                  <c:v>2550</c:v>
                </c:pt>
                <c:pt idx="57">
                  <c:v>2650</c:v>
                </c:pt>
                <c:pt idx="58">
                  <c:v>2800</c:v>
                </c:pt>
                <c:pt idx="59">
                  <c:v>2900</c:v>
                </c:pt>
                <c:pt idx="60">
                  <c:v>3000</c:v>
                </c:pt>
                <c:pt idx="61">
                  <c:v>3000</c:v>
                </c:pt>
                <c:pt idx="62">
                  <c:v>3000</c:v>
                </c:pt>
                <c:pt idx="63">
                  <c:v>3000</c:v>
                </c:pt>
                <c:pt idx="64">
                  <c:v>3000</c:v>
                </c:pt>
                <c:pt idx="65">
                  <c:v>3000</c:v>
                </c:pt>
                <c:pt idx="66">
                  <c:v>3000</c:v>
                </c:pt>
                <c:pt idx="67">
                  <c:v>3000</c:v>
                </c:pt>
                <c:pt idx="68">
                  <c:v>3000</c:v>
                </c:pt>
                <c:pt idx="69">
                  <c:v>3000</c:v>
                </c:pt>
                <c:pt idx="70">
                  <c:v>3000</c:v>
                </c:pt>
              </c:numCache>
            </c:numRef>
          </c:val>
          <c:smooth val="0"/>
          <c:extLst>
            <c:ext xmlns:c16="http://schemas.microsoft.com/office/drawing/2014/chart" uri="{C3380CC4-5D6E-409C-BE32-E72D297353CC}">
              <c16:uniqueId val="{00000009-6C95-4AF9-9677-75D0BF8DBF4A}"/>
            </c:ext>
          </c:extLst>
        </c:ser>
        <c:ser>
          <c:idx val="10"/>
          <c:order val="10"/>
          <c:tx>
            <c:strRef>
              <c:f>'Campus Enrol Disaggregation'!$Z$4</c:f>
              <c:strCache>
                <c:ptCount val="1"/>
                <c:pt idx="0">
                  <c:v>UVU_Vineyard</c:v>
                </c:pt>
              </c:strCache>
            </c:strRef>
          </c:tx>
          <c:spPr>
            <a:ln w="28575" cap="rnd">
              <a:solidFill>
                <a:schemeClr val="accent5">
                  <a:lumMod val="60000"/>
                </a:schemeClr>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Disaggregation'!$Z$5:$Z$75</c:f>
              <c:numCache>
                <c:formatCode>_(* #,##0_);_(* \(#,##0\);_(* "-"??_);_(@_)</c:formatCode>
                <c:ptCount val="7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550</c:v>
                </c:pt>
                <c:pt idx="37">
                  <c:v>750</c:v>
                </c:pt>
                <c:pt idx="38">
                  <c:v>900</c:v>
                </c:pt>
                <c:pt idx="39">
                  <c:v>1050</c:v>
                </c:pt>
                <c:pt idx="40">
                  <c:v>1200</c:v>
                </c:pt>
                <c:pt idx="41">
                  <c:v>1350</c:v>
                </c:pt>
                <c:pt idx="42">
                  <c:v>1500</c:v>
                </c:pt>
                <c:pt idx="43">
                  <c:v>1650</c:v>
                </c:pt>
                <c:pt idx="44">
                  <c:v>1800</c:v>
                </c:pt>
                <c:pt idx="45">
                  <c:v>1950</c:v>
                </c:pt>
                <c:pt idx="46">
                  <c:v>2100</c:v>
                </c:pt>
                <c:pt idx="47">
                  <c:v>2250</c:v>
                </c:pt>
                <c:pt idx="48">
                  <c:v>2400</c:v>
                </c:pt>
                <c:pt idx="49">
                  <c:v>2600</c:v>
                </c:pt>
                <c:pt idx="50">
                  <c:v>2750</c:v>
                </c:pt>
                <c:pt idx="51">
                  <c:v>2900</c:v>
                </c:pt>
                <c:pt idx="52">
                  <c:v>3050</c:v>
                </c:pt>
                <c:pt idx="53">
                  <c:v>3200</c:v>
                </c:pt>
                <c:pt idx="54">
                  <c:v>3350</c:v>
                </c:pt>
                <c:pt idx="55">
                  <c:v>3500</c:v>
                </c:pt>
                <c:pt idx="56">
                  <c:v>3650</c:v>
                </c:pt>
                <c:pt idx="57">
                  <c:v>3800</c:v>
                </c:pt>
                <c:pt idx="58">
                  <c:v>3950</c:v>
                </c:pt>
                <c:pt idx="59">
                  <c:v>4100</c:v>
                </c:pt>
                <c:pt idx="60">
                  <c:v>4300</c:v>
                </c:pt>
                <c:pt idx="61">
                  <c:v>4300</c:v>
                </c:pt>
                <c:pt idx="62">
                  <c:v>4300</c:v>
                </c:pt>
                <c:pt idx="63">
                  <c:v>4300</c:v>
                </c:pt>
                <c:pt idx="64">
                  <c:v>4300</c:v>
                </c:pt>
                <c:pt idx="65">
                  <c:v>4300</c:v>
                </c:pt>
                <c:pt idx="66">
                  <c:v>4300</c:v>
                </c:pt>
                <c:pt idx="67">
                  <c:v>4300</c:v>
                </c:pt>
                <c:pt idx="68">
                  <c:v>4300</c:v>
                </c:pt>
                <c:pt idx="69">
                  <c:v>4300</c:v>
                </c:pt>
                <c:pt idx="70">
                  <c:v>4300</c:v>
                </c:pt>
              </c:numCache>
            </c:numRef>
          </c:val>
          <c:smooth val="0"/>
          <c:extLst>
            <c:ext xmlns:c16="http://schemas.microsoft.com/office/drawing/2014/chart" uri="{C3380CC4-5D6E-409C-BE32-E72D297353CC}">
              <c16:uniqueId val="{0000000A-6C95-4AF9-9677-75D0BF8DBF4A}"/>
            </c:ext>
          </c:extLst>
        </c:ser>
        <c:ser>
          <c:idx val="11"/>
          <c:order val="11"/>
          <c:tx>
            <c:strRef>
              <c:f>'Campus Enrol Disaggregation'!$AA$4</c:f>
              <c:strCache>
                <c:ptCount val="1"/>
                <c:pt idx="0">
                  <c:v>WSU_Main</c:v>
                </c:pt>
              </c:strCache>
            </c:strRef>
          </c:tx>
          <c:spPr>
            <a:ln w="28575" cap="rnd">
              <a:solidFill>
                <a:schemeClr val="accent6">
                  <a:lumMod val="60000"/>
                </a:schemeClr>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Disaggregation'!$AA$5:$AA$75</c:f>
              <c:numCache>
                <c:formatCode>_(* #,##0_);_(* \(#,##0\);_(* "-"??_);_(@_)</c:formatCode>
                <c:ptCount val="71"/>
                <c:pt idx="0">
                  <c:v>10900</c:v>
                </c:pt>
                <c:pt idx="1">
                  <c:v>11750</c:v>
                </c:pt>
                <c:pt idx="2">
                  <c:v>12150</c:v>
                </c:pt>
                <c:pt idx="3">
                  <c:v>11700</c:v>
                </c:pt>
                <c:pt idx="4">
                  <c:v>11550</c:v>
                </c:pt>
                <c:pt idx="5">
                  <c:v>11350</c:v>
                </c:pt>
                <c:pt idx="6">
                  <c:v>11300</c:v>
                </c:pt>
                <c:pt idx="7">
                  <c:v>11850</c:v>
                </c:pt>
                <c:pt idx="8">
                  <c:v>11300</c:v>
                </c:pt>
                <c:pt idx="9">
                  <c:v>12150</c:v>
                </c:pt>
                <c:pt idx="10">
                  <c:v>13000</c:v>
                </c:pt>
                <c:pt idx="11">
                  <c:v>13700</c:v>
                </c:pt>
                <c:pt idx="12">
                  <c:v>14650</c:v>
                </c:pt>
                <c:pt idx="13">
                  <c:v>15250</c:v>
                </c:pt>
                <c:pt idx="14">
                  <c:v>15000</c:v>
                </c:pt>
                <c:pt idx="15">
                  <c:v>14700</c:v>
                </c:pt>
                <c:pt idx="16">
                  <c:v>14850</c:v>
                </c:pt>
                <c:pt idx="17">
                  <c:v>14650</c:v>
                </c:pt>
                <c:pt idx="18">
                  <c:v>17350</c:v>
                </c:pt>
                <c:pt idx="19">
                  <c:v>18650</c:v>
                </c:pt>
                <c:pt idx="20">
                  <c:v>19500</c:v>
                </c:pt>
                <c:pt idx="21">
                  <c:v>20550</c:v>
                </c:pt>
                <c:pt idx="22">
                  <c:v>21550</c:v>
                </c:pt>
                <c:pt idx="23">
                  <c:v>20400</c:v>
                </c:pt>
                <c:pt idx="24">
                  <c:v>21050</c:v>
                </c:pt>
                <c:pt idx="25">
                  <c:v>21050</c:v>
                </c:pt>
                <c:pt idx="26">
                  <c:v>21750</c:v>
                </c:pt>
                <c:pt idx="27">
                  <c:v>22700</c:v>
                </c:pt>
                <c:pt idx="28">
                  <c:v>22900</c:v>
                </c:pt>
                <c:pt idx="29">
                  <c:v>24050</c:v>
                </c:pt>
                <c:pt idx="30">
                  <c:v>24000</c:v>
                </c:pt>
                <c:pt idx="31">
                  <c:v>24150</c:v>
                </c:pt>
                <c:pt idx="32">
                  <c:v>24250</c:v>
                </c:pt>
                <c:pt idx="33">
                  <c:v>24800</c:v>
                </c:pt>
                <c:pt idx="34">
                  <c:v>25800</c:v>
                </c:pt>
                <c:pt idx="35">
                  <c:v>26000</c:v>
                </c:pt>
                <c:pt idx="36">
                  <c:v>26250</c:v>
                </c:pt>
                <c:pt idx="37">
                  <c:v>26550</c:v>
                </c:pt>
                <c:pt idx="38">
                  <c:v>26850</c:v>
                </c:pt>
                <c:pt idx="39">
                  <c:v>27200</c:v>
                </c:pt>
                <c:pt idx="40">
                  <c:v>27600</c:v>
                </c:pt>
                <c:pt idx="41">
                  <c:v>27950</c:v>
                </c:pt>
                <c:pt idx="42">
                  <c:v>28350</c:v>
                </c:pt>
                <c:pt idx="43">
                  <c:v>28750</c:v>
                </c:pt>
                <c:pt idx="44">
                  <c:v>29100</c:v>
                </c:pt>
                <c:pt idx="45">
                  <c:v>29500</c:v>
                </c:pt>
                <c:pt idx="46">
                  <c:v>29850</c:v>
                </c:pt>
                <c:pt idx="47">
                  <c:v>30250</c:v>
                </c:pt>
                <c:pt idx="48">
                  <c:v>30600</c:v>
                </c:pt>
                <c:pt idx="49">
                  <c:v>31000</c:v>
                </c:pt>
                <c:pt idx="50">
                  <c:v>31400</c:v>
                </c:pt>
                <c:pt idx="51">
                  <c:v>31750</c:v>
                </c:pt>
                <c:pt idx="52">
                  <c:v>32150</c:v>
                </c:pt>
                <c:pt idx="53">
                  <c:v>32500</c:v>
                </c:pt>
                <c:pt idx="54">
                  <c:v>32900</c:v>
                </c:pt>
                <c:pt idx="55">
                  <c:v>33250</c:v>
                </c:pt>
                <c:pt idx="56">
                  <c:v>33650</c:v>
                </c:pt>
                <c:pt idx="57">
                  <c:v>34050</c:v>
                </c:pt>
                <c:pt idx="58">
                  <c:v>34400</c:v>
                </c:pt>
                <c:pt idx="59">
                  <c:v>34800</c:v>
                </c:pt>
                <c:pt idx="60">
                  <c:v>35150</c:v>
                </c:pt>
                <c:pt idx="61">
                  <c:v>35550</c:v>
                </c:pt>
                <c:pt idx="62">
                  <c:v>35900</c:v>
                </c:pt>
                <c:pt idx="63">
                  <c:v>36300</c:v>
                </c:pt>
                <c:pt idx="64">
                  <c:v>36700</c:v>
                </c:pt>
                <c:pt idx="65">
                  <c:v>37050</c:v>
                </c:pt>
                <c:pt idx="66">
                  <c:v>37450</c:v>
                </c:pt>
                <c:pt idx="67">
                  <c:v>37800</c:v>
                </c:pt>
                <c:pt idx="68">
                  <c:v>38200</c:v>
                </c:pt>
                <c:pt idx="69">
                  <c:v>38550</c:v>
                </c:pt>
                <c:pt idx="70">
                  <c:v>38950</c:v>
                </c:pt>
              </c:numCache>
            </c:numRef>
          </c:val>
          <c:smooth val="0"/>
          <c:extLst>
            <c:ext xmlns:c16="http://schemas.microsoft.com/office/drawing/2014/chart" uri="{C3380CC4-5D6E-409C-BE32-E72D297353CC}">
              <c16:uniqueId val="{0000000B-6C95-4AF9-9677-75D0BF8DBF4A}"/>
            </c:ext>
          </c:extLst>
        </c:ser>
        <c:ser>
          <c:idx val="12"/>
          <c:order val="12"/>
          <c:tx>
            <c:strRef>
              <c:f>'Campus Enrol Disaggregation'!$AB$4</c:f>
              <c:strCache>
                <c:ptCount val="1"/>
                <c:pt idx="0">
                  <c:v>WSU_Davis</c:v>
                </c:pt>
              </c:strCache>
            </c:strRef>
          </c:tx>
          <c:spPr>
            <a:ln w="28575" cap="rnd">
              <a:solidFill>
                <a:schemeClr val="accent1">
                  <a:lumMod val="80000"/>
                  <a:lumOff val="20000"/>
                </a:schemeClr>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Disaggregation'!$AB$5:$AB$75</c:f>
              <c:numCache>
                <c:formatCode>_(* #,##0_);_(* \(#,##0\);_(* "-"??_);_(@_)</c:formatCode>
                <c:ptCount val="71"/>
                <c:pt idx="0">
                  <c:v>2200</c:v>
                </c:pt>
                <c:pt idx="1">
                  <c:v>2350</c:v>
                </c:pt>
                <c:pt idx="2">
                  <c:v>2450</c:v>
                </c:pt>
                <c:pt idx="3">
                  <c:v>2350</c:v>
                </c:pt>
                <c:pt idx="4">
                  <c:v>2300</c:v>
                </c:pt>
                <c:pt idx="5">
                  <c:v>2300</c:v>
                </c:pt>
                <c:pt idx="6">
                  <c:v>2250</c:v>
                </c:pt>
                <c:pt idx="7">
                  <c:v>2400</c:v>
                </c:pt>
                <c:pt idx="8">
                  <c:v>2250</c:v>
                </c:pt>
                <c:pt idx="9">
                  <c:v>2450</c:v>
                </c:pt>
                <c:pt idx="10">
                  <c:v>2600</c:v>
                </c:pt>
                <c:pt idx="11">
                  <c:v>2750</c:v>
                </c:pt>
                <c:pt idx="12">
                  <c:v>2950</c:v>
                </c:pt>
                <c:pt idx="13">
                  <c:v>3050</c:v>
                </c:pt>
                <c:pt idx="14">
                  <c:v>3000</c:v>
                </c:pt>
                <c:pt idx="15">
                  <c:v>2950</c:v>
                </c:pt>
                <c:pt idx="16">
                  <c:v>3000</c:v>
                </c:pt>
                <c:pt idx="17">
                  <c:v>2950</c:v>
                </c:pt>
                <c:pt idx="18">
                  <c:v>3500</c:v>
                </c:pt>
                <c:pt idx="19">
                  <c:v>3750</c:v>
                </c:pt>
                <c:pt idx="20">
                  <c:v>3900</c:v>
                </c:pt>
                <c:pt idx="21">
                  <c:v>4100</c:v>
                </c:pt>
                <c:pt idx="22">
                  <c:v>4300</c:v>
                </c:pt>
                <c:pt idx="23">
                  <c:v>4100</c:v>
                </c:pt>
                <c:pt idx="24">
                  <c:v>4250</c:v>
                </c:pt>
                <c:pt idx="25">
                  <c:v>4250</c:v>
                </c:pt>
                <c:pt idx="26">
                  <c:v>4350</c:v>
                </c:pt>
                <c:pt idx="27">
                  <c:v>4550</c:v>
                </c:pt>
                <c:pt idx="28">
                  <c:v>4600</c:v>
                </c:pt>
                <c:pt idx="29">
                  <c:v>4850</c:v>
                </c:pt>
                <c:pt idx="30">
                  <c:v>4800</c:v>
                </c:pt>
                <c:pt idx="31">
                  <c:v>4850</c:v>
                </c:pt>
                <c:pt idx="32">
                  <c:v>4850</c:v>
                </c:pt>
                <c:pt idx="33">
                  <c:v>4950</c:v>
                </c:pt>
                <c:pt idx="34">
                  <c:v>5200</c:v>
                </c:pt>
                <c:pt idx="35">
                  <c:v>5200</c:v>
                </c:pt>
                <c:pt idx="36">
                  <c:v>5250</c:v>
                </c:pt>
                <c:pt idx="37">
                  <c:v>5350</c:v>
                </c:pt>
                <c:pt idx="38">
                  <c:v>5400</c:v>
                </c:pt>
                <c:pt idx="39">
                  <c:v>5450</c:v>
                </c:pt>
                <c:pt idx="40">
                  <c:v>5550</c:v>
                </c:pt>
                <c:pt idx="41">
                  <c:v>5600</c:v>
                </c:pt>
                <c:pt idx="42">
                  <c:v>5700</c:v>
                </c:pt>
                <c:pt idx="43">
                  <c:v>5750</c:v>
                </c:pt>
                <c:pt idx="44">
                  <c:v>5850</c:v>
                </c:pt>
                <c:pt idx="45">
                  <c:v>5900</c:v>
                </c:pt>
                <c:pt idx="46">
                  <c:v>6000</c:v>
                </c:pt>
                <c:pt idx="47">
                  <c:v>6050</c:v>
                </c:pt>
                <c:pt idx="48">
                  <c:v>6150</c:v>
                </c:pt>
                <c:pt idx="49">
                  <c:v>6200</c:v>
                </c:pt>
                <c:pt idx="50">
                  <c:v>6300</c:v>
                </c:pt>
                <c:pt idx="51">
                  <c:v>6350</c:v>
                </c:pt>
                <c:pt idx="52">
                  <c:v>6450</c:v>
                </c:pt>
                <c:pt idx="53">
                  <c:v>6500</c:v>
                </c:pt>
                <c:pt idx="54">
                  <c:v>6600</c:v>
                </c:pt>
                <c:pt idx="55">
                  <c:v>6700</c:v>
                </c:pt>
                <c:pt idx="56">
                  <c:v>6750</c:v>
                </c:pt>
                <c:pt idx="57">
                  <c:v>6850</c:v>
                </c:pt>
                <c:pt idx="58">
                  <c:v>6900</c:v>
                </c:pt>
                <c:pt idx="59">
                  <c:v>7000</c:v>
                </c:pt>
                <c:pt idx="60">
                  <c:v>7050</c:v>
                </c:pt>
                <c:pt idx="61">
                  <c:v>7150</c:v>
                </c:pt>
                <c:pt idx="62">
                  <c:v>7200</c:v>
                </c:pt>
                <c:pt idx="63">
                  <c:v>7300</c:v>
                </c:pt>
                <c:pt idx="64">
                  <c:v>7350</c:v>
                </c:pt>
                <c:pt idx="65">
                  <c:v>7450</c:v>
                </c:pt>
                <c:pt idx="66">
                  <c:v>7500</c:v>
                </c:pt>
                <c:pt idx="67">
                  <c:v>7600</c:v>
                </c:pt>
                <c:pt idx="68">
                  <c:v>7650</c:v>
                </c:pt>
                <c:pt idx="69">
                  <c:v>7750</c:v>
                </c:pt>
                <c:pt idx="70">
                  <c:v>7800</c:v>
                </c:pt>
              </c:numCache>
            </c:numRef>
          </c:val>
          <c:smooth val="0"/>
          <c:extLst>
            <c:ext xmlns:c16="http://schemas.microsoft.com/office/drawing/2014/chart" uri="{C3380CC4-5D6E-409C-BE32-E72D297353CC}">
              <c16:uniqueId val="{0000000C-6C95-4AF9-9677-75D0BF8DBF4A}"/>
            </c:ext>
          </c:extLst>
        </c:ser>
        <c:ser>
          <c:idx val="13"/>
          <c:order val="13"/>
          <c:tx>
            <c:strRef>
              <c:f>'Campus Enrol Disaggregation'!$AC$4</c:f>
              <c:strCache>
                <c:ptCount val="1"/>
                <c:pt idx="0">
                  <c:v>WESTMIN</c:v>
                </c:pt>
              </c:strCache>
            </c:strRef>
          </c:tx>
          <c:spPr>
            <a:ln w="28575" cap="rnd">
              <a:solidFill>
                <a:schemeClr val="accent2">
                  <a:lumMod val="80000"/>
                  <a:lumOff val="20000"/>
                </a:schemeClr>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Disaggregation'!$AC$5:$AC$75</c:f>
              <c:numCache>
                <c:formatCode>_(* #,##0_);_(* \(#,##0\);_(* "-"??_);_(@_)</c:formatCode>
                <c:ptCount val="71"/>
                <c:pt idx="0">
                  <c:v>0</c:v>
                </c:pt>
                <c:pt idx="1">
                  <c:v>0</c:v>
                </c:pt>
                <c:pt idx="2">
                  <c:v>0</c:v>
                </c:pt>
                <c:pt idx="3">
                  <c:v>0</c:v>
                </c:pt>
                <c:pt idx="4">
                  <c:v>0</c:v>
                </c:pt>
                <c:pt idx="5">
                  <c:v>0</c:v>
                </c:pt>
                <c:pt idx="6">
                  <c:v>0</c:v>
                </c:pt>
                <c:pt idx="7">
                  <c:v>0</c:v>
                </c:pt>
                <c:pt idx="8">
                  <c:v>0</c:v>
                </c:pt>
                <c:pt idx="9">
                  <c:v>0</c:v>
                </c:pt>
                <c:pt idx="10">
                  <c:v>2400</c:v>
                </c:pt>
                <c:pt idx="11">
                  <c:v>2450</c:v>
                </c:pt>
                <c:pt idx="12">
                  <c:v>2350</c:v>
                </c:pt>
                <c:pt idx="13">
                  <c:v>2450</c:v>
                </c:pt>
                <c:pt idx="14">
                  <c:v>2400</c:v>
                </c:pt>
                <c:pt idx="15">
                  <c:v>2450</c:v>
                </c:pt>
                <c:pt idx="16">
                  <c:v>2500</c:v>
                </c:pt>
                <c:pt idx="17">
                  <c:v>2650</c:v>
                </c:pt>
                <c:pt idx="18">
                  <c:v>2850</c:v>
                </c:pt>
                <c:pt idx="19">
                  <c:v>3050</c:v>
                </c:pt>
                <c:pt idx="20">
                  <c:v>3150</c:v>
                </c:pt>
                <c:pt idx="21">
                  <c:v>3350</c:v>
                </c:pt>
                <c:pt idx="22">
                  <c:v>3300</c:v>
                </c:pt>
                <c:pt idx="23">
                  <c:v>3100</c:v>
                </c:pt>
                <c:pt idx="24">
                  <c:v>3000</c:v>
                </c:pt>
                <c:pt idx="25">
                  <c:v>2800</c:v>
                </c:pt>
                <c:pt idx="26">
                  <c:v>2700</c:v>
                </c:pt>
                <c:pt idx="27">
                  <c:v>2550</c:v>
                </c:pt>
                <c:pt idx="28">
                  <c:v>2500</c:v>
                </c:pt>
                <c:pt idx="29">
                  <c:v>2200</c:v>
                </c:pt>
                <c:pt idx="30">
                  <c:v>1850</c:v>
                </c:pt>
                <c:pt idx="31">
                  <c:v>1550</c:v>
                </c:pt>
                <c:pt idx="32">
                  <c:v>1300</c:v>
                </c:pt>
                <c:pt idx="33">
                  <c:v>1200</c:v>
                </c:pt>
                <c:pt idx="34">
                  <c:v>1300</c:v>
                </c:pt>
                <c:pt idx="35">
                  <c:v>1350</c:v>
                </c:pt>
                <c:pt idx="36">
                  <c:v>1400</c:v>
                </c:pt>
                <c:pt idx="37">
                  <c:v>1450</c:v>
                </c:pt>
                <c:pt idx="38">
                  <c:v>1500</c:v>
                </c:pt>
                <c:pt idx="39">
                  <c:v>1600</c:v>
                </c:pt>
                <c:pt idx="40">
                  <c:v>1650</c:v>
                </c:pt>
                <c:pt idx="41">
                  <c:v>1700</c:v>
                </c:pt>
                <c:pt idx="42">
                  <c:v>1750</c:v>
                </c:pt>
                <c:pt idx="43">
                  <c:v>1850</c:v>
                </c:pt>
                <c:pt idx="44">
                  <c:v>1900</c:v>
                </c:pt>
                <c:pt idx="45">
                  <c:v>1950</c:v>
                </c:pt>
                <c:pt idx="46">
                  <c:v>2000</c:v>
                </c:pt>
                <c:pt idx="47">
                  <c:v>2100</c:v>
                </c:pt>
                <c:pt idx="48">
                  <c:v>2150</c:v>
                </c:pt>
                <c:pt idx="49">
                  <c:v>2200</c:v>
                </c:pt>
                <c:pt idx="50">
                  <c:v>2250</c:v>
                </c:pt>
                <c:pt idx="51">
                  <c:v>2350</c:v>
                </c:pt>
                <c:pt idx="52">
                  <c:v>2400</c:v>
                </c:pt>
                <c:pt idx="53">
                  <c:v>2450</c:v>
                </c:pt>
                <c:pt idx="54">
                  <c:v>2500</c:v>
                </c:pt>
                <c:pt idx="55">
                  <c:v>2600</c:v>
                </c:pt>
                <c:pt idx="56">
                  <c:v>2650</c:v>
                </c:pt>
                <c:pt idx="57">
                  <c:v>2700</c:v>
                </c:pt>
                <c:pt idx="58">
                  <c:v>2750</c:v>
                </c:pt>
                <c:pt idx="59">
                  <c:v>2800</c:v>
                </c:pt>
                <c:pt idx="60">
                  <c:v>2900</c:v>
                </c:pt>
                <c:pt idx="61">
                  <c:v>2950</c:v>
                </c:pt>
                <c:pt idx="62">
                  <c:v>3000</c:v>
                </c:pt>
                <c:pt idx="63">
                  <c:v>3050</c:v>
                </c:pt>
                <c:pt idx="64">
                  <c:v>3150</c:v>
                </c:pt>
                <c:pt idx="65">
                  <c:v>3200</c:v>
                </c:pt>
                <c:pt idx="66">
                  <c:v>3250</c:v>
                </c:pt>
                <c:pt idx="67">
                  <c:v>3300</c:v>
                </c:pt>
                <c:pt idx="68">
                  <c:v>3400</c:v>
                </c:pt>
                <c:pt idx="69">
                  <c:v>3450</c:v>
                </c:pt>
                <c:pt idx="70">
                  <c:v>3500</c:v>
                </c:pt>
              </c:numCache>
            </c:numRef>
          </c:val>
          <c:smooth val="0"/>
          <c:extLst>
            <c:ext xmlns:c16="http://schemas.microsoft.com/office/drawing/2014/chart" uri="{C3380CC4-5D6E-409C-BE32-E72D297353CC}">
              <c16:uniqueId val="{0000000D-6C95-4AF9-9677-75D0BF8DBF4A}"/>
            </c:ext>
          </c:extLst>
        </c:ser>
        <c:dLbls>
          <c:showLegendKey val="0"/>
          <c:showVal val="0"/>
          <c:showCatName val="0"/>
          <c:showSerName val="0"/>
          <c:showPercent val="0"/>
          <c:showBubbleSize val="0"/>
        </c:dLbls>
        <c:smooth val="0"/>
        <c:axId val="423547728"/>
        <c:axId val="423549296"/>
      </c:lineChart>
      <c:catAx>
        <c:axId val="4235477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3549296"/>
        <c:crosses val="autoZero"/>
        <c:auto val="1"/>
        <c:lblAlgn val="ctr"/>
        <c:lblOffset val="100"/>
        <c:tickLblSkip val="5"/>
        <c:tickMarkSkip val="5"/>
        <c:noMultiLvlLbl val="0"/>
      </c:catAx>
      <c:valAx>
        <c:axId val="423549296"/>
        <c:scaling>
          <c:orientation val="minMax"/>
          <c:max val="7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4772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College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'Campus Enrol Disaggregation'!$AD$4</c:f>
              <c:strCache>
                <c:ptCount val="1"/>
                <c:pt idx="0">
                  <c:v>Total</c:v>
                </c:pt>
              </c:strCache>
            </c:strRef>
          </c:tx>
          <c:spPr>
            <a:ln w="28575" cap="rnd">
              <a:solidFill>
                <a:schemeClr val="accent1"/>
              </a:solidFill>
              <a:round/>
            </a:ln>
            <a:effectLst/>
          </c:spPr>
          <c:marker>
            <c:symbol val="none"/>
          </c:marker>
          <c:cat>
            <c:numRef>
              <c:f>'Campus Enrol Disaggregation'!$O$5:$O$75</c:f>
              <c:numCache>
                <c:formatCode>General</c:formatCode>
                <c:ptCount val="7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numCache>
            </c:numRef>
          </c:cat>
          <c:val>
            <c:numRef>
              <c:f>'Campus Enrol Disaggregation'!$AD$5:$AD$75</c:f>
              <c:numCache>
                <c:formatCode>_(* #,##0_);_(* \(#,##0\);_(* "-"??_);_(@_)</c:formatCode>
                <c:ptCount val="71"/>
                <c:pt idx="0">
                  <c:v>87500</c:v>
                </c:pt>
                <c:pt idx="1">
                  <c:v>93750</c:v>
                </c:pt>
                <c:pt idx="2">
                  <c:v>96950</c:v>
                </c:pt>
                <c:pt idx="3">
                  <c:v>97400</c:v>
                </c:pt>
                <c:pt idx="4">
                  <c:v>100600</c:v>
                </c:pt>
                <c:pt idx="5">
                  <c:v>103600</c:v>
                </c:pt>
                <c:pt idx="6">
                  <c:v>105050</c:v>
                </c:pt>
                <c:pt idx="7">
                  <c:v>109300</c:v>
                </c:pt>
                <c:pt idx="8">
                  <c:v>106550</c:v>
                </c:pt>
                <c:pt idx="9">
                  <c:v>112250</c:v>
                </c:pt>
                <c:pt idx="10">
                  <c:v>116650</c:v>
                </c:pt>
                <c:pt idx="11">
                  <c:v>124250</c:v>
                </c:pt>
                <c:pt idx="12">
                  <c:v>126350</c:v>
                </c:pt>
                <c:pt idx="13">
                  <c:v>128850</c:v>
                </c:pt>
                <c:pt idx="14">
                  <c:v>131250</c:v>
                </c:pt>
                <c:pt idx="15">
                  <c:v>132050</c:v>
                </c:pt>
                <c:pt idx="16">
                  <c:v>131400</c:v>
                </c:pt>
                <c:pt idx="17">
                  <c:v>130250</c:v>
                </c:pt>
                <c:pt idx="18">
                  <c:v>141200</c:v>
                </c:pt>
                <c:pt idx="19">
                  <c:v>151250</c:v>
                </c:pt>
                <c:pt idx="20">
                  <c:v>156200</c:v>
                </c:pt>
                <c:pt idx="21">
                  <c:v>158750</c:v>
                </c:pt>
                <c:pt idx="22">
                  <c:v>156950</c:v>
                </c:pt>
                <c:pt idx="23">
                  <c:v>152600</c:v>
                </c:pt>
                <c:pt idx="24">
                  <c:v>151250</c:v>
                </c:pt>
                <c:pt idx="25">
                  <c:v>155300</c:v>
                </c:pt>
                <c:pt idx="26">
                  <c:v>159150</c:v>
                </c:pt>
                <c:pt idx="27">
                  <c:v>163450</c:v>
                </c:pt>
                <c:pt idx="28">
                  <c:v>165650</c:v>
                </c:pt>
                <c:pt idx="29">
                  <c:v>168400</c:v>
                </c:pt>
                <c:pt idx="30">
                  <c:v>167350</c:v>
                </c:pt>
                <c:pt idx="31">
                  <c:v>167000</c:v>
                </c:pt>
                <c:pt idx="32">
                  <c:v>167700</c:v>
                </c:pt>
                <c:pt idx="33">
                  <c:v>171550</c:v>
                </c:pt>
                <c:pt idx="34">
                  <c:v>183200</c:v>
                </c:pt>
                <c:pt idx="35">
                  <c:v>186100</c:v>
                </c:pt>
                <c:pt idx="36">
                  <c:v>188050</c:v>
                </c:pt>
                <c:pt idx="37">
                  <c:v>189800</c:v>
                </c:pt>
                <c:pt idx="38">
                  <c:v>191200</c:v>
                </c:pt>
                <c:pt idx="39">
                  <c:v>193150</c:v>
                </c:pt>
                <c:pt idx="40">
                  <c:v>195550</c:v>
                </c:pt>
                <c:pt idx="41">
                  <c:v>197950</c:v>
                </c:pt>
                <c:pt idx="42">
                  <c:v>200400</c:v>
                </c:pt>
                <c:pt idx="43">
                  <c:v>202800</c:v>
                </c:pt>
                <c:pt idx="44">
                  <c:v>205200</c:v>
                </c:pt>
                <c:pt idx="45">
                  <c:v>207500</c:v>
                </c:pt>
                <c:pt idx="46">
                  <c:v>210050</c:v>
                </c:pt>
                <c:pt idx="47">
                  <c:v>212400</c:v>
                </c:pt>
                <c:pt idx="48">
                  <c:v>214850</c:v>
                </c:pt>
                <c:pt idx="49">
                  <c:v>217300</c:v>
                </c:pt>
                <c:pt idx="50">
                  <c:v>219800</c:v>
                </c:pt>
                <c:pt idx="51">
                  <c:v>222150</c:v>
                </c:pt>
                <c:pt idx="52">
                  <c:v>224550</c:v>
                </c:pt>
                <c:pt idx="53">
                  <c:v>226900</c:v>
                </c:pt>
                <c:pt idx="54">
                  <c:v>229700</c:v>
                </c:pt>
                <c:pt idx="55">
                  <c:v>232450</c:v>
                </c:pt>
                <c:pt idx="56">
                  <c:v>235250</c:v>
                </c:pt>
                <c:pt idx="57">
                  <c:v>237600</c:v>
                </c:pt>
                <c:pt idx="58">
                  <c:v>240000</c:v>
                </c:pt>
                <c:pt idx="59">
                  <c:v>242400</c:v>
                </c:pt>
                <c:pt idx="60">
                  <c:v>244850</c:v>
                </c:pt>
                <c:pt idx="61">
                  <c:v>246000</c:v>
                </c:pt>
                <c:pt idx="62">
                  <c:v>247050</c:v>
                </c:pt>
                <c:pt idx="63">
                  <c:v>248250</c:v>
                </c:pt>
                <c:pt idx="64">
                  <c:v>249450</c:v>
                </c:pt>
                <c:pt idx="65">
                  <c:v>250550</c:v>
                </c:pt>
                <c:pt idx="66">
                  <c:v>251750</c:v>
                </c:pt>
                <c:pt idx="67">
                  <c:v>252950</c:v>
                </c:pt>
                <c:pt idx="68">
                  <c:v>254100</c:v>
                </c:pt>
                <c:pt idx="69">
                  <c:v>255250</c:v>
                </c:pt>
                <c:pt idx="70">
                  <c:v>256400</c:v>
                </c:pt>
              </c:numCache>
            </c:numRef>
          </c:val>
          <c:smooth val="0"/>
          <c:extLst>
            <c:ext xmlns:c16="http://schemas.microsoft.com/office/drawing/2014/chart" uri="{C3380CC4-5D6E-409C-BE32-E72D297353CC}">
              <c16:uniqueId val="{00000000-7425-44AD-8193-F239116FDCF5}"/>
            </c:ext>
          </c:extLst>
        </c:ser>
        <c:dLbls>
          <c:showLegendKey val="0"/>
          <c:showVal val="0"/>
          <c:showCatName val="0"/>
          <c:showSerName val="0"/>
          <c:showPercent val="0"/>
          <c:showBubbleSize val="0"/>
        </c:dLbls>
        <c:smooth val="0"/>
        <c:axId val="420270800"/>
        <c:axId val="420271976"/>
      </c:lineChart>
      <c:catAx>
        <c:axId val="420270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71976"/>
        <c:crosses val="autoZero"/>
        <c:auto val="1"/>
        <c:lblAlgn val="ctr"/>
        <c:lblOffset val="100"/>
        <c:tickLblSkip val="5"/>
        <c:tickMarkSkip val="5"/>
        <c:noMultiLvlLbl val="0"/>
      </c:catAx>
      <c:valAx>
        <c:axId val="420271976"/>
        <c:scaling>
          <c:orientation val="minMax"/>
          <c:max val="250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70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College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'Campus Enrol Disaggregation'!$AD$4</c:f>
              <c:strCache>
                <c:ptCount val="1"/>
                <c:pt idx="0">
                  <c:v>Total</c:v>
                </c:pt>
              </c:strCache>
            </c:strRef>
          </c:tx>
          <c:spPr>
            <a:ln w="28575" cap="rnd">
              <a:solidFill>
                <a:schemeClr val="accent1"/>
              </a:solidFill>
              <a:round/>
            </a:ln>
            <a:effectLst/>
          </c:spPr>
          <c:marker>
            <c:symbol val="none"/>
          </c:marker>
          <c:cat>
            <c:numRef>
              <c:f>'Campus Enrol Disaggregation'!$O$35:$O$75</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'Campus Enrol Disaggregation'!$AD$35:$AD$75</c:f>
              <c:numCache>
                <c:formatCode>_(* #,##0_);_(* \(#,##0\);_(* "-"??_);_(@_)</c:formatCode>
                <c:ptCount val="41"/>
                <c:pt idx="0">
                  <c:v>167350</c:v>
                </c:pt>
                <c:pt idx="1">
                  <c:v>167000</c:v>
                </c:pt>
                <c:pt idx="2">
                  <c:v>167700</c:v>
                </c:pt>
                <c:pt idx="3">
                  <c:v>171550</c:v>
                </c:pt>
                <c:pt idx="4">
                  <c:v>183200</c:v>
                </c:pt>
                <c:pt idx="5">
                  <c:v>186100</c:v>
                </c:pt>
                <c:pt idx="6">
                  <c:v>188050</c:v>
                </c:pt>
                <c:pt idx="7">
                  <c:v>189800</c:v>
                </c:pt>
                <c:pt idx="8">
                  <c:v>191200</c:v>
                </c:pt>
                <c:pt idx="9">
                  <c:v>193150</c:v>
                </c:pt>
                <c:pt idx="10">
                  <c:v>195550</c:v>
                </c:pt>
                <c:pt idx="11">
                  <c:v>197950</c:v>
                </c:pt>
                <c:pt idx="12">
                  <c:v>200400</c:v>
                </c:pt>
                <c:pt idx="13">
                  <c:v>202800</c:v>
                </c:pt>
                <c:pt idx="14">
                  <c:v>205200</c:v>
                </c:pt>
                <c:pt idx="15">
                  <c:v>207500</c:v>
                </c:pt>
                <c:pt idx="16">
                  <c:v>210050</c:v>
                </c:pt>
                <c:pt idx="17">
                  <c:v>212400</c:v>
                </c:pt>
                <c:pt idx="18">
                  <c:v>214850</c:v>
                </c:pt>
                <c:pt idx="19">
                  <c:v>217300</c:v>
                </c:pt>
                <c:pt idx="20">
                  <c:v>219800</c:v>
                </c:pt>
                <c:pt idx="21">
                  <c:v>222150</c:v>
                </c:pt>
                <c:pt idx="22">
                  <c:v>224550</c:v>
                </c:pt>
                <c:pt idx="23">
                  <c:v>226900</c:v>
                </c:pt>
                <c:pt idx="24">
                  <c:v>229700</c:v>
                </c:pt>
                <c:pt idx="25">
                  <c:v>232450</c:v>
                </c:pt>
                <c:pt idx="26">
                  <c:v>235250</c:v>
                </c:pt>
                <c:pt idx="27">
                  <c:v>237600</c:v>
                </c:pt>
                <c:pt idx="28">
                  <c:v>240000</c:v>
                </c:pt>
                <c:pt idx="29">
                  <c:v>242400</c:v>
                </c:pt>
                <c:pt idx="30">
                  <c:v>244850</c:v>
                </c:pt>
                <c:pt idx="31">
                  <c:v>246000</c:v>
                </c:pt>
                <c:pt idx="32">
                  <c:v>247050</c:v>
                </c:pt>
                <c:pt idx="33">
                  <c:v>248250</c:v>
                </c:pt>
                <c:pt idx="34">
                  <c:v>249450</c:v>
                </c:pt>
                <c:pt idx="35">
                  <c:v>250550</c:v>
                </c:pt>
                <c:pt idx="36">
                  <c:v>251750</c:v>
                </c:pt>
                <c:pt idx="37">
                  <c:v>252950</c:v>
                </c:pt>
                <c:pt idx="38">
                  <c:v>254100</c:v>
                </c:pt>
                <c:pt idx="39">
                  <c:v>255250</c:v>
                </c:pt>
                <c:pt idx="40">
                  <c:v>256400</c:v>
                </c:pt>
              </c:numCache>
            </c:numRef>
          </c:val>
          <c:smooth val="0"/>
          <c:extLst>
            <c:ext xmlns:c16="http://schemas.microsoft.com/office/drawing/2014/chart" uri="{C3380CC4-5D6E-409C-BE32-E72D297353CC}">
              <c16:uniqueId val="{00000000-54C9-4473-BE7D-5D3B04CD9771}"/>
            </c:ext>
          </c:extLst>
        </c:ser>
        <c:dLbls>
          <c:showLegendKey val="0"/>
          <c:showVal val="0"/>
          <c:showCatName val="0"/>
          <c:showSerName val="0"/>
          <c:showPercent val="0"/>
          <c:showBubbleSize val="0"/>
        </c:dLbls>
        <c:smooth val="0"/>
        <c:axId val="420274720"/>
        <c:axId val="420275112"/>
      </c:lineChart>
      <c:catAx>
        <c:axId val="42027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75112"/>
        <c:crosses val="autoZero"/>
        <c:auto val="1"/>
        <c:lblAlgn val="ctr"/>
        <c:lblOffset val="100"/>
        <c:tickLblSkip val="5"/>
        <c:tickMarkSkip val="5"/>
        <c:noMultiLvlLbl val="0"/>
      </c:catAx>
      <c:valAx>
        <c:axId val="420275112"/>
        <c:scaling>
          <c:orientation val="minMax"/>
          <c:max val="250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74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xVal>
          <c:yVal>
            <c:numRef>
              <c:f>'College Enrollment Projections'!$AL$2:$AL$36</c:f>
              <c:numCache>
                <c:formatCode>#,##0</c:formatCode>
                <c:ptCount val="35"/>
                <c:pt idx="0">
                  <c:v>7885</c:v>
                </c:pt>
                <c:pt idx="1">
                  <c:v>8777</c:v>
                </c:pt>
                <c:pt idx="2">
                  <c:v>9623</c:v>
                </c:pt>
                <c:pt idx="3">
                  <c:v>10512</c:v>
                </c:pt>
                <c:pt idx="4">
                  <c:v>13293</c:v>
                </c:pt>
                <c:pt idx="5">
                  <c:v>14040</c:v>
                </c:pt>
                <c:pt idx="6">
                  <c:v>14756</c:v>
                </c:pt>
                <c:pt idx="7">
                  <c:v>15994</c:v>
                </c:pt>
                <c:pt idx="8">
                  <c:v>18174</c:v>
                </c:pt>
                <c:pt idx="9">
                  <c:v>20062</c:v>
                </c:pt>
                <c:pt idx="10">
                  <c:v>20946</c:v>
                </c:pt>
                <c:pt idx="11">
                  <c:v>22609</c:v>
                </c:pt>
                <c:pt idx="12">
                  <c:v>23609</c:v>
                </c:pt>
                <c:pt idx="13">
                  <c:v>23803</c:v>
                </c:pt>
                <c:pt idx="14">
                  <c:v>24149</c:v>
                </c:pt>
                <c:pt idx="15">
                  <c:v>24180</c:v>
                </c:pt>
                <c:pt idx="16">
                  <c:v>23305</c:v>
                </c:pt>
                <c:pt idx="17">
                  <c:v>23840</c:v>
                </c:pt>
                <c:pt idx="18">
                  <c:v>26696</c:v>
                </c:pt>
                <c:pt idx="19">
                  <c:v>28765</c:v>
                </c:pt>
                <c:pt idx="20">
                  <c:v>32670</c:v>
                </c:pt>
                <c:pt idx="21">
                  <c:v>33395</c:v>
                </c:pt>
                <c:pt idx="22">
                  <c:v>31562</c:v>
                </c:pt>
                <c:pt idx="23">
                  <c:v>30564</c:v>
                </c:pt>
                <c:pt idx="24">
                  <c:v>31332</c:v>
                </c:pt>
                <c:pt idx="25">
                  <c:v>33211</c:v>
                </c:pt>
                <c:pt idx="26">
                  <c:v>34978</c:v>
                </c:pt>
                <c:pt idx="27">
                  <c:v>37282</c:v>
                </c:pt>
                <c:pt idx="28">
                  <c:v>39931</c:v>
                </c:pt>
                <c:pt idx="29">
                  <c:v>41728</c:v>
                </c:pt>
                <c:pt idx="30">
                  <c:v>40936</c:v>
                </c:pt>
                <c:pt idx="31">
                  <c:v>41262</c:v>
                </c:pt>
                <c:pt idx="32">
                  <c:v>43099</c:v>
                </c:pt>
                <c:pt idx="33">
                  <c:v>44651</c:v>
                </c:pt>
                <c:pt idx="34">
                  <c:v>46412</c:v>
                </c:pt>
              </c:numCache>
            </c:numRef>
          </c:yVal>
          <c:smooth val="0"/>
          <c:extLst>
            <c:ext xmlns:c16="http://schemas.microsoft.com/office/drawing/2014/chart" uri="{C3380CC4-5D6E-409C-BE32-E72D297353CC}">
              <c16:uniqueId val="{00000000-1282-4053-85BF-D36622F55D0B}"/>
            </c:ext>
          </c:extLst>
        </c:ser>
        <c:ser>
          <c:idx val="1"/>
          <c:order val="1"/>
          <c:tx>
            <c:v>USHE Projections</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5"/>
            <c:dispRSqr val="0"/>
            <c:dispEq val="0"/>
          </c:trendline>
          <c:xVal>
            <c:numRef>
              <c:f>'College Enrollment Projections'!$AI$37:$AI$40</c:f>
              <c:numCache>
                <c:formatCode>General</c:formatCode>
                <c:ptCount val="4"/>
                <c:pt idx="0">
                  <c:v>2025</c:v>
                </c:pt>
                <c:pt idx="1">
                  <c:v>2026</c:v>
                </c:pt>
                <c:pt idx="2">
                  <c:v>2027</c:v>
                </c:pt>
                <c:pt idx="3">
                  <c:v>2028</c:v>
                </c:pt>
              </c:numCache>
            </c:numRef>
          </c:xVal>
          <c:yVal>
            <c:numRef>
              <c:f>'College Enrollment Projections'!$AL$37:$AL$40</c:f>
              <c:numCache>
                <c:formatCode>#,##0</c:formatCode>
                <c:ptCount val="4"/>
                <c:pt idx="0">
                  <c:v>48161</c:v>
                </c:pt>
                <c:pt idx="1">
                  <c:v>49562</c:v>
                </c:pt>
                <c:pt idx="2">
                  <c:v>50678</c:v>
                </c:pt>
                <c:pt idx="3">
                  <c:v>51665</c:v>
                </c:pt>
              </c:numCache>
            </c:numRef>
          </c:yVal>
          <c:smooth val="0"/>
          <c:extLst>
            <c:ext xmlns:c16="http://schemas.microsoft.com/office/drawing/2014/chart" uri="{C3380CC4-5D6E-409C-BE32-E72D297353CC}">
              <c16:uniqueId val="{00000001-1282-4053-85BF-D36622F55D0B}"/>
            </c:ext>
          </c:extLst>
        </c:ser>
        <c:ser>
          <c:idx val="3"/>
          <c:order val="2"/>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Projections'!$AL$31:$AL$40</c:f>
              <c:numCache>
                <c:formatCode>#,##0</c:formatCode>
                <c:ptCount val="10"/>
                <c:pt idx="0">
                  <c:v>41728</c:v>
                </c:pt>
                <c:pt idx="1">
                  <c:v>40936</c:v>
                </c:pt>
                <c:pt idx="2">
                  <c:v>41262</c:v>
                </c:pt>
                <c:pt idx="3">
                  <c:v>43099</c:v>
                </c:pt>
                <c:pt idx="4">
                  <c:v>44651</c:v>
                </c:pt>
                <c:pt idx="5">
                  <c:v>46412</c:v>
                </c:pt>
                <c:pt idx="6">
                  <c:v>48161</c:v>
                </c:pt>
                <c:pt idx="7">
                  <c:v>49562</c:v>
                </c:pt>
                <c:pt idx="8">
                  <c:v>50678</c:v>
                </c:pt>
                <c:pt idx="9">
                  <c:v>51665</c:v>
                </c:pt>
              </c:numCache>
            </c:numRef>
          </c:yVal>
          <c:smooth val="0"/>
          <c:extLst>
            <c:ext xmlns:c16="http://schemas.microsoft.com/office/drawing/2014/chart" uri="{C3380CC4-5D6E-409C-BE32-E72D297353CC}">
              <c16:uniqueId val="{00000005-1282-4053-85BF-D36622F55D0B}"/>
            </c:ext>
          </c:extLst>
        </c:ser>
        <c:ser>
          <c:idx val="5"/>
          <c:order val="4"/>
          <c:tx>
            <c:v>2024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Projections'!$AI$73</c:f>
              <c:numCache>
                <c:formatCode>General</c:formatCode>
                <c:ptCount val="1"/>
                <c:pt idx="0">
                  <c:v>2050</c:v>
                </c:pt>
              </c:numCache>
            </c:numRef>
          </c:xVal>
          <c:yVal>
            <c:numRef>
              <c:f>'College Enrollment Projections'!$AL$73</c:f>
              <c:numCache>
                <c:formatCode>#,##0</c:formatCode>
                <c:ptCount val="1"/>
                <c:pt idx="0">
                  <c:v>78431</c:v>
                </c:pt>
              </c:numCache>
            </c:numRef>
          </c:yVal>
          <c:smooth val="0"/>
          <c:extLst>
            <c:ext xmlns:c16="http://schemas.microsoft.com/office/drawing/2014/chart" uri="{C3380CC4-5D6E-409C-BE32-E72D297353CC}">
              <c16:uniqueId val="{00000003-90F2-4A09-9FF9-96BEBDE66B0C}"/>
            </c:ext>
          </c:extLst>
        </c:ser>
        <c:ser>
          <c:idx val="4"/>
          <c:order val="5"/>
          <c:tx>
            <c:v>2027 RTP</c:v>
          </c:tx>
          <c:spPr>
            <a:ln w="25400" cap="rnd">
              <a:noFill/>
              <a:round/>
            </a:ln>
            <a:effectLst/>
          </c:spPr>
          <c:marker>
            <c:symbol val="circle"/>
            <c:size val="5"/>
            <c:spPr>
              <a:solidFill>
                <a:srgbClr val="00B050"/>
              </a:solidFill>
              <a:ln w="9525">
                <a:solidFill>
                  <a:srgbClr val="00B050"/>
                </a:solidFill>
              </a:ln>
              <a:effectLst/>
            </c:spPr>
          </c:marker>
          <c:xVal>
            <c:numRef>
              <c:f>'College Enrollment Projections'!$AI$41:$AI$72</c:f>
              <c:numCache>
                <c:formatCode>General</c:formatCode>
                <c:ptCount val="3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pt idx="22">
                  <c:v>2051</c:v>
                </c:pt>
                <c:pt idx="23">
                  <c:v>2052</c:v>
                </c:pt>
                <c:pt idx="24">
                  <c:v>2053</c:v>
                </c:pt>
                <c:pt idx="25">
                  <c:v>2054</c:v>
                </c:pt>
                <c:pt idx="26">
                  <c:v>2055</c:v>
                </c:pt>
                <c:pt idx="27">
                  <c:v>2056</c:v>
                </c:pt>
                <c:pt idx="28">
                  <c:v>2057</c:v>
                </c:pt>
                <c:pt idx="29">
                  <c:v>2058</c:v>
                </c:pt>
                <c:pt idx="30">
                  <c:v>2059</c:v>
                </c:pt>
                <c:pt idx="31">
                  <c:v>2060</c:v>
                </c:pt>
              </c:numCache>
            </c:numRef>
          </c:xVal>
          <c:yVal>
            <c:numRef>
              <c:f>'College Enrollment Projections'!$AL$41:$AL$72</c:f>
              <c:numCache>
                <c:formatCode>#,##0</c:formatCode>
                <c:ptCount val="32"/>
                <c:pt idx="0">
                  <c:v>52522</c:v>
                </c:pt>
                <c:pt idx="1">
                  <c:v>53756</c:v>
                </c:pt>
                <c:pt idx="2">
                  <c:v>54990</c:v>
                </c:pt>
                <c:pt idx="3">
                  <c:v>56223</c:v>
                </c:pt>
                <c:pt idx="4">
                  <c:v>57457</c:v>
                </c:pt>
                <c:pt idx="5">
                  <c:v>58691</c:v>
                </c:pt>
                <c:pt idx="6">
                  <c:v>59925</c:v>
                </c:pt>
                <c:pt idx="7">
                  <c:v>61158</c:v>
                </c:pt>
                <c:pt idx="8">
                  <c:v>62392</c:v>
                </c:pt>
                <c:pt idx="9">
                  <c:v>63626</c:v>
                </c:pt>
                <c:pt idx="10">
                  <c:v>64860</c:v>
                </c:pt>
                <c:pt idx="11">
                  <c:v>66093</c:v>
                </c:pt>
                <c:pt idx="12">
                  <c:v>67327</c:v>
                </c:pt>
                <c:pt idx="13">
                  <c:v>68561</c:v>
                </c:pt>
                <c:pt idx="14">
                  <c:v>69795</c:v>
                </c:pt>
                <c:pt idx="15">
                  <c:v>71028</c:v>
                </c:pt>
                <c:pt idx="16">
                  <c:v>72262</c:v>
                </c:pt>
                <c:pt idx="17">
                  <c:v>73496</c:v>
                </c:pt>
                <c:pt idx="18">
                  <c:v>74730</c:v>
                </c:pt>
                <c:pt idx="19">
                  <c:v>75963</c:v>
                </c:pt>
                <c:pt idx="20">
                  <c:v>77197</c:v>
                </c:pt>
                <c:pt idx="21">
                  <c:v>78431</c:v>
                </c:pt>
                <c:pt idx="22">
                  <c:v>78431</c:v>
                </c:pt>
                <c:pt idx="23">
                  <c:v>78431</c:v>
                </c:pt>
                <c:pt idx="24">
                  <c:v>78431</c:v>
                </c:pt>
                <c:pt idx="25">
                  <c:v>78431</c:v>
                </c:pt>
                <c:pt idx="26">
                  <c:v>78431</c:v>
                </c:pt>
                <c:pt idx="27">
                  <c:v>78431</c:v>
                </c:pt>
                <c:pt idx="28">
                  <c:v>78431</c:v>
                </c:pt>
                <c:pt idx="29">
                  <c:v>78431</c:v>
                </c:pt>
                <c:pt idx="30">
                  <c:v>78431</c:v>
                </c:pt>
                <c:pt idx="31">
                  <c:v>78431</c:v>
                </c:pt>
              </c:numCache>
            </c:numRef>
          </c:yVal>
          <c:smooth val="0"/>
          <c:extLst>
            <c:ext xmlns:c16="http://schemas.microsoft.com/office/drawing/2014/chart" uri="{C3380CC4-5D6E-409C-BE32-E72D297353CC}">
              <c16:uniqueId val="{00000003-5579-4878-B9E0-D9341EFE46CF}"/>
            </c:ext>
          </c:extLst>
        </c:ser>
        <c:dLbls>
          <c:showLegendKey val="0"/>
          <c:showVal val="0"/>
          <c:showCatName val="0"/>
          <c:showSerName val="0"/>
          <c:showPercent val="0"/>
          <c:showBubbleSize val="0"/>
        </c:dLbls>
        <c:axId val="194120528"/>
        <c:axId val="194120920"/>
        <c:extLst>
          <c:ext xmlns:c15="http://schemas.microsoft.com/office/drawing/2012/chart" uri="{02D57815-91ED-43cb-92C2-25804820EDAC}">
            <c15:filteredScatterSeries>
              <c15:ser>
                <c:idx val="2"/>
                <c:order val="3"/>
                <c:tx>
                  <c:v>2019 RTP Target</c:v>
                </c:tx>
                <c:spPr>
                  <a:ln w="25400" cap="rnd">
                    <a:noFill/>
                    <a:round/>
                  </a:ln>
                  <a:effectLst/>
                </c:spPr>
                <c:marker>
                  <c:symbol val="circle"/>
                  <c:size val="8"/>
                  <c:spPr>
                    <a:solidFill>
                      <a:schemeClr val="accent3"/>
                    </a:solidFill>
                    <a:ln w="9525">
                      <a:solidFill>
                        <a:schemeClr val="accent3"/>
                      </a:solidFill>
                    </a:ln>
                    <a:effectLst/>
                  </c:spPr>
                </c:marker>
                <c:xVal>
                  <c:numRef>
                    <c:extLst>
                      <c:ext uri="{02D57815-91ED-43cb-92C2-25804820EDAC}">
                        <c15:formulaRef>
                          <c15:sqref>'College Enrollment Projections'!$AI$74</c15:sqref>
                        </c15:formulaRef>
                      </c:ext>
                    </c:extLst>
                    <c:numCache>
                      <c:formatCode>General</c:formatCode>
                      <c:ptCount val="1"/>
                      <c:pt idx="0">
                        <c:v>2050</c:v>
                      </c:pt>
                    </c:numCache>
                  </c:numRef>
                </c:xVal>
                <c:yVal>
                  <c:numRef>
                    <c:extLst>
                      <c:ext uri="{02D57815-91ED-43cb-92C2-25804820EDAC}">
                        <c15:formulaRef>
                          <c15:sqref>'College Enrollment Projections'!$AL$74</c15:sqref>
                        </c15:formulaRef>
                      </c:ext>
                    </c:extLst>
                    <c:numCache>
                      <c:formatCode>#,##0</c:formatCode>
                      <c:ptCount val="1"/>
                      <c:pt idx="0">
                        <c:v>67000</c:v>
                      </c:pt>
                    </c:numCache>
                  </c:numRef>
                </c:yVal>
                <c:smooth val="0"/>
                <c:extLst>
                  <c:ext xmlns:c16="http://schemas.microsoft.com/office/drawing/2014/chart" uri="{C3380CC4-5D6E-409C-BE32-E72D297353CC}">
                    <c16:uniqueId val="{00000004-1282-4053-85BF-D36622F55D0B}"/>
                  </c:ext>
                </c:extLst>
              </c15:ser>
            </c15:filteredScatterSeries>
          </c:ext>
        </c:extLst>
      </c:scatterChart>
      <c:valAx>
        <c:axId val="194120528"/>
        <c:scaling>
          <c:orientation val="minMax"/>
          <c:max val="206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0920"/>
        <c:crosses val="autoZero"/>
        <c:crossBetween val="midCat"/>
      </c:valAx>
      <c:valAx>
        <c:axId val="194120920"/>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0528"/>
        <c:crosses val="autoZero"/>
        <c:crossBetween val="midCat"/>
      </c:valAx>
      <c:spPr>
        <a:noFill/>
        <a:ln>
          <a:noFill/>
        </a:ln>
        <a:effectLst/>
      </c:spPr>
    </c:plotArea>
    <c:legend>
      <c:legendPos val="t"/>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xVal>
          <c:yVal>
            <c:numRef>
              <c:f>'College Enrollment Projections'!$AJ$2:$AJ$36</c:f>
              <c:numCache>
                <c:formatCode>#,##0</c:formatCode>
                <c:ptCount val="35"/>
                <c:pt idx="0">
                  <c:v>24311</c:v>
                </c:pt>
                <c:pt idx="1">
                  <c:v>25581</c:v>
                </c:pt>
                <c:pt idx="2">
                  <c:v>25868</c:v>
                </c:pt>
                <c:pt idx="3">
                  <c:v>25982</c:v>
                </c:pt>
                <c:pt idx="4">
                  <c:v>25645</c:v>
                </c:pt>
                <c:pt idx="5">
                  <c:v>26810</c:v>
                </c:pt>
                <c:pt idx="6">
                  <c:v>26079</c:v>
                </c:pt>
                <c:pt idx="7">
                  <c:v>25895</c:v>
                </c:pt>
                <c:pt idx="8">
                  <c:v>25018</c:v>
                </c:pt>
                <c:pt idx="9">
                  <c:v>25781</c:v>
                </c:pt>
                <c:pt idx="10">
                  <c:v>24948</c:v>
                </c:pt>
                <c:pt idx="11">
                  <c:v>27668</c:v>
                </c:pt>
                <c:pt idx="12">
                  <c:v>28369</c:v>
                </c:pt>
                <c:pt idx="13">
                  <c:v>28436</c:v>
                </c:pt>
                <c:pt idx="14">
                  <c:v>28933</c:v>
                </c:pt>
                <c:pt idx="15">
                  <c:v>30558</c:v>
                </c:pt>
                <c:pt idx="16">
                  <c:v>30511</c:v>
                </c:pt>
                <c:pt idx="17">
                  <c:v>28025</c:v>
                </c:pt>
                <c:pt idx="18">
                  <c:v>28211</c:v>
                </c:pt>
                <c:pt idx="19">
                  <c:v>29284</c:v>
                </c:pt>
                <c:pt idx="20">
                  <c:v>30819</c:v>
                </c:pt>
                <c:pt idx="21">
                  <c:v>31660</c:v>
                </c:pt>
                <c:pt idx="22">
                  <c:v>32388</c:v>
                </c:pt>
                <c:pt idx="23">
                  <c:v>32077</c:v>
                </c:pt>
                <c:pt idx="24">
                  <c:v>31515</c:v>
                </c:pt>
                <c:pt idx="25">
                  <c:v>31592</c:v>
                </c:pt>
                <c:pt idx="26">
                  <c:v>31860</c:v>
                </c:pt>
                <c:pt idx="27">
                  <c:v>32800</c:v>
                </c:pt>
                <c:pt idx="28">
                  <c:v>33023</c:v>
                </c:pt>
                <c:pt idx="29">
                  <c:v>32852</c:v>
                </c:pt>
                <c:pt idx="30">
                  <c:v>33081</c:v>
                </c:pt>
                <c:pt idx="31">
                  <c:v>34464</c:v>
                </c:pt>
                <c:pt idx="32">
                  <c:v>34734</c:v>
                </c:pt>
                <c:pt idx="33">
                  <c:v>35260</c:v>
                </c:pt>
                <c:pt idx="34">
                  <c:v>36571</c:v>
                </c:pt>
              </c:numCache>
            </c:numRef>
          </c:yVal>
          <c:smooth val="0"/>
          <c:extLst>
            <c:ext xmlns:c16="http://schemas.microsoft.com/office/drawing/2014/chart" uri="{C3380CC4-5D6E-409C-BE32-E72D297353CC}">
              <c16:uniqueId val="{00000001-437D-441E-8CA1-A3C31C8FEFD5}"/>
            </c:ext>
          </c:extLst>
        </c:ser>
        <c:ser>
          <c:idx val="1"/>
          <c:order val="1"/>
          <c:tx>
            <c:v>USHE Projections</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5"/>
            <c:dispRSqr val="0"/>
            <c:dispEq val="0"/>
          </c:trendline>
          <c:xVal>
            <c:numRef>
              <c:f>'College Enrollment Projections'!$AI$37:$AI$40</c:f>
              <c:numCache>
                <c:formatCode>General</c:formatCode>
                <c:ptCount val="4"/>
                <c:pt idx="0">
                  <c:v>2025</c:v>
                </c:pt>
                <c:pt idx="1">
                  <c:v>2026</c:v>
                </c:pt>
                <c:pt idx="2">
                  <c:v>2027</c:v>
                </c:pt>
                <c:pt idx="3">
                  <c:v>2028</c:v>
                </c:pt>
              </c:numCache>
            </c:numRef>
          </c:xVal>
          <c:yVal>
            <c:numRef>
              <c:f>'College Enrollment Projections'!$AJ$37:$AJ$40</c:f>
              <c:numCache>
                <c:formatCode>#,##0</c:formatCode>
                <c:ptCount val="4"/>
                <c:pt idx="0">
                  <c:v>36873</c:v>
                </c:pt>
                <c:pt idx="1">
                  <c:v>37086</c:v>
                </c:pt>
                <c:pt idx="2">
                  <c:v>37266</c:v>
                </c:pt>
                <c:pt idx="3">
                  <c:v>37324</c:v>
                </c:pt>
              </c:numCache>
            </c:numRef>
          </c:yVal>
          <c:smooth val="0"/>
          <c:extLst>
            <c:ext xmlns:c16="http://schemas.microsoft.com/office/drawing/2014/chart" uri="{C3380CC4-5D6E-409C-BE32-E72D297353CC}">
              <c16:uniqueId val="{00000003-437D-441E-8CA1-A3C31C8FEFD5}"/>
            </c:ext>
          </c:extLst>
        </c:ser>
        <c:ser>
          <c:idx val="3"/>
          <c:order val="2"/>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Projections'!$AJ$31:$AJ$40</c:f>
              <c:numCache>
                <c:formatCode>#,##0</c:formatCode>
                <c:ptCount val="10"/>
                <c:pt idx="0">
                  <c:v>32852</c:v>
                </c:pt>
                <c:pt idx="1">
                  <c:v>33081</c:v>
                </c:pt>
                <c:pt idx="2">
                  <c:v>34464</c:v>
                </c:pt>
                <c:pt idx="3">
                  <c:v>34734</c:v>
                </c:pt>
                <c:pt idx="4">
                  <c:v>35260</c:v>
                </c:pt>
                <c:pt idx="5">
                  <c:v>36571</c:v>
                </c:pt>
                <c:pt idx="6">
                  <c:v>36873</c:v>
                </c:pt>
                <c:pt idx="7">
                  <c:v>37086</c:v>
                </c:pt>
                <c:pt idx="8">
                  <c:v>37266</c:v>
                </c:pt>
                <c:pt idx="9">
                  <c:v>37324</c:v>
                </c:pt>
              </c:numCache>
            </c:numRef>
          </c:yVal>
          <c:smooth val="0"/>
          <c:extLst>
            <c:ext xmlns:c16="http://schemas.microsoft.com/office/drawing/2014/chart" uri="{C3380CC4-5D6E-409C-BE32-E72D297353CC}">
              <c16:uniqueId val="{00000005-437D-441E-8CA1-A3C31C8FEFD5}"/>
            </c:ext>
          </c:extLst>
        </c:ser>
        <c:ser>
          <c:idx val="5"/>
          <c:order val="3"/>
          <c:tx>
            <c:v>2024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Projections'!$AI$73</c:f>
              <c:numCache>
                <c:formatCode>General</c:formatCode>
                <c:ptCount val="1"/>
                <c:pt idx="0">
                  <c:v>2050</c:v>
                </c:pt>
              </c:numCache>
            </c:numRef>
          </c:xVal>
          <c:yVal>
            <c:numRef>
              <c:f>'College Enrollment Projections'!$AJ$73</c:f>
              <c:numCache>
                <c:formatCode>#,##0</c:formatCode>
                <c:ptCount val="1"/>
                <c:pt idx="0">
                  <c:v>43000</c:v>
                </c:pt>
              </c:numCache>
            </c:numRef>
          </c:yVal>
          <c:smooth val="0"/>
          <c:extLst>
            <c:ext xmlns:c16="http://schemas.microsoft.com/office/drawing/2014/chart" uri="{C3380CC4-5D6E-409C-BE32-E72D297353CC}">
              <c16:uniqueId val="{00000004-CDF1-422C-A052-2192D1AF5A2B}"/>
            </c:ext>
          </c:extLst>
        </c:ser>
        <c:ser>
          <c:idx val="4"/>
          <c:order val="4"/>
          <c:tx>
            <c:v>2027 RTP</c:v>
          </c:tx>
          <c:spPr>
            <a:ln w="25400" cap="rnd">
              <a:noFill/>
              <a:round/>
            </a:ln>
            <a:effectLst/>
          </c:spPr>
          <c:marker>
            <c:symbol val="circle"/>
            <c:size val="5"/>
            <c:spPr>
              <a:solidFill>
                <a:srgbClr val="00B050"/>
              </a:solidFill>
              <a:ln w="9525">
                <a:noFill/>
              </a:ln>
              <a:effectLst/>
            </c:spPr>
          </c:marker>
          <c:xVal>
            <c:numRef>
              <c:f>'College Enrollment Projections'!$AI$41:$AI$72</c:f>
              <c:numCache>
                <c:formatCode>General</c:formatCode>
                <c:ptCount val="3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pt idx="22">
                  <c:v>2051</c:v>
                </c:pt>
                <c:pt idx="23">
                  <c:v>2052</c:v>
                </c:pt>
                <c:pt idx="24">
                  <c:v>2053</c:v>
                </c:pt>
                <c:pt idx="25">
                  <c:v>2054</c:v>
                </c:pt>
                <c:pt idx="26">
                  <c:v>2055</c:v>
                </c:pt>
                <c:pt idx="27">
                  <c:v>2056</c:v>
                </c:pt>
                <c:pt idx="28">
                  <c:v>2057</c:v>
                </c:pt>
                <c:pt idx="29">
                  <c:v>2058</c:v>
                </c:pt>
                <c:pt idx="30">
                  <c:v>2059</c:v>
                </c:pt>
                <c:pt idx="31">
                  <c:v>2060</c:v>
                </c:pt>
              </c:numCache>
            </c:numRef>
          </c:xVal>
          <c:yVal>
            <c:numRef>
              <c:f>'College Enrollment Projections'!$AJ$41:$AJ$72</c:f>
              <c:numCache>
                <c:formatCode>#,##0</c:formatCode>
                <c:ptCount val="32"/>
                <c:pt idx="0">
                  <c:v>37626</c:v>
                </c:pt>
                <c:pt idx="1">
                  <c:v>37928</c:v>
                </c:pt>
                <c:pt idx="2">
                  <c:v>38230</c:v>
                </c:pt>
                <c:pt idx="3">
                  <c:v>38532</c:v>
                </c:pt>
                <c:pt idx="4">
                  <c:v>38834</c:v>
                </c:pt>
                <c:pt idx="5">
                  <c:v>39136</c:v>
                </c:pt>
                <c:pt idx="6">
                  <c:v>39438</c:v>
                </c:pt>
                <c:pt idx="7">
                  <c:v>39740</c:v>
                </c:pt>
                <c:pt idx="8">
                  <c:v>40043</c:v>
                </c:pt>
                <c:pt idx="9">
                  <c:v>40345</c:v>
                </c:pt>
                <c:pt idx="10">
                  <c:v>40648</c:v>
                </c:pt>
                <c:pt idx="11">
                  <c:v>40950</c:v>
                </c:pt>
                <c:pt idx="12">
                  <c:v>41253</c:v>
                </c:pt>
                <c:pt idx="13">
                  <c:v>41555</c:v>
                </c:pt>
                <c:pt idx="14">
                  <c:v>41858</c:v>
                </c:pt>
                <c:pt idx="15">
                  <c:v>42160</c:v>
                </c:pt>
                <c:pt idx="16">
                  <c:v>42463</c:v>
                </c:pt>
                <c:pt idx="17">
                  <c:v>42765</c:v>
                </c:pt>
                <c:pt idx="18">
                  <c:v>43068</c:v>
                </c:pt>
                <c:pt idx="19">
                  <c:v>43370</c:v>
                </c:pt>
                <c:pt idx="20">
                  <c:v>43673</c:v>
                </c:pt>
                <c:pt idx="21">
                  <c:v>43975</c:v>
                </c:pt>
                <c:pt idx="22">
                  <c:v>44278</c:v>
                </c:pt>
                <c:pt idx="23">
                  <c:v>44580</c:v>
                </c:pt>
                <c:pt idx="24">
                  <c:v>44883</c:v>
                </c:pt>
                <c:pt idx="25">
                  <c:v>45185</c:v>
                </c:pt>
                <c:pt idx="26">
                  <c:v>45488</c:v>
                </c:pt>
                <c:pt idx="27">
                  <c:v>45790</c:v>
                </c:pt>
                <c:pt idx="28">
                  <c:v>46093</c:v>
                </c:pt>
                <c:pt idx="29">
                  <c:v>46395</c:v>
                </c:pt>
                <c:pt idx="30">
                  <c:v>46698</c:v>
                </c:pt>
                <c:pt idx="31">
                  <c:v>47000</c:v>
                </c:pt>
              </c:numCache>
            </c:numRef>
          </c:yVal>
          <c:smooth val="0"/>
          <c:extLst>
            <c:ext xmlns:c16="http://schemas.microsoft.com/office/drawing/2014/chart" uri="{C3380CC4-5D6E-409C-BE32-E72D297353CC}">
              <c16:uniqueId val="{00000003-8291-4C9C-9FB1-308A80325282}"/>
            </c:ext>
          </c:extLst>
        </c:ser>
        <c:dLbls>
          <c:showLegendKey val="0"/>
          <c:showVal val="0"/>
          <c:showCatName val="0"/>
          <c:showSerName val="0"/>
          <c:showPercent val="0"/>
          <c:showBubbleSize val="0"/>
        </c:dLbls>
        <c:axId val="524457488"/>
        <c:axId val="524457096"/>
        <c:extLst>
          <c:ext xmlns:c15="http://schemas.microsoft.com/office/drawing/2012/chart" uri="{02D57815-91ED-43cb-92C2-25804820EDAC}">
            <c15:filteredScatterSeries>
              <c15:ser>
                <c:idx val="2"/>
                <c:order val="5"/>
                <c:tx>
                  <c:v>2019 RTP Target</c:v>
                </c:tx>
                <c:spPr>
                  <a:ln w="25400" cap="rnd">
                    <a:noFill/>
                    <a:round/>
                  </a:ln>
                  <a:effectLst/>
                </c:spPr>
                <c:marker>
                  <c:symbol val="circle"/>
                  <c:size val="8"/>
                  <c:spPr>
                    <a:solidFill>
                      <a:schemeClr val="accent3"/>
                    </a:solidFill>
                    <a:ln w="9525">
                      <a:solidFill>
                        <a:schemeClr val="accent3"/>
                      </a:solidFill>
                    </a:ln>
                    <a:effectLst/>
                  </c:spPr>
                </c:marker>
                <c:xVal>
                  <c:numRef>
                    <c:extLst>
                      <c:ext uri="{02D57815-91ED-43cb-92C2-25804820EDAC}">
                        <c15:formulaRef>
                          <c15:sqref>'College Enrollment Projections'!$AI$74</c15:sqref>
                        </c15:formulaRef>
                      </c:ext>
                    </c:extLst>
                    <c:numCache>
                      <c:formatCode>General</c:formatCode>
                      <c:ptCount val="1"/>
                      <c:pt idx="0">
                        <c:v>2050</c:v>
                      </c:pt>
                    </c:numCache>
                  </c:numRef>
                </c:xVal>
                <c:yVal>
                  <c:numRef>
                    <c:extLst>
                      <c:ext uri="{02D57815-91ED-43cb-92C2-25804820EDAC}">
                        <c15:formulaRef>
                          <c15:sqref>'College Enrollment Projections'!$AJ$74</c15:sqref>
                        </c15:formulaRef>
                      </c:ext>
                    </c:extLst>
                    <c:numCache>
                      <c:formatCode>#,##0</c:formatCode>
                      <c:ptCount val="1"/>
                      <c:pt idx="0">
                        <c:v>42000</c:v>
                      </c:pt>
                    </c:numCache>
                  </c:numRef>
                </c:yVal>
                <c:smooth val="0"/>
                <c:extLst>
                  <c:ext xmlns:c16="http://schemas.microsoft.com/office/drawing/2014/chart" uri="{C3380CC4-5D6E-409C-BE32-E72D297353CC}">
                    <c16:uniqueId val="{00000006-437D-441E-8CA1-A3C31C8FEFD5}"/>
                  </c:ext>
                </c:extLst>
              </c15:ser>
            </c15:filteredScatterSeries>
          </c:ext>
        </c:extLst>
      </c:scatterChart>
      <c:valAx>
        <c:axId val="524457488"/>
        <c:scaling>
          <c:orientation val="minMax"/>
          <c:max val="206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7096"/>
        <c:crosses val="autoZero"/>
        <c:crossBetween val="midCat"/>
      </c:valAx>
      <c:valAx>
        <c:axId val="524457096"/>
        <c:scaling>
          <c:orientation val="minMax"/>
          <c:max val="6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7488"/>
        <c:crosses val="autoZero"/>
        <c:crossBetween val="midCat"/>
      </c:valAx>
      <c:spPr>
        <a:noFill/>
        <a:ln>
          <a:noFill/>
        </a:ln>
        <a:effectLst/>
      </c:spPr>
    </c:plotArea>
    <c:legend>
      <c:legendPos val="t"/>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xVal>
          <c:yVal>
            <c:numRef>
              <c:f>'College Enrollment Projections'!$AK$2:$AK$36</c:f>
              <c:numCache>
                <c:formatCode>#,##0</c:formatCode>
                <c:ptCount val="35"/>
                <c:pt idx="0">
                  <c:v>13449</c:v>
                </c:pt>
                <c:pt idx="1">
                  <c:v>14495</c:v>
                </c:pt>
                <c:pt idx="2">
                  <c:v>14993</c:v>
                </c:pt>
                <c:pt idx="3">
                  <c:v>14447</c:v>
                </c:pt>
                <c:pt idx="4">
                  <c:v>14230</c:v>
                </c:pt>
                <c:pt idx="5">
                  <c:v>13996</c:v>
                </c:pt>
                <c:pt idx="6">
                  <c:v>13906</c:v>
                </c:pt>
                <c:pt idx="7">
                  <c:v>14613</c:v>
                </c:pt>
                <c:pt idx="8">
                  <c:v>13900</c:v>
                </c:pt>
                <c:pt idx="9">
                  <c:v>14984</c:v>
                </c:pt>
                <c:pt idx="10">
                  <c:v>16050</c:v>
                </c:pt>
                <c:pt idx="11">
                  <c:v>16873</c:v>
                </c:pt>
                <c:pt idx="12">
                  <c:v>18059</c:v>
                </c:pt>
                <c:pt idx="13">
                  <c:v>18821</c:v>
                </c:pt>
                <c:pt idx="14">
                  <c:v>18498</c:v>
                </c:pt>
                <c:pt idx="15">
                  <c:v>18142</c:v>
                </c:pt>
                <c:pt idx="16">
                  <c:v>18303</c:v>
                </c:pt>
                <c:pt idx="17">
                  <c:v>18081</c:v>
                </c:pt>
                <c:pt idx="18">
                  <c:v>21388</c:v>
                </c:pt>
                <c:pt idx="19">
                  <c:v>23001</c:v>
                </c:pt>
                <c:pt idx="20">
                  <c:v>24048</c:v>
                </c:pt>
                <c:pt idx="21">
                  <c:v>25301</c:v>
                </c:pt>
                <c:pt idx="22">
                  <c:v>26532</c:v>
                </c:pt>
                <c:pt idx="23">
                  <c:v>25155</c:v>
                </c:pt>
                <c:pt idx="24">
                  <c:v>25954</c:v>
                </c:pt>
                <c:pt idx="25">
                  <c:v>25955</c:v>
                </c:pt>
                <c:pt idx="26">
                  <c:v>26809</c:v>
                </c:pt>
                <c:pt idx="27">
                  <c:v>27949</c:v>
                </c:pt>
                <c:pt idx="28">
                  <c:v>28247</c:v>
                </c:pt>
                <c:pt idx="29">
                  <c:v>29644</c:v>
                </c:pt>
                <c:pt idx="30">
                  <c:v>29596</c:v>
                </c:pt>
                <c:pt idx="31">
                  <c:v>29774</c:v>
                </c:pt>
                <c:pt idx="32">
                  <c:v>29914</c:v>
                </c:pt>
                <c:pt idx="33">
                  <c:v>30536</c:v>
                </c:pt>
                <c:pt idx="34">
                  <c:v>31784</c:v>
                </c:pt>
              </c:numCache>
            </c:numRef>
          </c:yVal>
          <c:smooth val="0"/>
          <c:extLst>
            <c:ext xmlns:c16="http://schemas.microsoft.com/office/drawing/2014/chart" uri="{C3380CC4-5D6E-409C-BE32-E72D297353CC}">
              <c16:uniqueId val="{00000001-262C-4D1B-BB8B-E4F7AB8B87B9}"/>
            </c:ext>
          </c:extLst>
        </c:ser>
        <c:ser>
          <c:idx val="1"/>
          <c:order val="1"/>
          <c:tx>
            <c:v>USHE Projections</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5"/>
            <c:dispRSqr val="0"/>
            <c:dispEq val="0"/>
          </c:trendline>
          <c:xVal>
            <c:numRef>
              <c:f>'College Enrollment Projections'!$AI$37:$AI$40</c:f>
              <c:numCache>
                <c:formatCode>General</c:formatCode>
                <c:ptCount val="4"/>
                <c:pt idx="0">
                  <c:v>2025</c:v>
                </c:pt>
                <c:pt idx="1">
                  <c:v>2026</c:v>
                </c:pt>
                <c:pt idx="2">
                  <c:v>2027</c:v>
                </c:pt>
                <c:pt idx="3">
                  <c:v>2028</c:v>
                </c:pt>
              </c:numCache>
            </c:numRef>
          </c:xVal>
          <c:yVal>
            <c:numRef>
              <c:f>'College Enrollment Projections'!$AK$37:$AK$40</c:f>
              <c:numCache>
                <c:formatCode>#,##0</c:formatCode>
                <c:ptCount val="4"/>
                <c:pt idx="0">
                  <c:v>32055</c:v>
                </c:pt>
                <c:pt idx="1">
                  <c:v>32380</c:v>
                </c:pt>
                <c:pt idx="2">
                  <c:v>32709</c:v>
                </c:pt>
                <c:pt idx="3">
                  <c:v>33073</c:v>
                </c:pt>
              </c:numCache>
            </c:numRef>
          </c:yVal>
          <c:smooth val="0"/>
          <c:extLst>
            <c:ext xmlns:c16="http://schemas.microsoft.com/office/drawing/2014/chart" uri="{C3380CC4-5D6E-409C-BE32-E72D297353CC}">
              <c16:uniqueId val="{00000003-262C-4D1B-BB8B-E4F7AB8B87B9}"/>
            </c:ext>
          </c:extLst>
        </c:ser>
        <c:ser>
          <c:idx val="3"/>
          <c:order val="2"/>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Projections'!$AK$31:$AK$40</c:f>
              <c:numCache>
                <c:formatCode>#,##0</c:formatCode>
                <c:ptCount val="10"/>
                <c:pt idx="0">
                  <c:v>29644</c:v>
                </c:pt>
                <c:pt idx="1">
                  <c:v>29596</c:v>
                </c:pt>
                <c:pt idx="2">
                  <c:v>29774</c:v>
                </c:pt>
                <c:pt idx="3">
                  <c:v>29914</c:v>
                </c:pt>
                <c:pt idx="4">
                  <c:v>30536</c:v>
                </c:pt>
                <c:pt idx="5">
                  <c:v>31784</c:v>
                </c:pt>
                <c:pt idx="6">
                  <c:v>32055</c:v>
                </c:pt>
                <c:pt idx="7">
                  <c:v>32380</c:v>
                </c:pt>
                <c:pt idx="8">
                  <c:v>32709</c:v>
                </c:pt>
                <c:pt idx="9">
                  <c:v>33073</c:v>
                </c:pt>
              </c:numCache>
            </c:numRef>
          </c:yVal>
          <c:smooth val="0"/>
          <c:extLst>
            <c:ext xmlns:c16="http://schemas.microsoft.com/office/drawing/2014/chart" uri="{C3380CC4-5D6E-409C-BE32-E72D297353CC}">
              <c16:uniqueId val="{00000005-262C-4D1B-BB8B-E4F7AB8B87B9}"/>
            </c:ext>
          </c:extLst>
        </c:ser>
        <c:ser>
          <c:idx val="2"/>
          <c:order val="3"/>
          <c:tx>
            <c:v>2024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Projections'!$AI$73</c:f>
              <c:numCache>
                <c:formatCode>General</c:formatCode>
                <c:ptCount val="1"/>
                <c:pt idx="0">
                  <c:v>2050</c:v>
                </c:pt>
              </c:numCache>
            </c:numRef>
          </c:xVal>
          <c:yVal>
            <c:numRef>
              <c:f>'College Enrollment Projections'!$AK$73</c:f>
              <c:numCache>
                <c:formatCode>#,##0</c:formatCode>
                <c:ptCount val="1"/>
                <c:pt idx="0">
                  <c:v>43000</c:v>
                </c:pt>
              </c:numCache>
            </c:numRef>
          </c:yVal>
          <c:smooth val="0"/>
          <c:extLst>
            <c:ext xmlns:c16="http://schemas.microsoft.com/office/drawing/2014/chart" uri="{C3380CC4-5D6E-409C-BE32-E72D297353CC}">
              <c16:uniqueId val="{00000006-262C-4D1B-BB8B-E4F7AB8B87B9}"/>
            </c:ext>
          </c:extLst>
        </c:ser>
        <c:ser>
          <c:idx val="4"/>
          <c:order val="4"/>
          <c:tx>
            <c:v>2027 RTP</c:v>
          </c:tx>
          <c:spPr>
            <a:ln w="25400" cap="rnd">
              <a:noFill/>
              <a:round/>
            </a:ln>
            <a:effectLst/>
          </c:spPr>
          <c:marker>
            <c:symbol val="circle"/>
            <c:size val="5"/>
            <c:spPr>
              <a:solidFill>
                <a:srgbClr val="00B050"/>
              </a:solidFill>
              <a:ln w="9525">
                <a:solidFill>
                  <a:schemeClr val="accent5"/>
                </a:solidFill>
              </a:ln>
              <a:effectLst/>
            </c:spPr>
          </c:marker>
          <c:xVal>
            <c:numRef>
              <c:f>'College Enrollment Projections'!$AI$41:$AI$72</c:f>
              <c:numCache>
                <c:formatCode>General</c:formatCode>
                <c:ptCount val="3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pt idx="22">
                  <c:v>2051</c:v>
                </c:pt>
                <c:pt idx="23">
                  <c:v>2052</c:v>
                </c:pt>
                <c:pt idx="24">
                  <c:v>2053</c:v>
                </c:pt>
                <c:pt idx="25">
                  <c:v>2054</c:v>
                </c:pt>
                <c:pt idx="26">
                  <c:v>2055</c:v>
                </c:pt>
                <c:pt idx="27">
                  <c:v>2056</c:v>
                </c:pt>
                <c:pt idx="28">
                  <c:v>2057</c:v>
                </c:pt>
                <c:pt idx="29">
                  <c:v>2058</c:v>
                </c:pt>
                <c:pt idx="30">
                  <c:v>2059</c:v>
                </c:pt>
                <c:pt idx="31">
                  <c:v>2060</c:v>
                </c:pt>
              </c:numCache>
            </c:numRef>
          </c:xVal>
          <c:yVal>
            <c:numRef>
              <c:f>'College Enrollment Projections'!$AK$41:$AK$72</c:f>
              <c:numCache>
                <c:formatCode>#,##0</c:formatCode>
                <c:ptCount val="32"/>
                <c:pt idx="0">
                  <c:v>33539</c:v>
                </c:pt>
                <c:pt idx="1">
                  <c:v>34005</c:v>
                </c:pt>
                <c:pt idx="2">
                  <c:v>34472</c:v>
                </c:pt>
                <c:pt idx="3">
                  <c:v>34938</c:v>
                </c:pt>
                <c:pt idx="4">
                  <c:v>35405</c:v>
                </c:pt>
                <c:pt idx="5">
                  <c:v>35871</c:v>
                </c:pt>
                <c:pt idx="6">
                  <c:v>36338</c:v>
                </c:pt>
                <c:pt idx="7">
                  <c:v>36804</c:v>
                </c:pt>
                <c:pt idx="8">
                  <c:v>37271</c:v>
                </c:pt>
                <c:pt idx="9">
                  <c:v>37737</c:v>
                </c:pt>
                <c:pt idx="10">
                  <c:v>38204</c:v>
                </c:pt>
                <c:pt idx="11">
                  <c:v>38670</c:v>
                </c:pt>
                <c:pt idx="12">
                  <c:v>39137</c:v>
                </c:pt>
                <c:pt idx="13">
                  <c:v>39603</c:v>
                </c:pt>
                <c:pt idx="14">
                  <c:v>40070</c:v>
                </c:pt>
                <c:pt idx="15">
                  <c:v>40536</c:v>
                </c:pt>
                <c:pt idx="16">
                  <c:v>41003</c:v>
                </c:pt>
                <c:pt idx="17">
                  <c:v>41469</c:v>
                </c:pt>
                <c:pt idx="18">
                  <c:v>41936</c:v>
                </c:pt>
                <c:pt idx="19">
                  <c:v>42402</c:v>
                </c:pt>
                <c:pt idx="20">
                  <c:v>42869</c:v>
                </c:pt>
                <c:pt idx="21">
                  <c:v>43335</c:v>
                </c:pt>
                <c:pt idx="22">
                  <c:v>43802</c:v>
                </c:pt>
                <c:pt idx="23">
                  <c:v>44268</c:v>
                </c:pt>
                <c:pt idx="24">
                  <c:v>44735</c:v>
                </c:pt>
                <c:pt idx="25">
                  <c:v>45201</c:v>
                </c:pt>
                <c:pt idx="26">
                  <c:v>45668</c:v>
                </c:pt>
                <c:pt idx="27">
                  <c:v>46134</c:v>
                </c:pt>
                <c:pt idx="28">
                  <c:v>46601</c:v>
                </c:pt>
                <c:pt idx="29">
                  <c:v>47067</c:v>
                </c:pt>
                <c:pt idx="30">
                  <c:v>47534</c:v>
                </c:pt>
                <c:pt idx="31">
                  <c:v>48000</c:v>
                </c:pt>
              </c:numCache>
            </c:numRef>
          </c:yVal>
          <c:smooth val="0"/>
          <c:extLst>
            <c:ext xmlns:c16="http://schemas.microsoft.com/office/drawing/2014/chart" uri="{C3380CC4-5D6E-409C-BE32-E72D297353CC}">
              <c16:uniqueId val="{00000003-7773-4901-91E0-F1EA12BDB5F6}"/>
            </c:ext>
          </c:extLst>
        </c:ser>
        <c:dLbls>
          <c:showLegendKey val="0"/>
          <c:showVal val="0"/>
          <c:showCatName val="0"/>
          <c:showSerName val="0"/>
          <c:showPercent val="0"/>
          <c:showBubbleSize val="0"/>
        </c:dLbls>
        <c:axId val="524457880"/>
        <c:axId val="524458272"/>
      </c:scatterChart>
      <c:valAx>
        <c:axId val="524457880"/>
        <c:scaling>
          <c:orientation val="minMax"/>
          <c:max val="206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8272"/>
        <c:crosses val="autoZero"/>
        <c:crossBetween val="midCat"/>
      </c:valAx>
      <c:valAx>
        <c:axId val="524458272"/>
        <c:scaling>
          <c:orientation val="minMax"/>
          <c:max val="6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7880"/>
        <c:crosses val="autoZero"/>
        <c:crossBetween val="midCat"/>
      </c:valAx>
      <c:spPr>
        <a:noFill/>
        <a:ln>
          <a:noFill/>
        </a:ln>
        <a:effectLst/>
      </c:spPr>
    </c:plotArea>
    <c:legend>
      <c:legendPos val="t"/>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Projections'!$AI$2:$AI$36</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xVal>
          <c:yVal>
            <c:numRef>
              <c:f>'College Enrollment Projections'!$AM$2:$AM$36</c:f>
              <c:numCache>
                <c:formatCode>#,##0</c:formatCode>
                <c:ptCount val="35"/>
                <c:pt idx="0">
                  <c:v>13344</c:v>
                </c:pt>
                <c:pt idx="1">
                  <c:v>15972</c:v>
                </c:pt>
                <c:pt idx="2">
                  <c:v>17766</c:v>
                </c:pt>
                <c:pt idx="3">
                  <c:v>18311</c:v>
                </c:pt>
                <c:pt idx="4">
                  <c:v>19440</c:v>
                </c:pt>
                <c:pt idx="5">
                  <c:v>20834</c:v>
                </c:pt>
                <c:pt idx="6">
                  <c:v>22394</c:v>
                </c:pt>
                <c:pt idx="7">
                  <c:v>24307</c:v>
                </c:pt>
                <c:pt idx="8">
                  <c:v>19754</c:v>
                </c:pt>
                <c:pt idx="9">
                  <c:v>21273</c:v>
                </c:pt>
                <c:pt idx="10">
                  <c:v>21596</c:v>
                </c:pt>
                <c:pt idx="11">
                  <c:v>23701</c:v>
                </c:pt>
                <c:pt idx="12">
                  <c:v>23347</c:v>
                </c:pt>
                <c:pt idx="13">
                  <c:v>24056</c:v>
                </c:pt>
                <c:pt idx="14">
                  <c:v>24725</c:v>
                </c:pt>
                <c:pt idx="15">
                  <c:v>24111</c:v>
                </c:pt>
                <c:pt idx="16">
                  <c:v>24241</c:v>
                </c:pt>
                <c:pt idx="17">
                  <c:v>25235</c:v>
                </c:pt>
                <c:pt idx="18">
                  <c:v>29396</c:v>
                </c:pt>
                <c:pt idx="19">
                  <c:v>34966</c:v>
                </c:pt>
                <c:pt idx="20">
                  <c:v>34654</c:v>
                </c:pt>
                <c:pt idx="21">
                  <c:v>33420</c:v>
                </c:pt>
                <c:pt idx="22">
                  <c:v>29997</c:v>
                </c:pt>
                <c:pt idx="23">
                  <c:v>32003</c:v>
                </c:pt>
                <c:pt idx="24">
                  <c:v>30248</c:v>
                </c:pt>
                <c:pt idx="25">
                  <c:v>29350</c:v>
                </c:pt>
                <c:pt idx="26">
                  <c:v>29901</c:v>
                </c:pt>
                <c:pt idx="27">
                  <c:v>29620</c:v>
                </c:pt>
                <c:pt idx="28">
                  <c:v>29156</c:v>
                </c:pt>
                <c:pt idx="29">
                  <c:v>29517</c:v>
                </c:pt>
                <c:pt idx="30">
                  <c:v>27293</c:v>
                </c:pt>
                <c:pt idx="31">
                  <c:v>27225</c:v>
                </c:pt>
                <c:pt idx="32">
                  <c:v>26300</c:v>
                </c:pt>
                <c:pt idx="33">
                  <c:v>26764</c:v>
                </c:pt>
                <c:pt idx="34">
                  <c:v>32552</c:v>
                </c:pt>
              </c:numCache>
            </c:numRef>
          </c:yVal>
          <c:smooth val="0"/>
          <c:extLst>
            <c:ext xmlns:c16="http://schemas.microsoft.com/office/drawing/2014/chart" uri="{C3380CC4-5D6E-409C-BE32-E72D297353CC}">
              <c16:uniqueId val="{00000001-B831-4F91-A79F-255456EFB6C8}"/>
            </c:ext>
          </c:extLst>
        </c:ser>
        <c:ser>
          <c:idx val="1"/>
          <c:order val="1"/>
          <c:tx>
            <c:v>USHE Projections</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5"/>
            <c:dispRSqr val="0"/>
            <c:dispEq val="0"/>
          </c:trendline>
          <c:xVal>
            <c:numRef>
              <c:f>'College Enrollment Projections'!$AI$37:$AI$40</c:f>
              <c:numCache>
                <c:formatCode>General</c:formatCode>
                <c:ptCount val="4"/>
                <c:pt idx="0">
                  <c:v>2025</c:v>
                </c:pt>
                <c:pt idx="1">
                  <c:v>2026</c:v>
                </c:pt>
                <c:pt idx="2">
                  <c:v>2027</c:v>
                </c:pt>
                <c:pt idx="3">
                  <c:v>2028</c:v>
                </c:pt>
              </c:numCache>
            </c:numRef>
          </c:xVal>
          <c:yVal>
            <c:numRef>
              <c:f>'College Enrollment Projections'!$AM$37:$AM$40</c:f>
              <c:numCache>
                <c:formatCode>#,##0</c:formatCode>
                <c:ptCount val="4"/>
                <c:pt idx="0">
                  <c:v>32557</c:v>
                </c:pt>
                <c:pt idx="1">
                  <c:v>32490</c:v>
                </c:pt>
                <c:pt idx="2">
                  <c:v>32395</c:v>
                </c:pt>
                <c:pt idx="3">
                  <c:v>32219</c:v>
                </c:pt>
              </c:numCache>
            </c:numRef>
          </c:yVal>
          <c:smooth val="0"/>
          <c:extLst>
            <c:ext xmlns:c16="http://schemas.microsoft.com/office/drawing/2014/chart" uri="{C3380CC4-5D6E-409C-BE32-E72D297353CC}">
              <c16:uniqueId val="{00000003-B831-4F91-A79F-255456EFB6C8}"/>
            </c:ext>
          </c:extLst>
        </c:ser>
        <c:ser>
          <c:idx val="3"/>
          <c:order val="2"/>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Projections'!$AM$31:$AM$40</c:f>
              <c:numCache>
                <c:formatCode>#,##0</c:formatCode>
                <c:ptCount val="10"/>
                <c:pt idx="0">
                  <c:v>29517</c:v>
                </c:pt>
                <c:pt idx="1">
                  <c:v>27293</c:v>
                </c:pt>
                <c:pt idx="2">
                  <c:v>27225</c:v>
                </c:pt>
                <c:pt idx="3">
                  <c:v>26300</c:v>
                </c:pt>
                <c:pt idx="4">
                  <c:v>26764</c:v>
                </c:pt>
                <c:pt idx="5">
                  <c:v>32552</c:v>
                </c:pt>
                <c:pt idx="6">
                  <c:v>32557</c:v>
                </c:pt>
                <c:pt idx="7">
                  <c:v>32490</c:v>
                </c:pt>
                <c:pt idx="8">
                  <c:v>32395</c:v>
                </c:pt>
                <c:pt idx="9">
                  <c:v>32219</c:v>
                </c:pt>
              </c:numCache>
            </c:numRef>
          </c:yVal>
          <c:smooth val="0"/>
          <c:extLst>
            <c:ext xmlns:c16="http://schemas.microsoft.com/office/drawing/2014/chart" uri="{C3380CC4-5D6E-409C-BE32-E72D297353CC}">
              <c16:uniqueId val="{00000005-B831-4F91-A79F-255456EFB6C8}"/>
            </c:ext>
          </c:extLst>
        </c:ser>
        <c:ser>
          <c:idx val="2"/>
          <c:order val="3"/>
          <c:tx>
            <c:v>2024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Projections'!$AI$73</c:f>
              <c:numCache>
                <c:formatCode>General</c:formatCode>
                <c:ptCount val="1"/>
                <c:pt idx="0">
                  <c:v>2050</c:v>
                </c:pt>
              </c:numCache>
            </c:numRef>
          </c:xVal>
          <c:yVal>
            <c:numRef>
              <c:f>'College Enrollment Projections'!$AM$73</c:f>
              <c:numCache>
                <c:formatCode>#,##0</c:formatCode>
                <c:ptCount val="1"/>
                <c:pt idx="0">
                  <c:v>40000</c:v>
                </c:pt>
              </c:numCache>
            </c:numRef>
          </c:yVal>
          <c:smooth val="0"/>
          <c:extLst>
            <c:ext xmlns:c16="http://schemas.microsoft.com/office/drawing/2014/chart" uri="{C3380CC4-5D6E-409C-BE32-E72D297353CC}">
              <c16:uniqueId val="{00000006-B831-4F91-A79F-255456EFB6C8}"/>
            </c:ext>
          </c:extLst>
        </c:ser>
        <c:ser>
          <c:idx val="4"/>
          <c:order val="4"/>
          <c:tx>
            <c:v>2027 RTP</c:v>
          </c:tx>
          <c:spPr>
            <a:ln w="25400" cap="rnd">
              <a:noFill/>
              <a:round/>
            </a:ln>
            <a:effectLst/>
          </c:spPr>
          <c:marker>
            <c:symbol val="circle"/>
            <c:size val="5"/>
            <c:spPr>
              <a:solidFill>
                <a:srgbClr val="00B050"/>
              </a:solidFill>
              <a:ln w="9525">
                <a:solidFill>
                  <a:srgbClr val="00B050"/>
                </a:solidFill>
              </a:ln>
              <a:effectLst/>
            </c:spPr>
          </c:marker>
          <c:xVal>
            <c:numRef>
              <c:f>'College Enrollment Projections'!$AI$41:$AI$72</c:f>
              <c:numCache>
                <c:formatCode>General</c:formatCode>
                <c:ptCount val="3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pt idx="22">
                  <c:v>2051</c:v>
                </c:pt>
                <c:pt idx="23">
                  <c:v>2052</c:v>
                </c:pt>
                <c:pt idx="24">
                  <c:v>2053</c:v>
                </c:pt>
                <c:pt idx="25">
                  <c:v>2054</c:v>
                </c:pt>
                <c:pt idx="26">
                  <c:v>2055</c:v>
                </c:pt>
                <c:pt idx="27">
                  <c:v>2056</c:v>
                </c:pt>
                <c:pt idx="28">
                  <c:v>2057</c:v>
                </c:pt>
                <c:pt idx="29">
                  <c:v>2058</c:v>
                </c:pt>
                <c:pt idx="30">
                  <c:v>2059</c:v>
                </c:pt>
                <c:pt idx="31">
                  <c:v>2060</c:v>
                </c:pt>
              </c:numCache>
            </c:numRef>
          </c:xVal>
          <c:yVal>
            <c:numRef>
              <c:f>'College Enrollment Projections'!$AM$41:$AM$72</c:f>
              <c:numCache>
                <c:formatCode>#,##0</c:formatCode>
                <c:ptCount val="32"/>
                <c:pt idx="0">
                  <c:v>32556</c:v>
                </c:pt>
                <c:pt idx="1">
                  <c:v>32893</c:v>
                </c:pt>
                <c:pt idx="2">
                  <c:v>33230</c:v>
                </c:pt>
                <c:pt idx="3">
                  <c:v>33567</c:v>
                </c:pt>
                <c:pt idx="4">
                  <c:v>33904</c:v>
                </c:pt>
                <c:pt idx="5">
                  <c:v>34241</c:v>
                </c:pt>
                <c:pt idx="6">
                  <c:v>34578</c:v>
                </c:pt>
                <c:pt idx="7">
                  <c:v>34915</c:v>
                </c:pt>
                <c:pt idx="8">
                  <c:v>35252</c:v>
                </c:pt>
                <c:pt idx="9">
                  <c:v>35589</c:v>
                </c:pt>
                <c:pt idx="10">
                  <c:v>35926</c:v>
                </c:pt>
                <c:pt idx="11">
                  <c:v>36263</c:v>
                </c:pt>
                <c:pt idx="12">
                  <c:v>36600</c:v>
                </c:pt>
                <c:pt idx="13">
                  <c:v>36937</c:v>
                </c:pt>
                <c:pt idx="14">
                  <c:v>37274</c:v>
                </c:pt>
                <c:pt idx="15">
                  <c:v>37611</c:v>
                </c:pt>
                <c:pt idx="16">
                  <c:v>37948</c:v>
                </c:pt>
                <c:pt idx="17">
                  <c:v>38285</c:v>
                </c:pt>
                <c:pt idx="18">
                  <c:v>38622</c:v>
                </c:pt>
                <c:pt idx="19">
                  <c:v>38959</c:v>
                </c:pt>
                <c:pt idx="20">
                  <c:v>39296</c:v>
                </c:pt>
                <c:pt idx="21">
                  <c:v>39633</c:v>
                </c:pt>
                <c:pt idx="22">
                  <c:v>39970</c:v>
                </c:pt>
                <c:pt idx="23">
                  <c:v>40307</c:v>
                </c:pt>
                <c:pt idx="24">
                  <c:v>40644</c:v>
                </c:pt>
                <c:pt idx="25">
                  <c:v>40981</c:v>
                </c:pt>
                <c:pt idx="26">
                  <c:v>41318</c:v>
                </c:pt>
                <c:pt idx="27">
                  <c:v>41654</c:v>
                </c:pt>
                <c:pt idx="28">
                  <c:v>41991</c:v>
                </c:pt>
                <c:pt idx="29">
                  <c:v>42327</c:v>
                </c:pt>
                <c:pt idx="30">
                  <c:v>42664</c:v>
                </c:pt>
                <c:pt idx="31">
                  <c:v>43000</c:v>
                </c:pt>
              </c:numCache>
            </c:numRef>
          </c:yVal>
          <c:smooth val="0"/>
          <c:extLst>
            <c:ext xmlns:c16="http://schemas.microsoft.com/office/drawing/2014/chart" uri="{C3380CC4-5D6E-409C-BE32-E72D297353CC}">
              <c16:uniqueId val="{00000004-94A6-487E-A6F0-693E2BB8A9D8}"/>
            </c:ext>
          </c:extLst>
        </c:ser>
        <c:dLbls>
          <c:showLegendKey val="0"/>
          <c:showVal val="0"/>
          <c:showCatName val="0"/>
          <c:showSerName val="0"/>
          <c:showPercent val="0"/>
          <c:showBubbleSize val="0"/>
        </c:dLbls>
        <c:axId val="524456312"/>
        <c:axId val="524454352"/>
      </c:scatterChart>
      <c:valAx>
        <c:axId val="524456312"/>
        <c:scaling>
          <c:orientation val="minMax"/>
          <c:max val="206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4352"/>
        <c:crosses val="autoZero"/>
        <c:crossBetween val="midCat"/>
      </c:valAx>
      <c:valAx>
        <c:axId val="524454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6312"/>
        <c:crosses val="autoZero"/>
        <c:crossBetween val="midCat"/>
      </c:valAx>
      <c:spPr>
        <a:noFill/>
        <a:ln>
          <a:noFill/>
        </a:ln>
        <a:effectLst/>
      </c:spPr>
    </c:plotArea>
    <c:legend>
      <c:legendPos val="t"/>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Projections'!$AI$2:$AI$40</c:f>
              <c:numCache>
                <c:formatCode>General</c:formatCode>
                <c:ptCount val="3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numCache>
            </c:numRef>
          </c:xVal>
          <c:yVal>
            <c:numRef>
              <c:f>'College Enrollment Projections'!$AN$2:$AN$40</c:f>
              <c:numCache>
                <c:formatCode>#,##0</c:formatCode>
                <c:ptCount val="39"/>
                <c:pt idx="0">
                  <c:v>30465</c:v>
                </c:pt>
                <c:pt idx="1">
                  <c:v>31101</c:v>
                </c:pt>
                <c:pt idx="2">
                  <c:v>31108</c:v>
                </c:pt>
                <c:pt idx="3">
                  <c:v>30547</c:v>
                </c:pt>
                <c:pt idx="4">
                  <c:v>30413</c:v>
                </c:pt>
                <c:pt idx="5">
                  <c:v>30465</c:v>
                </c:pt>
                <c:pt idx="6">
                  <c:v>30563</c:v>
                </c:pt>
                <c:pt idx="7">
                  <c:v>31249</c:v>
                </c:pt>
                <c:pt idx="8">
                  <c:v>32202</c:v>
                </c:pt>
                <c:pt idx="9">
                  <c:v>32731</c:v>
                </c:pt>
                <c:pt idx="10">
                  <c:v>32554</c:v>
                </c:pt>
                <c:pt idx="11">
                  <c:v>32771</c:v>
                </c:pt>
                <c:pt idx="12">
                  <c:v>32408</c:v>
                </c:pt>
                <c:pt idx="13">
                  <c:v>33008</c:v>
                </c:pt>
                <c:pt idx="14">
                  <c:v>34347</c:v>
                </c:pt>
                <c:pt idx="15">
                  <c:v>34067</c:v>
                </c:pt>
                <c:pt idx="16">
                  <c:v>34185</c:v>
                </c:pt>
                <c:pt idx="17">
                  <c:v>34174</c:v>
                </c:pt>
                <c:pt idx="18">
                  <c:v>34244</c:v>
                </c:pt>
                <c:pt idx="19">
                  <c:v>34130</c:v>
                </c:pt>
                <c:pt idx="20">
                  <c:v>33841</c:v>
                </c:pt>
                <c:pt idx="21">
                  <c:v>34101</c:v>
                </c:pt>
                <c:pt idx="22">
                  <c:v>34409</c:v>
                </c:pt>
                <c:pt idx="23">
                  <c:v>31123</c:v>
                </c:pt>
                <c:pt idx="24">
                  <c:v>30484</c:v>
                </c:pt>
                <c:pt idx="25">
                  <c:v>33469</c:v>
                </c:pt>
                <c:pt idx="26">
                  <c:v>34240</c:v>
                </c:pt>
                <c:pt idx="27">
                  <c:v>34334</c:v>
                </c:pt>
                <c:pt idx="28">
                  <c:v>34499</c:v>
                </c:pt>
                <c:pt idx="29">
                  <c:v>34318</c:v>
                </c:pt>
                <c:pt idx="30">
                  <c:v>36461</c:v>
                </c:pt>
                <c:pt idx="31">
                  <c:v>34811</c:v>
                </c:pt>
                <c:pt idx="32">
                  <c:v>34464</c:v>
                </c:pt>
                <c:pt idx="33">
                  <c:v>35074</c:v>
                </c:pt>
                <c:pt idx="34">
                  <c:v>36921</c:v>
                </c:pt>
                <c:pt idx="35">
                  <c:v>37477</c:v>
                </c:pt>
                <c:pt idx="36">
                  <c:v>37514</c:v>
                </c:pt>
                <c:pt idx="37">
                  <c:v>37551</c:v>
                </c:pt>
                <c:pt idx="38">
                  <c:v>37588</c:v>
                </c:pt>
              </c:numCache>
            </c:numRef>
          </c:yVal>
          <c:smooth val="0"/>
          <c:extLst>
            <c:ext xmlns:c16="http://schemas.microsoft.com/office/drawing/2014/chart" uri="{C3380CC4-5D6E-409C-BE32-E72D297353CC}">
              <c16:uniqueId val="{00000001-3A74-4781-ACED-B1A98497F406}"/>
            </c:ext>
          </c:extLst>
        </c:ser>
        <c:ser>
          <c:idx val="3"/>
          <c:order val="1"/>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Projections'!$AI$31:$AI$40</c:f>
              <c:numCache>
                <c:formatCode>General</c:formatCode>
                <c:ptCount val="10"/>
                <c:pt idx="0">
                  <c:v>2019</c:v>
                </c:pt>
                <c:pt idx="1">
                  <c:v>2020</c:v>
                </c:pt>
                <c:pt idx="2">
                  <c:v>2021</c:v>
                </c:pt>
                <c:pt idx="3">
                  <c:v>2022</c:v>
                </c:pt>
                <c:pt idx="4">
                  <c:v>2023</c:v>
                </c:pt>
                <c:pt idx="5">
                  <c:v>2024</c:v>
                </c:pt>
                <c:pt idx="6">
                  <c:v>2025</c:v>
                </c:pt>
                <c:pt idx="7">
                  <c:v>2026</c:v>
                </c:pt>
                <c:pt idx="8">
                  <c:v>2027</c:v>
                </c:pt>
                <c:pt idx="9">
                  <c:v>2028</c:v>
                </c:pt>
              </c:numCache>
            </c:numRef>
          </c:xVal>
          <c:yVal>
            <c:numRef>
              <c:f>'College Enrollment Projections'!$AN$31:$AN$40</c:f>
              <c:numCache>
                <c:formatCode>#,##0</c:formatCode>
                <c:ptCount val="10"/>
                <c:pt idx="0">
                  <c:v>34318</c:v>
                </c:pt>
                <c:pt idx="1">
                  <c:v>36461</c:v>
                </c:pt>
                <c:pt idx="2">
                  <c:v>34811</c:v>
                </c:pt>
                <c:pt idx="3">
                  <c:v>34464</c:v>
                </c:pt>
                <c:pt idx="4">
                  <c:v>35074</c:v>
                </c:pt>
                <c:pt idx="5">
                  <c:v>36921</c:v>
                </c:pt>
                <c:pt idx="6">
                  <c:v>37477</c:v>
                </c:pt>
                <c:pt idx="7">
                  <c:v>37514</c:v>
                </c:pt>
                <c:pt idx="8">
                  <c:v>37551</c:v>
                </c:pt>
                <c:pt idx="9">
                  <c:v>37588</c:v>
                </c:pt>
              </c:numCache>
            </c:numRef>
          </c:yVal>
          <c:smooth val="0"/>
          <c:extLst>
            <c:ext xmlns:c16="http://schemas.microsoft.com/office/drawing/2014/chart" uri="{C3380CC4-5D6E-409C-BE32-E72D297353CC}">
              <c16:uniqueId val="{00000005-3A74-4781-ACED-B1A98497F406}"/>
            </c:ext>
          </c:extLst>
        </c:ser>
        <c:ser>
          <c:idx val="4"/>
          <c:order val="2"/>
          <c:tx>
            <c:v>2024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Projections'!$AI$73</c:f>
              <c:numCache>
                <c:formatCode>General</c:formatCode>
                <c:ptCount val="1"/>
                <c:pt idx="0">
                  <c:v>2050</c:v>
                </c:pt>
              </c:numCache>
            </c:numRef>
          </c:xVal>
          <c:yVal>
            <c:numRef>
              <c:f>'College Enrollment Projections'!$AN$73</c:f>
              <c:numCache>
                <c:formatCode>#,##0</c:formatCode>
                <c:ptCount val="1"/>
                <c:pt idx="0">
                  <c:v>39315</c:v>
                </c:pt>
              </c:numCache>
            </c:numRef>
          </c:yVal>
          <c:smooth val="0"/>
          <c:extLst>
            <c:ext xmlns:c16="http://schemas.microsoft.com/office/drawing/2014/chart" uri="{C3380CC4-5D6E-409C-BE32-E72D297353CC}">
              <c16:uniqueId val="{00000002-4482-4E6F-BE3A-CE1DA51CB1BD}"/>
            </c:ext>
          </c:extLst>
        </c:ser>
        <c:ser>
          <c:idx val="1"/>
          <c:order val="3"/>
          <c:tx>
            <c:v>2027 RTP</c:v>
          </c:tx>
          <c:spPr>
            <a:ln w="25400" cap="rnd">
              <a:noFill/>
              <a:round/>
            </a:ln>
            <a:effectLst/>
          </c:spPr>
          <c:marker>
            <c:symbol val="circle"/>
            <c:size val="5"/>
            <c:spPr>
              <a:solidFill>
                <a:srgbClr val="00B050"/>
              </a:solidFill>
              <a:ln w="9525">
                <a:solidFill>
                  <a:srgbClr val="00B050"/>
                </a:solidFill>
              </a:ln>
              <a:effectLst/>
            </c:spPr>
          </c:marker>
          <c:xVal>
            <c:numRef>
              <c:f>'College Enrollment Projections'!$AI$41:$AI$72</c:f>
              <c:numCache>
                <c:formatCode>General</c:formatCode>
                <c:ptCount val="32"/>
                <c:pt idx="0">
                  <c:v>2029</c:v>
                </c:pt>
                <c:pt idx="1">
                  <c:v>2030</c:v>
                </c:pt>
                <c:pt idx="2">
                  <c:v>2031</c:v>
                </c:pt>
                <c:pt idx="3">
                  <c:v>2032</c:v>
                </c:pt>
                <c:pt idx="4">
                  <c:v>2033</c:v>
                </c:pt>
                <c:pt idx="5">
                  <c:v>2034</c:v>
                </c:pt>
                <c:pt idx="6">
                  <c:v>2035</c:v>
                </c:pt>
                <c:pt idx="7">
                  <c:v>2036</c:v>
                </c:pt>
                <c:pt idx="8">
                  <c:v>2037</c:v>
                </c:pt>
                <c:pt idx="9">
                  <c:v>2038</c:v>
                </c:pt>
                <c:pt idx="10">
                  <c:v>2039</c:v>
                </c:pt>
                <c:pt idx="11">
                  <c:v>2040</c:v>
                </c:pt>
                <c:pt idx="12">
                  <c:v>2041</c:v>
                </c:pt>
                <c:pt idx="13">
                  <c:v>2042</c:v>
                </c:pt>
                <c:pt idx="14">
                  <c:v>2043</c:v>
                </c:pt>
                <c:pt idx="15">
                  <c:v>2044</c:v>
                </c:pt>
                <c:pt idx="16">
                  <c:v>2045</c:v>
                </c:pt>
                <c:pt idx="17">
                  <c:v>2046</c:v>
                </c:pt>
                <c:pt idx="18">
                  <c:v>2047</c:v>
                </c:pt>
                <c:pt idx="19">
                  <c:v>2048</c:v>
                </c:pt>
                <c:pt idx="20">
                  <c:v>2049</c:v>
                </c:pt>
                <c:pt idx="21">
                  <c:v>2050</c:v>
                </c:pt>
                <c:pt idx="22">
                  <c:v>2051</c:v>
                </c:pt>
                <c:pt idx="23">
                  <c:v>2052</c:v>
                </c:pt>
                <c:pt idx="24">
                  <c:v>2053</c:v>
                </c:pt>
                <c:pt idx="25">
                  <c:v>2054</c:v>
                </c:pt>
                <c:pt idx="26">
                  <c:v>2055</c:v>
                </c:pt>
                <c:pt idx="27">
                  <c:v>2056</c:v>
                </c:pt>
                <c:pt idx="28">
                  <c:v>2057</c:v>
                </c:pt>
                <c:pt idx="29">
                  <c:v>2058</c:v>
                </c:pt>
                <c:pt idx="30">
                  <c:v>2059</c:v>
                </c:pt>
                <c:pt idx="31">
                  <c:v>2060</c:v>
                </c:pt>
              </c:numCache>
            </c:numRef>
          </c:xVal>
          <c:yVal>
            <c:numRef>
              <c:f>'College Enrollment Projections'!$AN$41:$AN$72</c:f>
              <c:numCache>
                <c:formatCode>#,##0</c:formatCode>
                <c:ptCount val="32"/>
                <c:pt idx="0">
                  <c:v>37625</c:v>
                </c:pt>
                <c:pt idx="1">
                  <c:v>37662</c:v>
                </c:pt>
                <c:pt idx="2">
                  <c:v>37699</c:v>
                </c:pt>
                <c:pt idx="3">
                  <c:v>37736</c:v>
                </c:pt>
                <c:pt idx="4">
                  <c:v>37773</c:v>
                </c:pt>
                <c:pt idx="5">
                  <c:v>37810</c:v>
                </c:pt>
                <c:pt idx="6">
                  <c:v>37847</c:v>
                </c:pt>
                <c:pt idx="7">
                  <c:v>37884</c:v>
                </c:pt>
                <c:pt idx="8">
                  <c:v>37921</c:v>
                </c:pt>
                <c:pt idx="9">
                  <c:v>37958</c:v>
                </c:pt>
                <c:pt idx="10">
                  <c:v>37995</c:v>
                </c:pt>
                <c:pt idx="11">
                  <c:v>38032</c:v>
                </c:pt>
                <c:pt idx="12">
                  <c:v>38069</c:v>
                </c:pt>
                <c:pt idx="13">
                  <c:v>38106</c:v>
                </c:pt>
                <c:pt idx="14">
                  <c:v>38143</c:v>
                </c:pt>
                <c:pt idx="15">
                  <c:v>38524</c:v>
                </c:pt>
                <c:pt idx="16">
                  <c:v>38910</c:v>
                </c:pt>
                <c:pt idx="17">
                  <c:v>39299</c:v>
                </c:pt>
                <c:pt idx="18">
                  <c:v>39303</c:v>
                </c:pt>
                <c:pt idx="19">
                  <c:v>39307</c:v>
                </c:pt>
                <c:pt idx="20">
                  <c:v>39311</c:v>
                </c:pt>
                <c:pt idx="21">
                  <c:v>39315</c:v>
                </c:pt>
                <c:pt idx="22">
                  <c:v>39315</c:v>
                </c:pt>
                <c:pt idx="23">
                  <c:v>39315</c:v>
                </c:pt>
                <c:pt idx="24">
                  <c:v>39315</c:v>
                </c:pt>
                <c:pt idx="25">
                  <c:v>39315</c:v>
                </c:pt>
                <c:pt idx="26">
                  <c:v>39315</c:v>
                </c:pt>
                <c:pt idx="27">
                  <c:v>39315</c:v>
                </c:pt>
                <c:pt idx="28">
                  <c:v>39315</c:v>
                </c:pt>
                <c:pt idx="29">
                  <c:v>39315</c:v>
                </c:pt>
                <c:pt idx="30">
                  <c:v>39315</c:v>
                </c:pt>
                <c:pt idx="31">
                  <c:v>39315</c:v>
                </c:pt>
              </c:numCache>
            </c:numRef>
          </c:yVal>
          <c:smooth val="0"/>
          <c:extLst>
            <c:ext xmlns:c16="http://schemas.microsoft.com/office/drawing/2014/chart" uri="{C3380CC4-5D6E-409C-BE32-E72D297353CC}">
              <c16:uniqueId val="{00000002-C237-4535-B7C7-31175CD4A089}"/>
            </c:ext>
          </c:extLst>
        </c:ser>
        <c:dLbls>
          <c:showLegendKey val="0"/>
          <c:showVal val="0"/>
          <c:showCatName val="0"/>
          <c:showSerName val="0"/>
          <c:showPercent val="0"/>
          <c:showBubbleSize val="0"/>
        </c:dLbls>
        <c:axId val="524455136"/>
        <c:axId val="524453568"/>
        <c:extLst>
          <c:ext xmlns:c15="http://schemas.microsoft.com/office/drawing/2012/chart" uri="{02D57815-91ED-43cb-92C2-25804820EDAC}">
            <c15:filteredScatterSeries>
              <c15:ser>
                <c:idx val="2"/>
                <c:order val="4"/>
                <c:tx>
                  <c:v>2019 RTP Target</c:v>
                </c:tx>
                <c:spPr>
                  <a:ln w="25400" cap="rnd">
                    <a:noFill/>
                    <a:round/>
                  </a:ln>
                  <a:effectLst/>
                </c:spPr>
                <c:marker>
                  <c:symbol val="circle"/>
                  <c:size val="8"/>
                  <c:spPr>
                    <a:solidFill>
                      <a:schemeClr val="accent3"/>
                    </a:solidFill>
                    <a:ln w="9525">
                      <a:solidFill>
                        <a:schemeClr val="accent3"/>
                      </a:solidFill>
                    </a:ln>
                    <a:effectLst/>
                  </c:spPr>
                </c:marker>
                <c:xVal>
                  <c:numRef>
                    <c:extLst>
                      <c:ext uri="{02D57815-91ED-43cb-92C2-25804820EDAC}">
                        <c15:formulaRef>
                          <c15:sqref>'College Enrollment Projections'!$AI$74</c15:sqref>
                        </c15:formulaRef>
                      </c:ext>
                    </c:extLst>
                    <c:numCache>
                      <c:formatCode>General</c:formatCode>
                      <c:ptCount val="1"/>
                      <c:pt idx="0">
                        <c:v>2050</c:v>
                      </c:pt>
                    </c:numCache>
                  </c:numRef>
                </c:xVal>
                <c:yVal>
                  <c:numRef>
                    <c:extLst>
                      <c:ext uri="{02D57815-91ED-43cb-92C2-25804820EDAC}">
                        <c15:formulaRef>
                          <c15:sqref>'College Enrollment Projections'!$AN$74</c15:sqref>
                        </c15:formulaRef>
                      </c:ext>
                    </c:extLst>
                    <c:numCache>
                      <c:formatCode>#,##0</c:formatCode>
                      <c:ptCount val="1"/>
                      <c:pt idx="0">
                        <c:v>34000</c:v>
                      </c:pt>
                    </c:numCache>
                  </c:numRef>
                </c:yVal>
                <c:smooth val="0"/>
                <c:extLst>
                  <c:ext xmlns:c16="http://schemas.microsoft.com/office/drawing/2014/chart" uri="{C3380CC4-5D6E-409C-BE32-E72D297353CC}">
                    <c16:uniqueId val="{00000006-3A74-4781-ACED-B1A98497F406}"/>
                  </c:ext>
                </c:extLst>
              </c15:ser>
            </c15:filteredScatterSeries>
          </c:ext>
        </c:extLst>
      </c:scatterChart>
      <c:valAx>
        <c:axId val="524455136"/>
        <c:scaling>
          <c:orientation val="minMax"/>
          <c:max val="206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3568"/>
        <c:crosses val="autoZero"/>
        <c:crossBetween val="midCat"/>
      </c:valAx>
      <c:valAx>
        <c:axId val="524453568"/>
        <c:scaling>
          <c:orientation val="minMax"/>
          <c:max val="6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5136"/>
        <c:crosses val="autoZero"/>
        <c:crossBetween val="midCat"/>
      </c:valAx>
      <c:spPr>
        <a:noFill/>
        <a:ln>
          <a:noFill/>
        </a:ln>
        <a:effectLst/>
      </c:spPr>
    </c:plotArea>
    <c:legend>
      <c:legendPos val="t"/>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Projections'!$AI$12:$AI$36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xVal>
          <c:yVal>
            <c:numRef>
              <c:f>'College Enrollment Projections'!$AO$12:$AO$36</c:f>
              <c:numCache>
                <c:formatCode>#,##0</c:formatCode>
                <c:ptCount val="25"/>
                <c:pt idx="0">
                  <c:v>824</c:v>
                </c:pt>
                <c:pt idx="1">
                  <c:v>1025</c:v>
                </c:pt>
                <c:pt idx="2">
                  <c:v>1124</c:v>
                </c:pt>
                <c:pt idx="3">
                  <c:v>1258</c:v>
                </c:pt>
                <c:pt idx="4">
                  <c:v>1248</c:v>
                </c:pt>
                <c:pt idx="5">
                  <c:v>1235</c:v>
                </c:pt>
                <c:pt idx="6">
                  <c:v>1317</c:v>
                </c:pt>
                <c:pt idx="7">
                  <c:v>1316</c:v>
                </c:pt>
                <c:pt idx="8">
                  <c:v>1377</c:v>
                </c:pt>
                <c:pt idx="9">
                  <c:v>1589</c:v>
                </c:pt>
                <c:pt idx="10">
                  <c:v>1809</c:v>
                </c:pt>
                <c:pt idx="11">
                  <c:v>1987</c:v>
                </c:pt>
                <c:pt idx="12">
                  <c:v>2191</c:v>
                </c:pt>
                <c:pt idx="13">
                  <c:v>2036</c:v>
                </c:pt>
                <c:pt idx="14">
                  <c:v>2006</c:v>
                </c:pt>
                <c:pt idx="15">
                  <c:v>2153</c:v>
                </c:pt>
                <c:pt idx="16">
                  <c:v>2119</c:v>
                </c:pt>
                <c:pt idx="17">
                  <c:v>2045</c:v>
                </c:pt>
                <c:pt idx="18">
                  <c:v>1996</c:v>
                </c:pt>
                <c:pt idx="19">
                  <c:v>1929</c:v>
                </c:pt>
                <c:pt idx="20">
                  <c:v>1829</c:v>
                </c:pt>
                <c:pt idx="21">
                  <c:v>1731</c:v>
                </c:pt>
                <c:pt idx="22">
                  <c:v>1618</c:v>
                </c:pt>
                <c:pt idx="23">
                  <c:v>1831</c:v>
                </c:pt>
                <c:pt idx="24">
                  <c:v>1937</c:v>
                </c:pt>
              </c:numCache>
            </c:numRef>
          </c:yVal>
          <c:smooth val="0"/>
          <c:extLst>
            <c:ext xmlns:c16="http://schemas.microsoft.com/office/drawing/2014/chart" uri="{C3380CC4-5D6E-409C-BE32-E72D297353CC}">
              <c16:uniqueId val="{00000001-BC61-47BB-8BCF-8D1D611131B5}"/>
            </c:ext>
          </c:extLst>
        </c:ser>
        <c:ser>
          <c:idx val="3"/>
          <c:order val="1"/>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5"/>
            <c:dispRSqr val="0"/>
            <c:dispEq val="0"/>
          </c:trendline>
          <c:xVal>
            <c:numRef>
              <c:f>'College Enrollment Projections'!$AI$24:$AI$34</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xVal>
          <c:yVal>
            <c:numRef>
              <c:f>'College Enrollment Projections'!$AO$24:$AO$34</c:f>
              <c:numCache>
                <c:formatCode>#,##0</c:formatCode>
                <c:ptCount val="11"/>
                <c:pt idx="0">
                  <c:v>2191</c:v>
                </c:pt>
                <c:pt idx="1">
                  <c:v>2036</c:v>
                </c:pt>
                <c:pt idx="2">
                  <c:v>2006</c:v>
                </c:pt>
                <c:pt idx="3">
                  <c:v>2153</c:v>
                </c:pt>
                <c:pt idx="4">
                  <c:v>2119</c:v>
                </c:pt>
                <c:pt idx="5">
                  <c:v>2045</c:v>
                </c:pt>
                <c:pt idx="6">
                  <c:v>1996</c:v>
                </c:pt>
                <c:pt idx="7">
                  <c:v>1929</c:v>
                </c:pt>
                <c:pt idx="8">
                  <c:v>1829</c:v>
                </c:pt>
                <c:pt idx="9">
                  <c:v>1731</c:v>
                </c:pt>
                <c:pt idx="10">
                  <c:v>1618</c:v>
                </c:pt>
              </c:numCache>
            </c:numRef>
          </c:yVal>
          <c:smooth val="0"/>
          <c:extLst>
            <c:ext xmlns:c16="http://schemas.microsoft.com/office/drawing/2014/chart" uri="{C3380CC4-5D6E-409C-BE32-E72D297353CC}">
              <c16:uniqueId val="{00000007-BC61-47BB-8BCF-8D1D611131B5}"/>
            </c:ext>
          </c:extLst>
        </c:ser>
        <c:ser>
          <c:idx val="2"/>
          <c:order val="2"/>
          <c:tx>
            <c:v>2024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Projections'!$AI$73</c:f>
              <c:numCache>
                <c:formatCode>General</c:formatCode>
                <c:ptCount val="1"/>
                <c:pt idx="0">
                  <c:v>2050</c:v>
                </c:pt>
              </c:numCache>
            </c:numRef>
          </c:xVal>
          <c:yVal>
            <c:numRef>
              <c:f>'College Enrollment Projections'!$AO$73</c:f>
              <c:numCache>
                <c:formatCode>#,##0</c:formatCode>
                <c:ptCount val="1"/>
                <c:pt idx="0">
                  <c:v>2000</c:v>
                </c:pt>
              </c:numCache>
            </c:numRef>
          </c:yVal>
          <c:smooth val="0"/>
          <c:extLst>
            <c:ext xmlns:c16="http://schemas.microsoft.com/office/drawing/2014/chart" uri="{C3380CC4-5D6E-409C-BE32-E72D297353CC}">
              <c16:uniqueId val="{00000006-BC61-47BB-8BCF-8D1D611131B5}"/>
            </c:ext>
          </c:extLst>
        </c:ser>
        <c:ser>
          <c:idx val="4"/>
          <c:order val="3"/>
          <c:tx>
            <c:v>2027 RTP</c:v>
          </c:tx>
          <c:spPr>
            <a:ln w="25400" cap="rnd">
              <a:noFill/>
              <a:round/>
            </a:ln>
            <a:effectLst/>
          </c:spPr>
          <c:marker>
            <c:symbol val="circle"/>
            <c:size val="5"/>
            <c:spPr>
              <a:solidFill>
                <a:srgbClr val="00B050"/>
              </a:solidFill>
              <a:ln w="9525">
                <a:solidFill>
                  <a:srgbClr val="00B050"/>
                </a:solidFill>
              </a:ln>
              <a:effectLst/>
            </c:spPr>
          </c:marker>
          <c:xVal>
            <c:numRef>
              <c:f>'College Enrollment Projections'!$AI$35:$AI$72</c:f>
              <c:numCache>
                <c:formatCode>General</c:formatCode>
                <c:ptCount val="3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pt idx="32">
                  <c:v>2055</c:v>
                </c:pt>
                <c:pt idx="33">
                  <c:v>2056</c:v>
                </c:pt>
                <c:pt idx="34">
                  <c:v>2057</c:v>
                </c:pt>
                <c:pt idx="35">
                  <c:v>2058</c:v>
                </c:pt>
                <c:pt idx="36">
                  <c:v>2059</c:v>
                </c:pt>
                <c:pt idx="37">
                  <c:v>2060</c:v>
                </c:pt>
              </c:numCache>
            </c:numRef>
          </c:xVal>
          <c:yVal>
            <c:numRef>
              <c:f>'College Enrollment Projections'!$AO$35:$AO$72</c:f>
              <c:numCache>
                <c:formatCode>#,##0</c:formatCode>
                <c:ptCount val="38"/>
                <c:pt idx="0">
                  <c:v>1831</c:v>
                </c:pt>
                <c:pt idx="1">
                  <c:v>1937</c:v>
                </c:pt>
                <c:pt idx="2">
                  <c:v>1972</c:v>
                </c:pt>
                <c:pt idx="3">
                  <c:v>2007</c:v>
                </c:pt>
                <c:pt idx="4">
                  <c:v>2042</c:v>
                </c:pt>
                <c:pt idx="5">
                  <c:v>2077</c:v>
                </c:pt>
                <c:pt idx="6">
                  <c:v>2112</c:v>
                </c:pt>
                <c:pt idx="7">
                  <c:v>2147</c:v>
                </c:pt>
                <c:pt idx="8">
                  <c:v>2182</c:v>
                </c:pt>
                <c:pt idx="9">
                  <c:v>2217</c:v>
                </c:pt>
                <c:pt idx="10">
                  <c:v>2252</c:v>
                </c:pt>
                <c:pt idx="11">
                  <c:v>2287</c:v>
                </c:pt>
                <c:pt idx="12">
                  <c:v>2322</c:v>
                </c:pt>
                <c:pt idx="13">
                  <c:v>2357</c:v>
                </c:pt>
                <c:pt idx="14">
                  <c:v>2392</c:v>
                </c:pt>
                <c:pt idx="15">
                  <c:v>2427</c:v>
                </c:pt>
                <c:pt idx="16">
                  <c:v>2462</c:v>
                </c:pt>
                <c:pt idx="17">
                  <c:v>2497</c:v>
                </c:pt>
                <c:pt idx="18">
                  <c:v>2532</c:v>
                </c:pt>
                <c:pt idx="19">
                  <c:v>2567</c:v>
                </c:pt>
                <c:pt idx="20">
                  <c:v>2602</c:v>
                </c:pt>
                <c:pt idx="21">
                  <c:v>2637</c:v>
                </c:pt>
                <c:pt idx="22">
                  <c:v>2672</c:v>
                </c:pt>
                <c:pt idx="23">
                  <c:v>2707</c:v>
                </c:pt>
                <c:pt idx="24">
                  <c:v>2742</c:v>
                </c:pt>
                <c:pt idx="25">
                  <c:v>2777</c:v>
                </c:pt>
                <c:pt idx="26">
                  <c:v>2812</c:v>
                </c:pt>
                <c:pt idx="27">
                  <c:v>2847</c:v>
                </c:pt>
                <c:pt idx="28">
                  <c:v>2882</c:v>
                </c:pt>
                <c:pt idx="29">
                  <c:v>2917</c:v>
                </c:pt>
                <c:pt idx="30">
                  <c:v>2952</c:v>
                </c:pt>
                <c:pt idx="31">
                  <c:v>2987</c:v>
                </c:pt>
                <c:pt idx="32">
                  <c:v>3023</c:v>
                </c:pt>
                <c:pt idx="33">
                  <c:v>3058</c:v>
                </c:pt>
                <c:pt idx="34">
                  <c:v>3094</c:v>
                </c:pt>
                <c:pt idx="35">
                  <c:v>3129</c:v>
                </c:pt>
                <c:pt idx="36">
                  <c:v>3165</c:v>
                </c:pt>
                <c:pt idx="37">
                  <c:v>3200</c:v>
                </c:pt>
              </c:numCache>
            </c:numRef>
          </c:yVal>
          <c:smooth val="0"/>
          <c:extLst>
            <c:ext xmlns:c16="http://schemas.microsoft.com/office/drawing/2014/chart" uri="{C3380CC4-5D6E-409C-BE32-E72D297353CC}">
              <c16:uniqueId val="{00000003-330F-41CF-8E17-74E90AC63C64}"/>
            </c:ext>
          </c:extLst>
        </c:ser>
        <c:dLbls>
          <c:showLegendKey val="0"/>
          <c:showVal val="0"/>
          <c:showCatName val="0"/>
          <c:showSerName val="0"/>
          <c:showPercent val="0"/>
          <c:showBubbleSize val="0"/>
        </c:dLbls>
        <c:axId val="524451216"/>
        <c:axId val="524456704"/>
      </c:scatterChart>
      <c:valAx>
        <c:axId val="524451216"/>
        <c:scaling>
          <c:orientation val="minMax"/>
          <c:max val="206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6704"/>
        <c:crosses val="autoZero"/>
        <c:crossBetween val="midCat"/>
      </c:valAx>
      <c:valAx>
        <c:axId val="524456704"/>
        <c:scaling>
          <c:orientation val="minMax"/>
          <c:max val="7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1216"/>
        <c:crosses val="autoZero"/>
        <c:crossBetween val="midCat"/>
      </c:valAx>
      <c:spPr>
        <a:noFill/>
        <a:ln>
          <a:noFill/>
        </a:ln>
        <a:effectLst/>
      </c:spPr>
    </c:plotArea>
    <c:legend>
      <c:legendPos val="t"/>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Historic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30"/>
            <c:dispRSqr val="0"/>
            <c:dispEq val="0"/>
          </c:trendline>
          <c:xVal>
            <c:numRef>
              <c:f>'College Enrollment Projections'!$AI$12:$AI$36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xVal>
          <c:yVal>
            <c:numRef>
              <c:f>'College Enrollment Projections'!$AP$12:$AP$36</c:f>
              <c:numCache>
                <c:formatCode>#,##0</c:formatCode>
                <c:ptCount val="25"/>
                <c:pt idx="0">
                  <c:v>2403</c:v>
                </c:pt>
                <c:pt idx="1">
                  <c:v>2474</c:v>
                </c:pt>
                <c:pt idx="2">
                  <c:v>2353</c:v>
                </c:pt>
                <c:pt idx="3">
                  <c:v>2471</c:v>
                </c:pt>
                <c:pt idx="4">
                  <c:v>2417</c:v>
                </c:pt>
                <c:pt idx="5">
                  <c:v>2455</c:v>
                </c:pt>
                <c:pt idx="6">
                  <c:v>2479</c:v>
                </c:pt>
                <c:pt idx="7">
                  <c:v>2661</c:v>
                </c:pt>
                <c:pt idx="8">
                  <c:v>2859</c:v>
                </c:pt>
                <c:pt idx="9">
                  <c:v>3037</c:v>
                </c:pt>
                <c:pt idx="10">
                  <c:v>3163</c:v>
                </c:pt>
                <c:pt idx="11">
                  <c:v>3358</c:v>
                </c:pt>
                <c:pt idx="12">
                  <c:v>3301</c:v>
                </c:pt>
                <c:pt idx="13">
                  <c:v>3108</c:v>
                </c:pt>
                <c:pt idx="14">
                  <c:v>2991</c:v>
                </c:pt>
                <c:pt idx="15">
                  <c:v>2821</c:v>
                </c:pt>
                <c:pt idx="16">
                  <c:v>2694</c:v>
                </c:pt>
                <c:pt idx="17">
                  <c:v>2570</c:v>
                </c:pt>
                <c:pt idx="18">
                  <c:v>2477</c:v>
                </c:pt>
                <c:pt idx="19">
                  <c:v>2215</c:v>
                </c:pt>
                <c:pt idx="20">
                  <c:v>1849</c:v>
                </c:pt>
                <c:pt idx="21">
                  <c:v>1535</c:v>
                </c:pt>
                <c:pt idx="22">
                  <c:v>1280</c:v>
                </c:pt>
                <c:pt idx="23">
                  <c:v>1214</c:v>
                </c:pt>
                <c:pt idx="24">
                  <c:v>1276</c:v>
                </c:pt>
              </c:numCache>
            </c:numRef>
          </c:yVal>
          <c:smooth val="0"/>
          <c:extLst>
            <c:ext xmlns:c16="http://schemas.microsoft.com/office/drawing/2014/chart" uri="{C3380CC4-5D6E-409C-BE32-E72D297353CC}">
              <c16:uniqueId val="{00000001-F488-4F6F-B8FC-239954948267}"/>
            </c:ext>
          </c:extLst>
        </c:ser>
        <c:ser>
          <c:idx val="3"/>
          <c:order val="1"/>
          <c:tx>
            <c:v>10 Years</c:v>
          </c:tx>
          <c:spPr>
            <a:ln w="25400" cap="rnd">
              <a:noFill/>
              <a:round/>
            </a:ln>
            <a:effectLst/>
          </c:spPr>
          <c:marker>
            <c:symbol val="circle"/>
            <c:size val="2"/>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forward val="30"/>
            <c:dispRSqr val="0"/>
            <c:dispEq val="0"/>
          </c:trendline>
          <c:xVal>
            <c:numRef>
              <c:f>'College Enrollment Projections'!$AI$27:$AI$36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'College Enrollment Projections'!$AP$27:$AP$36</c:f>
              <c:numCache>
                <c:formatCode>#,##0</c:formatCode>
                <c:ptCount val="10"/>
                <c:pt idx="0">
                  <c:v>2821</c:v>
                </c:pt>
                <c:pt idx="1">
                  <c:v>2694</c:v>
                </c:pt>
                <c:pt idx="2">
                  <c:v>2570</c:v>
                </c:pt>
                <c:pt idx="3">
                  <c:v>2477</c:v>
                </c:pt>
                <c:pt idx="4">
                  <c:v>2215</c:v>
                </c:pt>
                <c:pt idx="5">
                  <c:v>1849</c:v>
                </c:pt>
                <c:pt idx="6">
                  <c:v>1535</c:v>
                </c:pt>
                <c:pt idx="7">
                  <c:v>1280</c:v>
                </c:pt>
                <c:pt idx="8">
                  <c:v>1214</c:v>
                </c:pt>
                <c:pt idx="9">
                  <c:v>1276</c:v>
                </c:pt>
              </c:numCache>
            </c:numRef>
          </c:yVal>
          <c:smooth val="0"/>
          <c:extLst>
            <c:ext xmlns:c16="http://schemas.microsoft.com/office/drawing/2014/chart" uri="{C3380CC4-5D6E-409C-BE32-E72D297353CC}">
              <c16:uniqueId val="{00000005-F488-4F6F-B8FC-239954948267}"/>
            </c:ext>
          </c:extLst>
        </c:ser>
        <c:ser>
          <c:idx val="2"/>
          <c:order val="2"/>
          <c:tx>
            <c:v>2024 RTP Target</c:v>
          </c:tx>
          <c:spPr>
            <a:ln w="25400" cap="rnd">
              <a:noFill/>
              <a:round/>
            </a:ln>
            <a:effectLst/>
          </c:spPr>
          <c:marker>
            <c:symbol val="circle"/>
            <c:size val="8"/>
            <c:spPr>
              <a:solidFill>
                <a:schemeClr val="accent3"/>
              </a:solidFill>
              <a:ln w="9525">
                <a:solidFill>
                  <a:schemeClr val="accent3"/>
                </a:solidFill>
              </a:ln>
              <a:effectLst/>
            </c:spPr>
          </c:marker>
          <c:xVal>
            <c:numRef>
              <c:f>'College Enrollment Projections'!$AI$73</c:f>
              <c:numCache>
                <c:formatCode>General</c:formatCode>
                <c:ptCount val="1"/>
                <c:pt idx="0">
                  <c:v>2050</c:v>
                </c:pt>
              </c:numCache>
            </c:numRef>
          </c:xVal>
          <c:yVal>
            <c:numRef>
              <c:f>'College Enrollment Projections'!$AP$73</c:f>
              <c:numCache>
                <c:formatCode>#,##0</c:formatCode>
                <c:ptCount val="1"/>
                <c:pt idx="0">
                  <c:v>3000</c:v>
                </c:pt>
              </c:numCache>
            </c:numRef>
          </c:yVal>
          <c:smooth val="0"/>
          <c:extLst>
            <c:ext xmlns:c16="http://schemas.microsoft.com/office/drawing/2014/chart" uri="{C3380CC4-5D6E-409C-BE32-E72D297353CC}">
              <c16:uniqueId val="{00000006-F488-4F6F-B8FC-239954948267}"/>
            </c:ext>
          </c:extLst>
        </c:ser>
        <c:ser>
          <c:idx val="1"/>
          <c:order val="3"/>
          <c:tx>
            <c:v>2027 RTP</c:v>
          </c:tx>
          <c:spPr>
            <a:ln w="25400" cap="rnd">
              <a:noFill/>
              <a:round/>
            </a:ln>
            <a:effectLst/>
          </c:spPr>
          <c:marker>
            <c:symbol val="circle"/>
            <c:size val="5"/>
            <c:spPr>
              <a:solidFill>
                <a:schemeClr val="accent2"/>
              </a:solidFill>
              <a:ln w="9525">
                <a:solidFill>
                  <a:schemeClr val="accent2"/>
                </a:solidFill>
              </a:ln>
              <a:effectLst/>
            </c:spPr>
          </c:marker>
          <c:xVal>
            <c:numRef>
              <c:f>'College Enrollment Projections'!$AI$37:$AI$72</c:f>
              <c:numCache>
                <c:formatCode>General</c:formatCode>
                <c:ptCount val="3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numCache>
            </c:numRef>
          </c:xVal>
          <c:yVal>
            <c:numRef>
              <c:f>'College Enrollment Projections'!$AP$37:$AP$72</c:f>
              <c:numCache>
                <c:formatCode>#,##0</c:formatCode>
                <c:ptCount val="36"/>
                <c:pt idx="0">
                  <c:v>1338</c:v>
                </c:pt>
                <c:pt idx="1">
                  <c:v>1400</c:v>
                </c:pt>
                <c:pt idx="2">
                  <c:v>1462</c:v>
                </c:pt>
                <c:pt idx="3">
                  <c:v>1524</c:v>
                </c:pt>
                <c:pt idx="4">
                  <c:v>1586</c:v>
                </c:pt>
                <c:pt idx="5">
                  <c:v>1648</c:v>
                </c:pt>
                <c:pt idx="6">
                  <c:v>1710</c:v>
                </c:pt>
                <c:pt idx="7">
                  <c:v>1772</c:v>
                </c:pt>
                <c:pt idx="8">
                  <c:v>1834</c:v>
                </c:pt>
                <c:pt idx="9">
                  <c:v>1896</c:v>
                </c:pt>
                <c:pt idx="10">
                  <c:v>1958</c:v>
                </c:pt>
                <c:pt idx="11">
                  <c:v>2020</c:v>
                </c:pt>
                <c:pt idx="12">
                  <c:v>2082</c:v>
                </c:pt>
                <c:pt idx="13">
                  <c:v>2144</c:v>
                </c:pt>
                <c:pt idx="14">
                  <c:v>2206</c:v>
                </c:pt>
                <c:pt idx="15">
                  <c:v>2268</c:v>
                </c:pt>
                <c:pt idx="16">
                  <c:v>2330</c:v>
                </c:pt>
                <c:pt idx="17">
                  <c:v>2392</c:v>
                </c:pt>
                <c:pt idx="18">
                  <c:v>2454</c:v>
                </c:pt>
                <c:pt idx="19">
                  <c:v>2516</c:v>
                </c:pt>
                <c:pt idx="20">
                  <c:v>2578</c:v>
                </c:pt>
                <c:pt idx="21">
                  <c:v>2639</c:v>
                </c:pt>
                <c:pt idx="22">
                  <c:v>2701</c:v>
                </c:pt>
                <c:pt idx="23">
                  <c:v>2762</c:v>
                </c:pt>
                <c:pt idx="24">
                  <c:v>2824</c:v>
                </c:pt>
                <c:pt idx="25">
                  <c:v>2885</c:v>
                </c:pt>
                <c:pt idx="26">
                  <c:v>2947</c:v>
                </c:pt>
                <c:pt idx="27">
                  <c:v>3008</c:v>
                </c:pt>
                <c:pt idx="28">
                  <c:v>3070</c:v>
                </c:pt>
                <c:pt idx="29">
                  <c:v>3131</c:v>
                </c:pt>
                <c:pt idx="30">
                  <c:v>3193</c:v>
                </c:pt>
                <c:pt idx="31">
                  <c:v>3254</c:v>
                </c:pt>
                <c:pt idx="32">
                  <c:v>3316</c:v>
                </c:pt>
                <c:pt idx="33">
                  <c:v>3377</c:v>
                </c:pt>
                <c:pt idx="34">
                  <c:v>3439</c:v>
                </c:pt>
                <c:pt idx="35">
                  <c:v>3500</c:v>
                </c:pt>
              </c:numCache>
            </c:numRef>
          </c:yVal>
          <c:smooth val="0"/>
          <c:extLst>
            <c:ext xmlns:c16="http://schemas.microsoft.com/office/drawing/2014/chart" uri="{C3380CC4-5D6E-409C-BE32-E72D297353CC}">
              <c16:uniqueId val="{00000002-9DD6-48A5-BA59-1EDEEA739F36}"/>
            </c:ext>
          </c:extLst>
        </c:ser>
        <c:dLbls>
          <c:showLegendKey val="0"/>
          <c:showVal val="0"/>
          <c:showCatName val="0"/>
          <c:showSerName val="0"/>
          <c:showPercent val="0"/>
          <c:showBubbleSize val="0"/>
        </c:dLbls>
        <c:axId val="524452392"/>
        <c:axId val="524452784"/>
      </c:scatterChart>
      <c:valAx>
        <c:axId val="524452392"/>
        <c:scaling>
          <c:orientation val="minMax"/>
          <c:max val="206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2784"/>
        <c:crosses val="autoZero"/>
        <c:crossBetween val="midCat"/>
      </c:valAx>
      <c:valAx>
        <c:axId val="524452784"/>
        <c:scaling>
          <c:orientation val="minMax"/>
          <c:max val="4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2392"/>
        <c:crosses val="autoZero"/>
        <c:crossBetween val="midCat"/>
      </c:valAx>
      <c:spPr>
        <a:noFill/>
        <a:ln>
          <a:noFill/>
        </a:ln>
        <a:effectLst/>
      </c:spPr>
    </c:plotArea>
    <c:legend>
      <c:legendPos val="t"/>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College Enrollment Trend (2020-2060)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'GPI College-Age Population'!$Z$3</c:f>
              <c:strCache>
                <c:ptCount val="1"/>
                <c:pt idx="0">
                  <c:v>UOFU</c:v>
                </c:pt>
              </c:strCache>
            </c:strRef>
          </c:tx>
          <c:spPr>
            <a:ln w="28575" cap="rnd">
              <a:solidFill>
                <a:schemeClr val="accent1"/>
              </a:solidFill>
              <a:round/>
            </a:ln>
            <a:effectLst/>
          </c:spPr>
          <c:marker>
            <c:symbol val="none"/>
          </c:marker>
          <c:cat>
            <c:numRef>
              <c:f>'GPI College-Age Population'!$Y$4:$Y$44</c:f>
              <c:numCache>
                <c:formatCode>0</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'GPI College-Age Population'!$Z$4:$Z$44</c:f>
              <c:numCache>
                <c:formatCode>_(* #,##0_);_(* \(#,##0\);_(* "-"??_);_(@_)</c:formatCode>
                <c:ptCount val="41"/>
                <c:pt idx="0">
                  <c:v>33081</c:v>
                </c:pt>
                <c:pt idx="1">
                  <c:v>34464</c:v>
                </c:pt>
                <c:pt idx="2">
                  <c:v>34734</c:v>
                </c:pt>
                <c:pt idx="3">
                  <c:v>35260</c:v>
                </c:pt>
                <c:pt idx="4">
                  <c:v>36670</c:v>
                </c:pt>
                <c:pt idx="5">
                  <c:v>38005</c:v>
                </c:pt>
                <c:pt idx="6">
                  <c:v>39584</c:v>
                </c:pt>
                <c:pt idx="7">
                  <c:v>40831</c:v>
                </c:pt>
                <c:pt idx="8">
                  <c:v>41375</c:v>
                </c:pt>
                <c:pt idx="9">
                  <c:v>41687</c:v>
                </c:pt>
                <c:pt idx="10">
                  <c:v>41799</c:v>
                </c:pt>
                <c:pt idx="11">
                  <c:v>41831</c:v>
                </c:pt>
                <c:pt idx="12">
                  <c:v>41738</c:v>
                </c:pt>
                <c:pt idx="13">
                  <c:v>41595</c:v>
                </c:pt>
                <c:pt idx="14">
                  <c:v>41412</c:v>
                </c:pt>
                <c:pt idx="15">
                  <c:v>41161</c:v>
                </c:pt>
                <c:pt idx="16">
                  <c:v>40826</c:v>
                </c:pt>
                <c:pt idx="17">
                  <c:v>40524</c:v>
                </c:pt>
                <c:pt idx="18">
                  <c:v>40118</c:v>
                </c:pt>
                <c:pt idx="19">
                  <c:v>39663</c:v>
                </c:pt>
                <c:pt idx="20">
                  <c:v>39153</c:v>
                </c:pt>
                <c:pt idx="21">
                  <c:v>38646</c:v>
                </c:pt>
                <c:pt idx="22">
                  <c:v>38227</c:v>
                </c:pt>
                <c:pt idx="23">
                  <c:v>37994</c:v>
                </c:pt>
                <c:pt idx="24">
                  <c:v>37900</c:v>
                </c:pt>
                <c:pt idx="25">
                  <c:v>37932</c:v>
                </c:pt>
                <c:pt idx="26">
                  <c:v>38085</c:v>
                </c:pt>
                <c:pt idx="27">
                  <c:v>38370</c:v>
                </c:pt>
                <c:pt idx="28">
                  <c:v>38782</c:v>
                </c:pt>
                <c:pt idx="29">
                  <c:v>39286</c:v>
                </c:pt>
                <c:pt idx="30">
                  <c:v>39858</c:v>
                </c:pt>
                <c:pt idx="31">
                  <c:v>40483</c:v>
                </c:pt>
                <c:pt idx="32">
                  <c:v>41137</c:v>
                </c:pt>
                <c:pt idx="33">
                  <c:v>41798</c:v>
                </c:pt>
                <c:pt idx="34">
                  <c:v>42442</c:v>
                </c:pt>
                <c:pt idx="35">
                  <c:v>43050</c:v>
                </c:pt>
                <c:pt idx="36">
                  <c:v>43608</c:v>
                </c:pt>
                <c:pt idx="37">
                  <c:v>44103</c:v>
                </c:pt>
                <c:pt idx="38">
                  <c:v>44533</c:v>
                </c:pt>
                <c:pt idx="39">
                  <c:v>44889</c:v>
                </c:pt>
                <c:pt idx="40">
                  <c:v>45160</c:v>
                </c:pt>
              </c:numCache>
            </c:numRef>
          </c:val>
          <c:smooth val="0"/>
          <c:extLst>
            <c:ext xmlns:c16="http://schemas.microsoft.com/office/drawing/2014/chart" uri="{C3380CC4-5D6E-409C-BE32-E72D297353CC}">
              <c16:uniqueId val="{00000000-F95A-4BCB-AEEB-E9DED50B9672}"/>
            </c:ext>
          </c:extLst>
        </c:ser>
        <c:ser>
          <c:idx val="1"/>
          <c:order val="1"/>
          <c:tx>
            <c:strRef>
              <c:f>'GPI College-Age Population'!$AA$3</c:f>
              <c:strCache>
                <c:ptCount val="1"/>
                <c:pt idx="0">
                  <c:v>WSU</c:v>
                </c:pt>
              </c:strCache>
            </c:strRef>
          </c:tx>
          <c:spPr>
            <a:ln w="28575" cap="rnd">
              <a:solidFill>
                <a:schemeClr val="accent2"/>
              </a:solidFill>
              <a:round/>
            </a:ln>
            <a:effectLst/>
          </c:spPr>
          <c:marker>
            <c:symbol val="none"/>
          </c:marker>
          <c:cat>
            <c:numRef>
              <c:f>'GPI College-Age Population'!$Y$4:$Y$44</c:f>
              <c:numCache>
                <c:formatCode>0</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'GPI College-Age Population'!$AA$4:$AA$44</c:f>
              <c:numCache>
                <c:formatCode>_(* #,##0_);_(* \(#,##0\);_(* "-"??_);_(@_)</c:formatCode>
                <c:ptCount val="41"/>
                <c:pt idx="0">
                  <c:v>29596</c:v>
                </c:pt>
                <c:pt idx="1">
                  <c:v>29774</c:v>
                </c:pt>
                <c:pt idx="2">
                  <c:v>29914</c:v>
                </c:pt>
                <c:pt idx="3">
                  <c:v>30536</c:v>
                </c:pt>
                <c:pt idx="4">
                  <c:v>32073</c:v>
                </c:pt>
                <c:pt idx="5">
                  <c:v>33529</c:v>
                </c:pt>
                <c:pt idx="6">
                  <c:v>35252</c:v>
                </c:pt>
                <c:pt idx="7">
                  <c:v>36611</c:v>
                </c:pt>
                <c:pt idx="8">
                  <c:v>37205</c:v>
                </c:pt>
                <c:pt idx="9">
                  <c:v>37545</c:v>
                </c:pt>
                <c:pt idx="10">
                  <c:v>37666</c:v>
                </c:pt>
                <c:pt idx="11">
                  <c:v>37701</c:v>
                </c:pt>
                <c:pt idx="12">
                  <c:v>37600</c:v>
                </c:pt>
                <c:pt idx="13">
                  <c:v>37444</c:v>
                </c:pt>
                <c:pt idx="14">
                  <c:v>37244</c:v>
                </c:pt>
                <c:pt idx="15">
                  <c:v>36970</c:v>
                </c:pt>
                <c:pt idx="16">
                  <c:v>36606</c:v>
                </c:pt>
                <c:pt idx="17">
                  <c:v>36276</c:v>
                </c:pt>
                <c:pt idx="18">
                  <c:v>35834</c:v>
                </c:pt>
                <c:pt idx="19">
                  <c:v>35337</c:v>
                </c:pt>
                <c:pt idx="20">
                  <c:v>34782</c:v>
                </c:pt>
                <c:pt idx="21">
                  <c:v>34229</c:v>
                </c:pt>
                <c:pt idx="22">
                  <c:v>33771</c:v>
                </c:pt>
                <c:pt idx="23">
                  <c:v>33518</c:v>
                </c:pt>
                <c:pt idx="24">
                  <c:v>33415</c:v>
                </c:pt>
                <c:pt idx="25">
                  <c:v>33449</c:v>
                </c:pt>
                <c:pt idx="26">
                  <c:v>33617</c:v>
                </c:pt>
                <c:pt idx="27">
                  <c:v>33927</c:v>
                </c:pt>
                <c:pt idx="28">
                  <c:v>34377</c:v>
                </c:pt>
                <c:pt idx="29">
                  <c:v>34926</c:v>
                </c:pt>
                <c:pt idx="30">
                  <c:v>35550</c:v>
                </c:pt>
                <c:pt idx="31">
                  <c:v>36231</c:v>
                </c:pt>
                <c:pt idx="32">
                  <c:v>36945</c:v>
                </c:pt>
                <c:pt idx="33">
                  <c:v>37666</c:v>
                </c:pt>
                <c:pt idx="34">
                  <c:v>38368</c:v>
                </c:pt>
                <c:pt idx="35">
                  <c:v>39030</c:v>
                </c:pt>
                <c:pt idx="36">
                  <c:v>39640</c:v>
                </c:pt>
                <c:pt idx="37">
                  <c:v>40179</c:v>
                </c:pt>
                <c:pt idx="38">
                  <c:v>40648</c:v>
                </c:pt>
                <c:pt idx="39">
                  <c:v>41036</c:v>
                </c:pt>
                <c:pt idx="40">
                  <c:v>41332</c:v>
                </c:pt>
              </c:numCache>
            </c:numRef>
          </c:val>
          <c:smooth val="0"/>
          <c:extLst>
            <c:ext xmlns:c16="http://schemas.microsoft.com/office/drawing/2014/chart" uri="{C3380CC4-5D6E-409C-BE32-E72D297353CC}">
              <c16:uniqueId val="{00000001-F95A-4BCB-AEEB-E9DED50B9672}"/>
            </c:ext>
          </c:extLst>
        </c:ser>
        <c:ser>
          <c:idx val="2"/>
          <c:order val="2"/>
          <c:tx>
            <c:strRef>
              <c:f>'GPI College-Age Population'!$AB$3</c:f>
              <c:strCache>
                <c:ptCount val="1"/>
                <c:pt idx="0">
                  <c:v>UVU</c:v>
                </c:pt>
              </c:strCache>
            </c:strRef>
          </c:tx>
          <c:spPr>
            <a:ln w="28575" cap="rnd">
              <a:solidFill>
                <a:schemeClr val="accent3"/>
              </a:solidFill>
              <a:round/>
            </a:ln>
            <a:effectLst/>
          </c:spPr>
          <c:marker>
            <c:symbol val="none"/>
          </c:marker>
          <c:cat>
            <c:numRef>
              <c:f>'GPI College-Age Population'!$Y$4:$Y$44</c:f>
              <c:numCache>
                <c:formatCode>0</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'GPI College-Age Population'!$AB$4:$AB$44</c:f>
              <c:numCache>
                <c:formatCode>_(* #,##0_);_(* \(#,##0\);_(* "-"??_);_(@_)</c:formatCode>
                <c:ptCount val="41"/>
                <c:pt idx="0">
                  <c:v>40936</c:v>
                </c:pt>
                <c:pt idx="1">
                  <c:v>41262</c:v>
                </c:pt>
                <c:pt idx="2">
                  <c:v>43099</c:v>
                </c:pt>
                <c:pt idx="3">
                  <c:v>44651</c:v>
                </c:pt>
                <c:pt idx="4">
                  <c:v>47104</c:v>
                </c:pt>
                <c:pt idx="5">
                  <c:v>49427</c:v>
                </c:pt>
                <c:pt idx="6">
                  <c:v>52176</c:v>
                </c:pt>
                <c:pt idx="7">
                  <c:v>54344</c:v>
                </c:pt>
                <c:pt idx="8">
                  <c:v>55292</c:v>
                </c:pt>
                <c:pt idx="9">
                  <c:v>55834</c:v>
                </c:pt>
                <c:pt idx="10">
                  <c:v>56029</c:v>
                </c:pt>
                <c:pt idx="11">
                  <c:v>56085</c:v>
                </c:pt>
                <c:pt idx="12">
                  <c:v>55922</c:v>
                </c:pt>
                <c:pt idx="13">
                  <c:v>55674</c:v>
                </c:pt>
                <c:pt idx="14">
                  <c:v>55355</c:v>
                </c:pt>
                <c:pt idx="15">
                  <c:v>54918</c:v>
                </c:pt>
                <c:pt idx="16">
                  <c:v>54337</c:v>
                </c:pt>
                <c:pt idx="17">
                  <c:v>53810</c:v>
                </c:pt>
                <c:pt idx="18">
                  <c:v>53105</c:v>
                </c:pt>
                <c:pt idx="19">
                  <c:v>52312</c:v>
                </c:pt>
                <c:pt idx="20">
                  <c:v>51426</c:v>
                </c:pt>
                <c:pt idx="21">
                  <c:v>50543</c:v>
                </c:pt>
                <c:pt idx="22">
                  <c:v>49814</c:v>
                </c:pt>
                <c:pt idx="23">
                  <c:v>49409</c:v>
                </c:pt>
                <c:pt idx="24">
                  <c:v>49245</c:v>
                </c:pt>
                <c:pt idx="25">
                  <c:v>49300</c:v>
                </c:pt>
                <c:pt idx="26">
                  <c:v>49567</c:v>
                </c:pt>
                <c:pt idx="27">
                  <c:v>50062</c:v>
                </c:pt>
                <c:pt idx="28">
                  <c:v>50780</c:v>
                </c:pt>
                <c:pt idx="29">
                  <c:v>51656</c:v>
                </c:pt>
                <c:pt idx="30">
                  <c:v>52651</c:v>
                </c:pt>
                <c:pt idx="31">
                  <c:v>53739</c:v>
                </c:pt>
                <c:pt idx="32">
                  <c:v>54878</c:v>
                </c:pt>
                <c:pt idx="33">
                  <c:v>56028</c:v>
                </c:pt>
                <c:pt idx="34">
                  <c:v>57149</c:v>
                </c:pt>
                <c:pt idx="35">
                  <c:v>58205</c:v>
                </c:pt>
                <c:pt idx="36">
                  <c:v>59177</c:v>
                </c:pt>
                <c:pt idx="37">
                  <c:v>60038</c:v>
                </c:pt>
                <c:pt idx="38">
                  <c:v>60786</c:v>
                </c:pt>
                <c:pt idx="39">
                  <c:v>61406</c:v>
                </c:pt>
                <c:pt idx="40">
                  <c:v>61878</c:v>
                </c:pt>
              </c:numCache>
            </c:numRef>
          </c:val>
          <c:smooth val="0"/>
          <c:extLst>
            <c:ext xmlns:c16="http://schemas.microsoft.com/office/drawing/2014/chart" uri="{C3380CC4-5D6E-409C-BE32-E72D297353CC}">
              <c16:uniqueId val="{00000002-F95A-4BCB-AEEB-E9DED50B9672}"/>
            </c:ext>
          </c:extLst>
        </c:ser>
        <c:ser>
          <c:idx val="3"/>
          <c:order val="3"/>
          <c:tx>
            <c:strRef>
              <c:f>'GPI College-Age Population'!$AC$3</c:f>
              <c:strCache>
                <c:ptCount val="1"/>
                <c:pt idx="0">
                  <c:v>SLCC</c:v>
                </c:pt>
              </c:strCache>
            </c:strRef>
          </c:tx>
          <c:spPr>
            <a:ln w="28575" cap="rnd">
              <a:solidFill>
                <a:schemeClr val="accent4"/>
              </a:solidFill>
              <a:round/>
            </a:ln>
            <a:effectLst/>
          </c:spPr>
          <c:marker>
            <c:symbol val="none"/>
          </c:marker>
          <c:cat>
            <c:numRef>
              <c:f>'GPI College-Age Population'!$Y$4:$Y$44</c:f>
              <c:numCache>
                <c:formatCode>0</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'GPI College-Age Population'!$AC$4:$AC$44</c:f>
              <c:numCache>
                <c:formatCode>_(* #,##0_);_(* \(#,##0\);_(* "-"??_);_(@_)</c:formatCode>
                <c:ptCount val="41"/>
                <c:pt idx="0">
                  <c:v>27293</c:v>
                </c:pt>
                <c:pt idx="1">
                  <c:v>27225</c:v>
                </c:pt>
                <c:pt idx="2">
                  <c:v>26300</c:v>
                </c:pt>
                <c:pt idx="3">
                  <c:v>26764</c:v>
                </c:pt>
                <c:pt idx="4">
                  <c:v>27733</c:v>
                </c:pt>
                <c:pt idx="5">
                  <c:v>28651</c:v>
                </c:pt>
                <c:pt idx="6">
                  <c:v>29737</c:v>
                </c:pt>
                <c:pt idx="7">
                  <c:v>30593</c:v>
                </c:pt>
                <c:pt idx="8">
                  <c:v>30968</c:v>
                </c:pt>
                <c:pt idx="9">
                  <c:v>31182</c:v>
                </c:pt>
                <c:pt idx="10">
                  <c:v>31259</c:v>
                </c:pt>
                <c:pt idx="11">
                  <c:v>31281</c:v>
                </c:pt>
                <c:pt idx="12">
                  <c:v>31217</c:v>
                </c:pt>
                <c:pt idx="13">
                  <c:v>31119</c:v>
                </c:pt>
                <c:pt idx="14">
                  <c:v>30993</c:v>
                </c:pt>
                <c:pt idx="15">
                  <c:v>30820</c:v>
                </c:pt>
                <c:pt idx="16">
                  <c:v>30590</c:v>
                </c:pt>
                <c:pt idx="17">
                  <c:v>30382</c:v>
                </c:pt>
                <c:pt idx="18">
                  <c:v>30104</c:v>
                </c:pt>
                <c:pt idx="19">
                  <c:v>29790</c:v>
                </c:pt>
                <c:pt idx="20">
                  <c:v>29440</c:v>
                </c:pt>
                <c:pt idx="21">
                  <c:v>29092</c:v>
                </c:pt>
                <c:pt idx="22">
                  <c:v>28803</c:v>
                </c:pt>
                <c:pt idx="23">
                  <c:v>28644</c:v>
                </c:pt>
                <c:pt idx="24">
                  <c:v>28579</c:v>
                </c:pt>
                <c:pt idx="25">
                  <c:v>28600</c:v>
                </c:pt>
                <c:pt idx="26">
                  <c:v>28706</c:v>
                </c:pt>
                <c:pt idx="27">
                  <c:v>28902</c:v>
                </c:pt>
                <c:pt idx="28">
                  <c:v>29185</c:v>
                </c:pt>
                <c:pt idx="29">
                  <c:v>29531</c:v>
                </c:pt>
                <c:pt idx="30">
                  <c:v>29924</c:v>
                </c:pt>
                <c:pt idx="31">
                  <c:v>30354</c:v>
                </c:pt>
                <c:pt idx="32">
                  <c:v>30804</c:v>
                </c:pt>
                <c:pt idx="33">
                  <c:v>31258</c:v>
                </c:pt>
                <c:pt idx="34">
                  <c:v>31701</c:v>
                </c:pt>
                <c:pt idx="35">
                  <c:v>32119</c:v>
                </c:pt>
                <c:pt idx="36">
                  <c:v>32502</c:v>
                </c:pt>
                <c:pt idx="37">
                  <c:v>32843</c:v>
                </c:pt>
                <c:pt idx="38">
                  <c:v>33138</c:v>
                </c:pt>
                <c:pt idx="39">
                  <c:v>33383</c:v>
                </c:pt>
                <c:pt idx="40">
                  <c:v>33569</c:v>
                </c:pt>
              </c:numCache>
            </c:numRef>
          </c:val>
          <c:smooth val="0"/>
          <c:extLst>
            <c:ext xmlns:c16="http://schemas.microsoft.com/office/drawing/2014/chart" uri="{C3380CC4-5D6E-409C-BE32-E72D297353CC}">
              <c16:uniqueId val="{00000003-F95A-4BCB-AEEB-E9DED50B9672}"/>
            </c:ext>
          </c:extLst>
        </c:ser>
        <c:ser>
          <c:idx val="4"/>
          <c:order val="4"/>
          <c:tx>
            <c:strRef>
              <c:f>'GPI College-Age Population'!$AD$3</c:f>
              <c:strCache>
                <c:ptCount val="1"/>
                <c:pt idx="0">
                  <c:v>BYU</c:v>
                </c:pt>
              </c:strCache>
            </c:strRef>
          </c:tx>
          <c:spPr>
            <a:ln w="28575" cap="rnd">
              <a:solidFill>
                <a:schemeClr val="accent5"/>
              </a:solidFill>
              <a:round/>
            </a:ln>
            <a:effectLst/>
          </c:spPr>
          <c:marker>
            <c:symbol val="none"/>
          </c:marker>
          <c:cat>
            <c:numRef>
              <c:f>'GPI College-Age Population'!$Y$4:$Y$44</c:f>
              <c:numCache>
                <c:formatCode>0</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'GPI College-Age Population'!$AD$4:$AD$44</c:f>
              <c:numCache>
                <c:formatCode>_(* #,##0_);_(* \(#,##0\);_(* "-"??_);_(@_)</c:formatCode>
                <c:ptCount val="41"/>
                <c:pt idx="0">
                  <c:v>36461</c:v>
                </c:pt>
                <c:pt idx="1">
                  <c:v>34811</c:v>
                </c:pt>
                <c:pt idx="2">
                  <c:v>34464</c:v>
                </c:pt>
                <c:pt idx="3">
                  <c:v>35074</c:v>
                </c:pt>
                <c:pt idx="4">
                  <c:v>36958</c:v>
                </c:pt>
                <c:pt idx="5">
                  <c:v>38743</c:v>
                </c:pt>
                <c:pt idx="6">
                  <c:v>40854</c:v>
                </c:pt>
                <c:pt idx="7">
                  <c:v>42520</c:v>
                </c:pt>
                <c:pt idx="8">
                  <c:v>43248</c:v>
                </c:pt>
                <c:pt idx="9">
                  <c:v>43665</c:v>
                </c:pt>
                <c:pt idx="10">
                  <c:v>43814</c:v>
                </c:pt>
                <c:pt idx="11">
                  <c:v>43857</c:v>
                </c:pt>
                <c:pt idx="12">
                  <c:v>43732</c:v>
                </c:pt>
                <c:pt idx="13">
                  <c:v>43542</c:v>
                </c:pt>
                <c:pt idx="14">
                  <c:v>43297</c:v>
                </c:pt>
                <c:pt idx="15">
                  <c:v>42961</c:v>
                </c:pt>
                <c:pt idx="16">
                  <c:v>42514</c:v>
                </c:pt>
                <c:pt idx="17">
                  <c:v>42109</c:v>
                </c:pt>
                <c:pt idx="18">
                  <c:v>41568</c:v>
                </c:pt>
                <c:pt idx="19">
                  <c:v>40959</c:v>
                </c:pt>
                <c:pt idx="20">
                  <c:v>40278</c:v>
                </c:pt>
                <c:pt idx="21">
                  <c:v>39600</c:v>
                </c:pt>
                <c:pt idx="22">
                  <c:v>39040</c:v>
                </c:pt>
                <c:pt idx="23">
                  <c:v>38729</c:v>
                </c:pt>
                <c:pt idx="24">
                  <c:v>38603</c:v>
                </c:pt>
                <c:pt idx="25">
                  <c:v>38645</c:v>
                </c:pt>
                <c:pt idx="26">
                  <c:v>38851</c:v>
                </c:pt>
                <c:pt idx="27">
                  <c:v>39230</c:v>
                </c:pt>
                <c:pt idx="28">
                  <c:v>39782</c:v>
                </c:pt>
                <c:pt idx="29">
                  <c:v>40455</c:v>
                </c:pt>
                <c:pt idx="30">
                  <c:v>41219</c:v>
                </c:pt>
                <c:pt idx="31">
                  <c:v>42055</c:v>
                </c:pt>
                <c:pt idx="32">
                  <c:v>42930</c:v>
                </c:pt>
                <c:pt idx="33">
                  <c:v>43813</c:v>
                </c:pt>
                <c:pt idx="34">
                  <c:v>44674</c:v>
                </c:pt>
                <c:pt idx="35">
                  <c:v>45486</c:v>
                </c:pt>
                <c:pt idx="36">
                  <c:v>46232</c:v>
                </c:pt>
                <c:pt idx="37">
                  <c:v>46894</c:v>
                </c:pt>
                <c:pt idx="38">
                  <c:v>47469</c:v>
                </c:pt>
                <c:pt idx="39">
                  <c:v>47944</c:v>
                </c:pt>
                <c:pt idx="40">
                  <c:v>48307</c:v>
                </c:pt>
              </c:numCache>
            </c:numRef>
          </c:val>
          <c:smooth val="0"/>
          <c:extLst>
            <c:ext xmlns:c16="http://schemas.microsoft.com/office/drawing/2014/chart" uri="{C3380CC4-5D6E-409C-BE32-E72D297353CC}">
              <c16:uniqueId val="{00000004-F95A-4BCB-AEEB-E9DED50B9672}"/>
            </c:ext>
          </c:extLst>
        </c:ser>
        <c:ser>
          <c:idx val="5"/>
          <c:order val="5"/>
          <c:tx>
            <c:strRef>
              <c:f>'GPI College-Age Population'!$AE$3</c:f>
              <c:strCache>
                <c:ptCount val="1"/>
                <c:pt idx="0">
                  <c:v>ENSIGN</c:v>
                </c:pt>
              </c:strCache>
            </c:strRef>
          </c:tx>
          <c:spPr>
            <a:ln w="28575" cap="rnd">
              <a:solidFill>
                <a:schemeClr val="accent6"/>
              </a:solidFill>
              <a:round/>
            </a:ln>
            <a:effectLst/>
          </c:spPr>
          <c:marker>
            <c:symbol val="none"/>
          </c:marker>
          <c:cat>
            <c:numRef>
              <c:f>'GPI College-Age Population'!$Y$4:$Y$44</c:f>
              <c:numCache>
                <c:formatCode>0</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'GPI College-Age Population'!$AE$4:$AE$44</c:f>
              <c:numCache>
                <c:formatCode>_(* #,##0_);_(* \(#,##0\);_(* "-"??_);_(@_)</c:formatCode>
                <c:ptCount val="41"/>
                <c:pt idx="0">
                  <c:v>1829</c:v>
                </c:pt>
                <c:pt idx="1">
                  <c:v>1731</c:v>
                </c:pt>
                <c:pt idx="2">
                  <c:v>1618</c:v>
                </c:pt>
                <c:pt idx="3">
                  <c:v>1831</c:v>
                </c:pt>
                <c:pt idx="4">
                  <c:v>1910</c:v>
                </c:pt>
                <c:pt idx="5">
                  <c:v>1986</c:v>
                </c:pt>
                <c:pt idx="6">
                  <c:v>2075</c:v>
                </c:pt>
                <c:pt idx="7">
                  <c:v>2145</c:v>
                </c:pt>
                <c:pt idx="8">
                  <c:v>2175</c:v>
                </c:pt>
                <c:pt idx="9">
                  <c:v>2193</c:v>
                </c:pt>
                <c:pt idx="10">
                  <c:v>2199</c:v>
                </c:pt>
                <c:pt idx="11">
                  <c:v>2201</c:v>
                </c:pt>
                <c:pt idx="12">
                  <c:v>2196</c:v>
                </c:pt>
                <c:pt idx="13">
                  <c:v>2188</c:v>
                </c:pt>
                <c:pt idx="14">
                  <c:v>2177</c:v>
                </c:pt>
                <c:pt idx="15">
                  <c:v>2163</c:v>
                </c:pt>
                <c:pt idx="16">
                  <c:v>2144</c:v>
                </c:pt>
                <c:pt idx="17">
                  <c:v>2127</c:v>
                </c:pt>
                <c:pt idx="18">
                  <c:v>2105</c:v>
                </c:pt>
                <c:pt idx="19">
                  <c:v>2079</c:v>
                </c:pt>
                <c:pt idx="20">
                  <c:v>2050</c:v>
                </c:pt>
                <c:pt idx="21">
                  <c:v>2022</c:v>
                </c:pt>
                <c:pt idx="22">
                  <c:v>1998</c:v>
                </c:pt>
                <c:pt idx="23">
                  <c:v>1985</c:v>
                </c:pt>
                <c:pt idx="24">
                  <c:v>1980</c:v>
                </c:pt>
                <c:pt idx="25">
                  <c:v>1981</c:v>
                </c:pt>
                <c:pt idx="26">
                  <c:v>1990</c:v>
                </c:pt>
                <c:pt idx="27">
                  <c:v>2006</c:v>
                </c:pt>
                <c:pt idx="28">
                  <c:v>2029</c:v>
                </c:pt>
                <c:pt idx="29">
                  <c:v>2058</c:v>
                </c:pt>
                <c:pt idx="30">
                  <c:v>2090</c:v>
                </c:pt>
                <c:pt idx="31">
                  <c:v>2125</c:v>
                </c:pt>
                <c:pt idx="32">
                  <c:v>2162</c:v>
                </c:pt>
                <c:pt idx="33">
                  <c:v>2199</c:v>
                </c:pt>
                <c:pt idx="34">
                  <c:v>2235</c:v>
                </c:pt>
                <c:pt idx="35">
                  <c:v>2270</c:v>
                </c:pt>
                <c:pt idx="36">
                  <c:v>2301</c:v>
                </c:pt>
                <c:pt idx="37">
                  <c:v>2329</c:v>
                </c:pt>
                <c:pt idx="38">
                  <c:v>2353</c:v>
                </c:pt>
                <c:pt idx="39">
                  <c:v>2373</c:v>
                </c:pt>
                <c:pt idx="40">
                  <c:v>2388</c:v>
                </c:pt>
              </c:numCache>
            </c:numRef>
          </c:val>
          <c:smooth val="0"/>
          <c:extLst>
            <c:ext xmlns:c16="http://schemas.microsoft.com/office/drawing/2014/chart" uri="{C3380CC4-5D6E-409C-BE32-E72D297353CC}">
              <c16:uniqueId val="{00000005-F95A-4BCB-AEEB-E9DED50B9672}"/>
            </c:ext>
          </c:extLst>
        </c:ser>
        <c:ser>
          <c:idx val="6"/>
          <c:order val="6"/>
          <c:tx>
            <c:strRef>
              <c:f>'GPI College-Age Population'!$AF$3</c:f>
              <c:strCache>
                <c:ptCount val="1"/>
                <c:pt idx="0">
                  <c:v>WESTMIN</c:v>
                </c:pt>
              </c:strCache>
            </c:strRef>
          </c:tx>
          <c:spPr>
            <a:ln w="28575" cap="rnd">
              <a:solidFill>
                <a:schemeClr val="accent1">
                  <a:lumMod val="60000"/>
                </a:schemeClr>
              </a:solidFill>
              <a:round/>
            </a:ln>
            <a:effectLst/>
          </c:spPr>
          <c:marker>
            <c:symbol val="none"/>
          </c:marker>
          <c:cat>
            <c:numRef>
              <c:f>'GPI College-Age Population'!$Y$4:$Y$44</c:f>
              <c:numCache>
                <c:formatCode>0</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'GPI College-Age Population'!$AF$4:$AF$44</c:f>
              <c:numCache>
                <c:formatCode>_(* #,##0_);_(* \(#,##0\);_(* "-"??_);_(@_)</c:formatCode>
                <c:ptCount val="41"/>
                <c:pt idx="0">
                  <c:v>1849</c:v>
                </c:pt>
                <c:pt idx="1">
                  <c:v>1535</c:v>
                </c:pt>
                <c:pt idx="2">
                  <c:v>1280</c:v>
                </c:pt>
                <c:pt idx="3">
                  <c:v>1214</c:v>
                </c:pt>
                <c:pt idx="4">
                  <c:v>1254</c:v>
                </c:pt>
                <c:pt idx="5">
                  <c:v>1293</c:v>
                </c:pt>
                <c:pt idx="6">
                  <c:v>1338</c:v>
                </c:pt>
                <c:pt idx="7">
                  <c:v>1374</c:v>
                </c:pt>
                <c:pt idx="8">
                  <c:v>1389</c:v>
                </c:pt>
                <c:pt idx="9">
                  <c:v>1398</c:v>
                </c:pt>
                <c:pt idx="10">
                  <c:v>1402</c:v>
                </c:pt>
                <c:pt idx="11">
                  <c:v>1403</c:v>
                </c:pt>
                <c:pt idx="12">
                  <c:v>1400</c:v>
                </c:pt>
                <c:pt idx="13">
                  <c:v>1396</c:v>
                </c:pt>
                <c:pt idx="14">
                  <c:v>1391</c:v>
                </c:pt>
                <c:pt idx="15">
                  <c:v>1383</c:v>
                </c:pt>
                <c:pt idx="16">
                  <c:v>1374</c:v>
                </c:pt>
                <c:pt idx="17">
                  <c:v>1365</c:v>
                </c:pt>
                <c:pt idx="18">
                  <c:v>1353</c:v>
                </c:pt>
                <c:pt idx="19">
                  <c:v>1340</c:v>
                </c:pt>
                <c:pt idx="20">
                  <c:v>1326</c:v>
                </c:pt>
                <c:pt idx="21">
                  <c:v>1311</c:v>
                </c:pt>
                <c:pt idx="22">
                  <c:v>1299</c:v>
                </c:pt>
                <c:pt idx="23">
                  <c:v>1292</c:v>
                </c:pt>
                <c:pt idx="24">
                  <c:v>1290</c:v>
                </c:pt>
                <c:pt idx="25">
                  <c:v>1291</c:v>
                </c:pt>
                <c:pt idx="26">
                  <c:v>1295</c:v>
                </c:pt>
                <c:pt idx="27">
                  <c:v>1303</c:v>
                </c:pt>
                <c:pt idx="28">
                  <c:v>1315</c:v>
                </c:pt>
                <c:pt idx="29">
                  <c:v>1330</c:v>
                </c:pt>
                <c:pt idx="30">
                  <c:v>1346</c:v>
                </c:pt>
                <c:pt idx="31">
                  <c:v>1364</c:v>
                </c:pt>
                <c:pt idx="32">
                  <c:v>1383</c:v>
                </c:pt>
                <c:pt idx="33">
                  <c:v>1402</c:v>
                </c:pt>
                <c:pt idx="34">
                  <c:v>1420</c:v>
                </c:pt>
                <c:pt idx="35">
                  <c:v>1438</c:v>
                </c:pt>
                <c:pt idx="36">
                  <c:v>1454</c:v>
                </c:pt>
                <c:pt idx="37">
                  <c:v>1468</c:v>
                </c:pt>
                <c:pt idx="38">
                  <c:v>1480</c:v>
                </c:pt>
                <c:pt idx="39">
                  <c:v>1490</c:v>
                </c:pt>
                <c:pt idx="40">
                  <c:v>1498</c:v>
                </c:pt>
              </c:numCache>
            </c:numRef>
          </c:val>
          <c:smooth val="0"/>
          <c:extLst>
            <c:ext xmlns:c16="http://schemas.microsoft.com/office/drawing/2014/chart" uri="{C3380CC4-5D6E-409C-BE32-E72D297353CC}">
              <c16:uniqueId val="{00000006-F95A-4BCB-AEEB-E9DED50B9672}"/>
            </c:ext>
          </c:extLst>
        </c:ser>
        <c:dLbls>
          <c:showLegendKey val="0"/>
          <c:showVal val="0"/>
          <c:showCatName val="0"/>
          <c:showSerName val="0"/>
          <c:showPercent val="0"/>
          <c:showBubbleSize val="0"/>
        </c:dLbls>
        <c:smooth val="0"/>
        <c:axId val="1704293759"/>
        <c:axId val="1704296639"/>
      </c:lineChart>
      <c:catAx>
        <c:axId val="1704293759"/>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96639"/>
        <c:crosses val="autoZero"/>
        <c:auto val="1"/>
        <c:lblAlgn val="ctr"/>
        <c:lblOffset val="100"/>
        <c:noMultiLvlLbl val="0"/>
      </c:catAx>
      <c:valAx>
        <c:axId val="17042966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93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190499</xdr:rowOff>
    </xdr:from>
    <xdr:to>
      <xdr:col>13</xdr:col>
      <xdr:colOff>428625</xdr:colOff>
      <xdr:row>27</xdr:row>
      <xdr:rowOff>66674</xdr:rowOff>
    </xdr:to>
    <xdr:graphicFrame macro="">
      <xdr:nvGraphicFramePr>
        <xdr:cNvPr id="5" name="Chart 1">
          <a:extLst>
            <a:ext uri="{FF2B5EF4-FFF2-40B4-BE49-F238E27FC236}">
              <a16:creationId xmlns:a16="http://schemas.microsoft.com/office/drawing/2014/main" id="{C758BB74-C52F-4EAC-94E7-B3D4F20B9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13</xdr:col>
      <xdr:colOff>428625</xdr:colOff>
      <xdr:row>43</xdr:row>
      <xdr:rowOff>19050</xdr:rowOff>
    </xdr:to>
    <xdr:graphicFrame macro="">
      <xdr:nvGraphicFramePr>
        <xdr:cNvPr id="6" name="Chart 5">
          <a:extLst>
            <a:ext uri="{FF2B5EF4-FFF2-40B4-BE49-F238E27FC236}">
              <a16:creationId xmlns:a16="http://schemas.microsoft.com/office/drawing/2014/main" id="{C94BF622-72F0-4EFA-BC03-32D40E0BB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190499</xdr:rowOff>
    </xdr:from>
    <xdr:to>
      <xdr:col>13</xdr:col>
      <xdr:colOff>428625</xdr:colOff>
      <xdr:row>77</xdr:row>
      <xdr:rowOff>173934</xdr:rowOff>
    </xdr:to>
    <xdr:graphicFrame macro="">
      <xdr:nvGraphicFramePr>
        <xdr:cNvPr id="2" name="Chart 1">
          <a:extLst>
            <a:ext uri="{FF2B5EF4-FFF2-40B4-BE49-F238E27FC236}">
              <a16:creationId xmlns:a16="http://schemas.microsoft.com/office/drawing/2014/main" id="{3BBA52D3-63EA-4037-953A-D61CA982A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381000</xdr:colOff>
      <xdr:row>15</xdr:row>
      <xdr:rowOff>76200</xdr:rowOff>
    </xdr:to>
    <xdr:graphicFrame macro="">
      <xdr:nvGraphicFramePr>
        <xdr:cNvPr id="22" name="Chart 21">
          <a:extLst>
            <a:ext uri="{FF2B5EF4-FFF2-40B4-BE49-F238E27FC236}">
              <a16:creationId xmlns:a16="http://schemas.microsoft.com/office/drawing/2014/main" id="{91CBB898-A0E3-4288-BDC2-BBC243FF9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7</xdr:col>
      <xdr:colOff>381000</xdr:colOff>
      <xdr:row>15</xdr:row>
      <xdr:rowOff>76200</xdr:rowOff>
    </xdr:to>
    <xdr:graphicFrame macro="">
      <xdr:nvGraphicFramePr>
        <xdr:cNvPr id="23" name="Chart 22">
          <a:extLst>
            <a:ext uri="{FF2B5EF4-FFF2-40B4-BE49-F238E27FC236}">
              <a16:creationId xmlns:a16="http://schemas.microsoft.com/office/drawing/2014/main" id="{986BAAD4-A38A-44BC-9BB3-A50EF571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7</xdr:col>
      <xdr:colOff>381000</xdr:colOff>
      <xdr:row>31</xdr:row>
      <xdr:rowOff>76200</xdr:rowOff>
    </xdr:to>
    <xdr:graphicFrame macro="">
      <xdr:nvGraphicFramePr>
        <xdr:cNvPr id="24" name="Chart 23">
          <a:extLst>
            <a:ext uri="{FF2B5EF4-FFF2-40B4-BE49-F238E27FC236}">
              <a16:creationId xmlns:a16="http://schemas.microsoft.com/office/drawing/2014/main" id="{C722CC9E-91F6-4CCE-B1CA-D400ED437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17</xdr:row>
      <xdr:rowOff>0</xdr:rowOff>
    </xdr:from>
    <xdr:to>
      <xdr:col>15</xdr:col>
      <xdr:colOff>381000</xdr:colOff>
      <xdr:row>31</xdr:row>
      <xdr:rowOff>76200</xdr:rowOff>
    </xdr:to>
    <xdr:graphicFrame macro="">
      <xdr:nvGraphicFramePr>
        <xdr:cNvPr id="25" name="Chart 24">
          <a:extLst>
            <a:ext uri="{FF2B5EF4-FFF2-40B4-BE49-F238E27FC236}">
              <a16:creationId xmlns:a16="http://schemas.microsoft.com/office/drawing/2014/main" id="{E654136D-6A0F-48C7-956E-AB3F5802E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9525</xdr:colOff>
      <xdr:row>0</xdr:row>
      <xdr:rowOff>161925</xdr:rowOff>
    </xdr:from>
    <xdr:to>
      <xdr:col>23</xdr:col>
      <xdr:colOff>390525</xdr:colOff>
      <xdr:row>15</xdr:row>
      <xdr:rowOff>47625</xdr:rowOff>
    </xdr:to>
    <xdr:graphicFrame macro="">
      <xdr:nvGraphicFramePr>
        <xdr:cNvPr id="26" name="Chart 25">
          <a:extLst>
            <a:ext uri="{FF2B5EF4-FFF2-40B4-BE49-F238E27FC236}">
              <a16:creationId xmlns:a16="http://schemas.microsoft.com/office/drawing/2014/main" id="{4A8DC08F-17BB-4ABD-BD3A-683405BC9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17</xdr:row>
      <xdr:rowOff>0</xdr:rowOff>
    </xdr:from>
    <xdr:to>
      <xdr:col>23</xdr:col>
      <xdr:colOff>381000</xdr:colOff>
      <xdr:row>31</xdr:row>
      <xdr:rowOff>76200</xdr:rowOff>
    </xdr:to>
    <xdr:graphicFrame macro="">
      <xdr:nvGraphicFramePr>
        <xdr:cNvPr id="27" name="Chart 26">
          <a:extLst>
            <a:ext uri="{FF2B5EF4-FFF2-40B4-BE49-F238E27FC236}">
              <a16:creationId xmlns:a16="http://schemas.microsoft.com/office/drawing/2014/main" id="{EDD82B92-0E97-430E-B1C0-7360767BC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0</xdr:colOff>
      <xdr:row>1</xdr:row>
      <xdr:rowOff>0</xdr:rowOff>
    </xdr:from>
    <xdr:to>
      <xdr:col>31</xdr:col>
      <xdr:colOff>381000</xdr:colOff>
      <xdr:row>15</xdr:row>
      <xdr:rowOff>76200</xdr:rowOff>
    </xdr:to>
    <xdr:graphicFrame macro="">
      <xdr:nvGraphicFramePr>
        <xdr:cNvPr id="28" name="Chart 27">
          <a:extLst>
            <a:ext uri="{FF2B5EF4-FFF2-40B4-BE49-F238E27FC236}">
              <a16:creationId xmlns:a16="http://schemas.microsoft.com/office/drawing/2014/main" id="{BD3D5500-528B-4495-824B-EA310EF93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xdr:col>
      <xdr:colOff>162410</xdr:colOff>
      <xdr:row>49</xdr:row>
      <xdr:rowOff>4597</xdr:rowOff>
    </xdr:from>
    <xdr:to>
      <xdr:col>31</xdr:col>
      <xdr:colOff>734774</xdr:colOff>
      <xdr:row>63</xdr:row>
      <xdr:rowOff>80797</xdr:rowOff>
    </xdr:to>
    <xdr:graphicFrame macro="">
      <xdr:nvGraphicFramePr>
        <xdr:cNvPr id="2" name="Chart 1">
          <a:extLst>
            <a:ext uri="{FF2B5EF4-FFF2-40B4-BE49-F238E27FC236}">
              <a16:creationId xmlns:a16="http://schemas.microsoft.com/office/drawing/2014/main" id="{C8219F8E-EDEC-DC86-F613-FF6FE13FD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19</xdr:col>
      <xdr:colOff>389486</xdr:colOff>
      <xdr:row>31</xdr:row>
      <xdr:rowOff>85000</xdr:rowOff>
    </xdr:to>
    <xdr:pic>
      <xdr:nvPicPr>
        <xdr:cNvPr id="3" name="Picture 2">
          <a:extLst>
            <a:ext uri="{FF2B5EF4-FFF2-40B4-BE49-F238E27FC236}">
              <a16:creationId xmlns:a16="http://schemas.microsoft.com/office/drawing/2014/main" id="{47530349-986F-478B-A6D0-1E72A1F89A82}"/>
            </a:ext>
          </a:extLst>
        </xdr:cNvPr>
        <xdr:cNvPicPr>
          <a:picLocks noChangeAspect="1"/>
        </xdr:cNvPicPr>
      </xdr:nvPicPr>
      <xdr:blipFill>
        <a:blip xmlns:r="http://schemas.openxmlformats.org/officeDocument/2006/relationships" r:embed="rId1"/>
        <a:stretch>
          <a:fillRect/>
        </a:stretch>
      </xdr:blipFill>
      <xdr:spPr>
        <a:xfrm>
          <a:off x="3657600" y="190500"/>
          <a:ext cx="8314286" cy="580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19</xdr:row>
      <xdr:rowOff>4763</xdr:rowOff>
    </xdr:from>
    <xdr:to>
      <xdr:col>8</xdr:col>
      <xdr:colOff>398143</xdr:colOff>
      <xdr:row>21</xdr:row>
      <xdr:rowOff>123825</xdr:rowOff>
    </xdr:to>
    <xdr:pic>
      <xdr:nvPicPr>
        <xdr:cNvPr id="2" name="Picture 1">
          <a:extLst>
            <a:ext uri="{FF2B5EF4-FFF2-40B4-BE49-F238E27FC236}">
              <a16:creationId xmlns:a16="http://schemas.microsoft.com/office/drawing/2014/main" id="{4531E8D3-0968-B75F-63E7-FF06CB98CD51}"/>
            </a:ext>
          </a:extLst>
        </xdr:cNvPr>
        <xdr:cNvPicPr>
          <a:picLocks noChangeAspect="1"/>
        </xdr:cNvPicPr>
      </xdr:nvPicPr>
      <xdr:blipFill>
        <a:blip xmlns:r="http://schemas.openxmlformats.org/officeDocument/2006/relationships" r:embed="rId1"/>
        <a:stretch>
          <a:fillRect/>
        </a:stretch>
      </xdr:blipFill>
      <xdr:spPr>
        <a:xfrm>
          <a:off x="0" y="3443288"/>
          <a:ext cx="5579743" cy="481012"/>
        </a:xfrm>
        <a:prstGeom prst="rect">
          <a:avLst/>
        </a:prstGeom>
      </xdr:spPr>
    </xdr:pic>
    <xdr:clientData/>
  </xdr:twoCellAnchor>
  <xdr:twoCellAnchor editAs="oneCell">
    <xdr:from>
      <xdr:col>15</xdr:col>
      <xdr:colOff>1</xdr:colOff>
      <xdr:row>19</xdr:row>
      <xdr:rowOff>1</xdr:rowOff>
    </xdr:from>
    <xdr:to>
      <xdr:col>24</xdr:col>
      <xdr:colOff>285750</xdr:colOff>
      <xdr:row>22</xdr:row>
      <xdr:rowOff>141815</xdr:rowOff>
    </xdr:to>
    <xdr:pic>
      <xdr:nvPicPr>
        <xdr:cNvPr id="5" name="Picture 4">
          <a:extLst>
            <a:ext uri="{FF2B5EF4-FFF2-40B4-BE49-F238E27FC236}">
              <a16:creationId xmlns:a16="http://schemas.microsoft.com/office/drawing/2014/main" id="{8FA0C9D7-0378-F096-6D5D-527CEC9544E7}"/>
            </a:ext>
          </a:extLst>
        </xdr:cNvPr>
        <xdr:cNvPicPr>
          <a:picLocks noChangeAspect="1"/>
        </xdr:cNvPicPr>
      </xdr:nvPicPr>
      <xdr:blipFill>
        <a:blip xmlns:r="http://schemas.openxmlformats.org/officeDocument/2006/relationships" r:embed="rId2"/>
        <a:stretch>
          <a:fillRect/>
        </a:stretch>
      </xdr:blipFill>
      <xdr:spPr>
        <a:xfrm>
          <a:off x="5829301" y="3438526"/>
          <a:ext cx="6115050" cy="6847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534866</xdr:colOff>
      <xdr:row>3</xdr:row>
      <xdr:rowOff>45263</xdr:rowOff>
    </xdr:from>
    <xdr:to>
      <xdr:col>11</xdr:col>
      <xdr:colOff>183173</xdr:colOff>
      <xdr:row>18</xdr:row>
      <xdr:rowOff>77648</xdr:rowOff>
    </xdr:to>
    <xdr:pic>
      <xdr:nvPicPr>
        <xdr:cNvPr id="2" name="Picture 1">
          <a:extLst>
            <a:ext uri="{FF2B5EF4-FFF2-40B4-BE49-F238E27FC236}">
              <a16:creationId xmlns:a16="http://schemas.microsoft.com/office/drawing/2014/main" id="{0781F624-165D-C4E0-0E48-2671E8E54B1B}"/>
            </a:ext>
          </a:extLst>
        </xdr:cNvPr>
        <xdr:cNvPicPr>
          <a:picLocks noChangeAspect="1"/>
        </xdr:cNvPicPr>
      </xdr:nvPicPr>
      <xdr:blipFill>
        <a:blip xmlns:r="http://schemas.openxmlformats.org/officeDocument/2006/relationships" r:embed="rId1"/>
        <a:stretch>
          <a:fillRect/>
        </a:stretch>
      </xdr:blipFill>
      <xdr:spPr>
        <a:xfrm>
          <a:off x="2967404" y="616763"/>
          <a:ext cx="3905250" cy="2889885"/>
        </a:xfrm>
        <a:prstGeom prst="rect">
          <a:avLst/>
        </a:prstGeom>
      </xdr:spPr>
    </xdr:pic>
    <xdr:clientData/>
  </xdr:twoCellAnchor>
  <xdr:twoCellAnchor editAs="oneCell">
    <xdr:from>
      <xdr:col>4</xdr:col>
      <xdr:colOff>500063</xdr:colOff>
      <xdr:row>20</xdr:row>
      <xdr:rowOff>161925</xdr:rowOff>
    </xdr:from>
    <xdr:to>
      <xdr:col>13</xdr:col>
      <xdr:colOff>589451</xdr:colOff>
      <xdr:row>37</xdr:row>
      <xdr:rowOff>151769</xdr:rowOff>
    </xdr:to>
    <xdr:pic>
      <xdr:nvPicPr>
        <xdr:cNvPr id="3" name="Picture 2">
          <a:extLst>
            <a:ext uri="{FF2B5EF4-FFF2-40B4-BE49-F238E27FC236}">
              <a16:creationId xmlns:a16="http://schemas.microsoft.com/office/drawing/2014/main" id="{5A6F2C61-FDAA-4F11-AF09-896FF347EA9E}"/>
            </a:ext>
          </a:extLst>
        </xdr:cNvPr>
        <xdr:cNvPicPr>
          <a:picLocks noChangeAspect="1"/>
        </xdr:cNvPicPr>
      </xdr:nvPicPr>
      <xdr:blipFill>
        <a:blip xmlns:r="http://schemas.openxmlformats.org/officeDocument/2006/relationships" r:embed="rId2"/>
        <a:stretch>
          <a:fillRect/>
        </a:stretch>
      </xdr:blipFill>
      <xdr:spPr>
        <a:xfrm>
          <a:off x="3109913" y="3781425"/>
          <a:ext cx="5961551" cy="3066419"/>
        </a:xfrm>
        <a:prstGeom prst="rect">
          <a:avLst/>
        </a:prstGeom>
      </xdr:spPr>
    </xdr:pic>
    <xdr:clientData/>
  </xdr:twoCellAnchor>
  <xdr:twoCellAnchor editAs="oneCell">
    <xdr:from>
      <xdr:col>13</xdr:col>
      <xdr:colOff>0</xdr:colOff>
      <xdr:row>3</xdr:row>
      <xdr:rowOff>0</xdr:rowOff>
    </xdr:from>
    <xdr:to>
      <xdr:col>19</xdr:col>
      <xdr:colOff>593670</xdr:colOff>
      <xdr:row>13</xdr:row>
      <xdr:rowOff>142874</xdr:rowOff>
    </xdr:to>
    <xdr:pic>
      <xdr:nvPicPr>
        <xdr:cNvPr id="4" name="Picture 3">
          <a:extLst>
            <a:ext uri="{FF2B5EF4-FFF2-40B4-BE49-F238E27FC236}">
              <a16:creationId xmlns:a16="http://schemas.microsoft.com/office/drawing/2014/main" id="{A88477F1-82C0-4588-9DC9-0A2ACFCF53A5}"/>
            </a:ext>
          </a:extLst>
        </xdr:cNvPr>
        <xdr:cNvPicPr>
          <a:picLocks noChangeAspect="1"/>
        </xdr:cNvPicPr>
      </xdr:nvPicPr>
      <xdr:blipFill>
        <a:blip xmlns:r="http://schemas.openxmlformats.org/officeDocument/2006/relationships" r:embed="rId3"/>
        <a:stretch>
          <a:fillRect/>
        </a:stretch>
      </xdr:blipFill>
      <xdr:spPr>
        <a:xfrm>
          <a:off x="7905750" y="571500"/>
          <a:ext cx="4242478" cy="2047874"/>
        </a:xfrm>
        <a:prstGeom prst="rect">
          <a:avLst/>
        </a:prstGeom>
      </xdr:spPr>
    </xdr:pic>
    <xdr:clientData/>
  </xdr:twoCellAnchor>
  <xdr:twoCellAnchor editAs="oneCell">
    <xdr:from>
      <xdr:col>21</xdr:col>
      <xdr:colOff>9525</xdr:colOff>
      <xdr:row>3</xdr:row>
      <xdr:rowOff>19051</xdr:rowOff>
    </xdr:from>
    <xdr:to>
      <xdr:col>29</xdr:col>
      <xdr:colOff>36889</xdr:colOff>
      <xdr:row>13</xdr:row>
      <xdr:rowOff>181435</xdr:rowOff>
    </xdr:to>
    <xdr:pic>
      <xdr:nvPicPr>
        <xdr:cNvPr id="5" name="Pictur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a:stretch>
          <a:fillRect/>
        </a:stretch>
      </xdr:blipFill>
      <xdr:spPr>
        <a:xfrm>
          <a:off x="12811125" y="590551"/>
          <a:ext cx="4942264" cy="20673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17</xdr:col>
      <xdr:colOff>75124</xdr:colOff>
      <xdr:row>13</xdr:row>
      <xdr:rowOff>18762</xdr:rowOff>
    </xdr:to>
    <xdr:pic>
      <xdr:nvPicPr>
        <xdr:cNvPr id="2" name="Picture 1">
          <a:extLst>
            <a:ext uri="{FF2B5EF4-FFF2-40B4-BE49-F238E27FC236}">
              <a16:creationId xmlns:a16="http://schemas.microsoft.com/office/drawing/2014/main" id="{1669A7C5-91D1-386D-B34B-63981ED3867C}"/>
            </a:ext>
          </a:extLst>
        </xdr:cNvPr>
        <xdr:cNvPicPr>
          <a:picLocks noChangeAspect="1"/>
        </xdr:cNvPicPr>
      </xdr:nvPicPr>
      <xdr:blipFill>
        <a:blip xmlns:r="http://schemas.openxmlformats.org/officeDocument/2006/relationships" r:embed="rId1"/>
        <a:stretch>
          <a:fillRect/>
        </a:stretch>
      </xdr:blipFill>
      <xdr:spPr>
        <a:xfrm>
          <a:off x="2438400" y="190500"/>
          <a:ext cx="8609524" cy="2304762"/>
        </a:xfrm>
        <a:prstGeom prst="rect">
          <a:avLst/>
        </a:prstGeom>
      </xdr:spPr>
    </xdr:pic>
    <xdr:clientData/>
  </xdr:twoCellAnchor>
  <xdr:twoCellAnchor editAs="oneCell">
    <xdr:from>
      <xdr:col>3</xdr:col>
      <xdr:colOff>0</xdr:colOff>
      <xdr:row>14</xdr:row>
      <xdr:rowOff>0</xdr:rowOff>
    </xdr:from>
    <xdr:to>
      <xdr:col>17</xdr:col>
      <xdr:colOff>56076</xdr:colOff>
      <xdr:row>26</xdr:row>
      <xdr:rowOff>66381</xdr:rowOff>
    </xdr:to>
    <xdr:pic>
      <xdr:nvPicPr>
        <xdr:cNvPr id="3" name="Picture 2">
          <a:extLst>
            <a:ext uri="{FF2B5EF4-FFF2-40B4-BE49-F238E27FC236}">
              <a16:creationId xmlns:a16="http://schemas.microsoft.com/office/drawing/2014/main" id="{C8870E41-0605-E35C-E6EA-37BDB88F8961}"/>
            </a:ext>
          </a:extLst>
        </xdr:cNvPr>
        <xdr:cNvPicPr>
          <a:picLocks noChangeAspect="1"/>
        </xdr:cNvPicPr>
      </xdr:nvPicPr>
      <xdr:blipFill>
        <a:blip xmlns:r="http://schemas.openxmlformats.org/officeDocument/2006/relationships" r:embed="rId2"/>
        <a:stretch>
          <a:fillRect/>
        </a:stretch>
      </xdr:blipFill>
      <xdr:spPr>
        <a:xfrm>
          <a:off x="2438400" y="2667000"/>
          <a:ext cx="8590476" cy="2352381"/>
        </a:xfrm>
        <a:prstGeom prst="rect">
          <a:avLst/>
        </a:prstGeom>
      </xdr:spPr>
    </xdr:pic>
    <xdr:clientData/>
  </xdr:twoCellAnchor>
  <xdr:twoCellAnchor editAs="oneCell">
    <xdr:from>
      <xdr:col>3</xdr:col>
      <xdr:colOff>0</xdr:colOff>
      <xdr:row>27</xdr:row>
      <xdr:rowOff>0</xdr:rowOff>
    </xdr:from>
    <xdr:to>
      <xdr:col>17</xdr:col>
      <xdr:colOff>37028</xdr:colOff>
      <xdr:row>39</xdr:row>
      <xdr:rowOff>18762</xdr:rowOff>
    </xdr:to>
    <xdr:pic>
      <xdr:nvPicPr>
        <xdr:cNvPr id="6" name="Picture 5">
          <a:extLst>
            <a:ext uri="{FF2B5EF4-FFF2-40B4-BE49-F238E27FC236}">
              <a16:creationId xmlns:a16="http://schemas.microsoft.com/office/drawing/2014/main" id="{98490862-385D-1115-23E8-5ED696D2B097}"/>
            </a:ext>
          </a:extLst>
        </xdr:cNvPr>
        <xdr:cNvPicPr>
          <a:picLocks noChangeAspect="1"/>
        </xdr:cNvPicPr>
      </xdr:nvPicPr>
      <xdr:blipFill>
        <a:blip xmlns:r="http://schemas.openxmlformats.org/officeDocument/2006/relationships" r:embed="rId3"/>
        <a:stretch>
          <a:fillRect/>
        </a:stretch>
      </xdr:blipFill>
      <xdr:spPr>
        <a:xfrm>
          <a:off x="1943100" y="5143500"/>
          <a:ext cx="8571428" cy="2304762"/>
        </a:xfrm>
        <a:prstGeom prst="rect">
          <a:avLst/>
        </a:prstGeom>
      </xdr:spPr>
    </xdr:pic>
    <xdr:clientData/>
  </xdr:twoCellAnchor>
  <xdr:twoCellAnchor editAs="oneCell">
    <xdr:from>
      <xdr:col>3</xdr:col>
      <xdr:colOff>0</xdr:colOff>
      <xdr:row>40</xdr:row>
      <xdr:rowOff>0</xdr:rowOff>
    </xdr:from>
    <xdr:to>
      <xdr:col>17</xdr:col>
      <xdr:colOff>56076</xdr:colOff>
      <xdr:row>52</xdr:row>
      <xdr:rowOff>37809</xdr:rowOff>
    </xdr:to>
    <xdr:pic>
      <xdr:nvPicPr>
        <xdr:cNvPr id="7" name="Picture 6">
          <a:extLst>
            <a:ext uri="{FF2B5EF4-FFF2-40B4-BE49-F238E27FC236}">
              <a16:creationId xmlns:a16="http://schemas.microsoft.com/office/drawing/2014/main" id="{34C79F7D-5658-8BC3-7BC4-72F2AA87B54A}"/>
            </a:ext>
          </a:extLst>
        </xdr:cNvPr>
        <xdr:cNvPicPr>
          <a:picLocks noChangeAspect="1"/>
        </xdr:cNvPicPr>
      </xdr:nvPicPr>
      <xdr:blipFill>
        <a:blip xmlns:r="http://schemas.openxmlformats.org/officeDocument/2006/relationships" r:embed="rId4"/>
        <a:stretch>
          <a:fillRect/>
        </a:stretch>
      </xdr:blipFill>
      <xdr:spPr>
        <a:xfrm>
          <a:off x="1943100" y="7620000"/>
          <a:ext cx="8590476" cy="2323809"/>
        </a:xfrm>
        <a:prstGeom prst="rect">
          <a:avLst/>
        </a:prstGeom>
      </xdr:spPr>
    </xdr:pic>
    <xdr:clientData/>
  </xdr:twoCellAnchor>
  <xdr:twoCellAnchor editAs="oneCell">
    <xdr:from>
      <xdr:col>3</xdr:col>
      <xdr:colOff>0</xdr:colOff>
      <xdr:row>53</xdr:row>
      <xdr:rowOff>0</xdr:rowOff>
    </xdr:from>
    <xdr:to>
      <xdr:col>17</xdr:col>
      <xdr:colOff>46552</xdr:colOff>
      <xdr:row>65</xdr:row>
      <xdr:rowOff>9238</xdr:rowOff>
    </xdr:to>
    <xdr:pic>
      <xdr:nvPicPr>
        <xdr:cNvPr id="8" name="Picture 7">
          <a:extLst>
            <a:ext uri="{FF2B5EF4-FFF2-40B4-BE49-F238E27FC236}">
              <a16:creationId xmlns:a16="http://schemas.microsoft.com/office/drawing/2014/main" id="{FF116E29-9E89-1CF2-8D49-C419987E21F5}"/>
            </a:ext>
          </a:extLst>
        </xdr:cNvPr>
        <xdr:cNvPicPr>
          <a:picLocks noChangeAspect="1"/>
        </xdr:cNvPicPr>
      </xdr:nvPicPr>
      <xdr:blipFill>
        <a:blip xmlns:r="http://schemas.openxmlformats.org/officeDocument/2006/relationships" r:embed="rId5"/>
        <a:stretch>
          <a:fillRect/>
        </a:stretch>
      </xdr:blipFill>
      <xdr:spPr>
        <a:xfrm>
          <a:off x="1943100" y="10096500"/>
          <a:ext cx="8580952" cy="2295238"/>
        </a:xfrm>
        <a:prstGeom prst="rect">
          <a:avLst/>
        </a:prstGeom>
      </xdr:spPr>
    </xdr:pic>
    <xdr:clientData/>
  </xdr:twoCellAnchor>
  <xdr:twoCellAnchor editAs="oneCell">
    <xdr:from>
      <xdr:col>3</xdr:col>
      <xdr:colOff>0</xdr:colOff>
      <xdr:row>66</xdr:row>
      <xdr:rowOff>0</xdr:rowOff>
    </xdr:from>
    <xdr:to>
      <xdr:col>17</xdr:col>
      <xdr:colOff>17981</xdr:colOff>
      <xdr:row>77</xdr:row>
      <xdr:rowOff>190214</xdr:rowOff>
    </xdr:to>
    <xdr:pic>
      <xdr:nvPicPr>
        <xdr:cNvPr id="9" name="Picture 8">
          <a:extLst>
            <a:ext uri="{FF2B5EF4-FFF2-40B4-BE49-F238E27FC236}">
              <a16:creationId xmlns:a16="http://schemas.microsoft.com/office/drawing/2014/main" id="{00A210A5-1DBD-D610-610B-69C854F5301C}"/>
            </a:ext>
          </a:extLst>
        </xdr:cNvPr>
        <xdr:cNvPicPr>
          <a:picLocks noChangeAspect="1"/>
        </xdr:cNvPicPr>
      </xdr:nvPicPr>
      <xdr:blipFill>
        <a:blip xmlns:r="http://schemas.openxmlformats.org/officeDocument/2006/relationships" r:embed="rId6"/>
        <a:stretch>
          <a:fillRect/>
        </a:stretch>
      </xdr:blipFill>
      <xdr:spPr>
        <a:xfrm>
          <a:off x="1943100" y="12573000"/>
          <a:ext cx="8552381" cy="2285714"/>
        </a:xfrm>
        <a:prstGeom prst="rect">
          <a:avLst/>
        </a:prstGeom>
      </xdr:spPr>
    </xdr:pic>
    <xdr:clientData/>
  </xdr:twoCellAnchor>
  <xdr:twoCellAnchor editAs="oneCell">
    <xdr:from>
      <xdr:col>3</xdr:col>
      <xdr:colOff>0</xdr:colOff>
      <xdr:row>79</xdr:row>
      <xdr:rowOff>0</xdr:rowOff>
    </xdr:from>
    <xdr:to>
      <xdr:col>16</xdr:col>
      <xdr:colOff>218057</xdr:colOff>
      <xdr:row>102</xdr:row>
      <xdr:rowOff>151833</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7"/>
        <a:stretch>
          <a:fillRect/>
        </a:stretch>
      </xdr:blipFill>
      <xdr:spPr>
        <a:xfrm>
          <a:off x="1943100" y="15049500"/>
          <a:ext cx="8142857" cy="4533333"/>
        </a:xfrm>
        <a:prstGeom prst="rect">
          <a:avLst/>
        </a:prstGeom>
      </xdr:spPr>
    </xdr:pic>
    <xdr:clientData/>
  </xdr:twoCellAnchor>
  <xdr:twoCellAnchor editAs="oneCell">
    <xdr:from>
      <xdr:col>3</xdr:col>
      <xdr:colOff>0</xdr:colOff>
      <xdr:row>104</xdr:row>
      <xdr:rowOff>0</xdr:rowOff>
    </xdr:from>
    <xdr:to>
      <xdr:col>16</xdr:col>
      <xdr:colOff>218057</xdr:colOff>
      <xdr:row>127</xdr:row>
      <xdr:rowOff>189929</xdr:rowOff>
    </xdr:to>
    <xdr:pic>
      <xdr:nvPicPr>
        <xdr:cNvPr id="10" name="Picture 9">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8"/>
        <a:stretch>
          <a:fillRect/>
        </a:stretch>
      </xdr:blipFill>
      <xdr:spPr>
        <a:xfrm>
          <a:off x="1943100" y="19812000"/>
          <a:ext cx="8142857" cy="4571429"/>
        </a:xfrm>
        <a:prstGeom prst="rect">
          <a:avLst/>
        </a:prstGeom>
      </xdr:spPr>
    </xdr:pic>
    <xdr:clientData/>
  </xdr:twoCellAnchor>
  <xdr:twoCellAnchor editAs="oneCell">
    <xdr:from>
      <xdr:col>3</xdr:col>
      <xdr:colOff>0</xdr:colOff>
      <xdr:row>129</xdr:row>
      <xdr:rowOff>0</xdr:rowOff>
    </xdr:from>
    <xdr:to>
      <xdr:col>16</xdr:col>
      <xdr:colOff>218057</xdr:colOff>
      <xdr:row>152</xdr:row>
      <xdr:rowOff>189929</xdr:rowOff>
    </xdr:to>
    <xdr:pic>
      <xdr:nvPicPr>
        <xdr:cNvPr id="11" name="Picture 10">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9"/>
        <a:stretch>
          <a:fillRect/>
        </a:stretch>
      </xdr:blipFill>
      <xdr:spPr>
        <a:xfrm>
          <a:off x="1943100" y="24574500"/>
          <a:ext cx="8142857" cy="4571429"/>
        </a:xfrm>
        <a:prstGeom prst="rect">
          <a:avLst/>
        </a:prstGeom>
      </xdr:spPr>
    </xdr:pic>
    <xdr:clientData/>
  </xdr:twoCellAnchor>
  <xdr:twoCellAnchor editAs="oneCell">
    <xdr:from>
      <xdr:col>3</xdr:col>
      <xdr:colOff>0</xdr:colOff>
      <xdr:row>154</xdr:row>
      <xdr:rowOff>0</xdr:rowOff>
    </xdr:from>
    <xdr:to>
      <xdr:col>16</xdr:col>
      <xdr:colOff>218057</xdr:colOff>
      <xdr:row>177</xdr:row>
      <xdr:rowOff>180405</xdr:rowOff>
    </xdr:to>
    <xdr:pic>
      <xdr:nvPicPr>
        <xdr:cNvPr id="12" name="Picture 11">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10"/>
        <a:stretch>
          <a:fillRect/>
        </a:stretch>
      </xdr:blipFill>
      <xdr:spPr>
        <a:xfrm>
          <a:off x="1943100" y="29337000"/>
          <a:ext cx="8142857" cy="45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hyperlink" Target="https://d36oiwf74r1rap.cloudfront.net/wp-content/uploads/SchColAgeFS-Dec2022.pdf" TargetMode="Externa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ushe.edu/wp-content/uploads/pdf/databook/2020/2020_full_databook.pdf" TargetMode="External"/><Relationship Id="rId1" Type="http://schemas.openxmlformats.org/officeDocument/2006/relationships/hyperlink" Target="https://ushe.edu/data/"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he.edu/institutional-data-resources-fte/" TargetMode="External"/><Relationship Id="rId7" Type="http://schemas.openxmlformats.org/officeDocument/2006/relationships/drawing" Target="../drawings/drawing5.xml"/><Relationship Id="rId2" Type="http://schemas.openxmlformats.org/officeDocument/2006/relationships/hyperlink" Target="https://ushe.edu/institutional-data-resources/" TargetMode="External"/><Relationship Id="rId1" Type="http://schemas.openxmlformats.org/officeDocument/2006/relationships/hyperlink" Target="https://ushe.edu/institutional-data-resources-headcount/" TargetMode="External"/><Relationship Id="rId6" Type="http://schemas.openxmlformats.org/officeDocument/2006/relationships/printerSettings" Target="../printerSettings/printerSettings6.bin"/><Relationship Id="rId5" Type="http://schemas.openxmlformats.org/officeDocument/2006/relationships/hyperlink" Target="https://ushe.edu/wp-content/uploads/pdf/databook/2021/2021_databook.pdf" TargetMode="External"/><Relationship Id="rId4" Type="http://schemas.openxmlformats.org/officeDocument/2006/relationships/hyperlink" Target="https://ushe.edu/dat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datausa.io/profile/university/brigham-young-university"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estminstercollege.edu/about/" TargetMode="External"/><Relationship Id="rId1" Type="http://schemas.openxmlformats.org/officeDocument/2006/relationships/hyperlink" Target="https://westminstercollege.edu/about/institutional-research/common-data-set.html" TargetMode="External"/><Relationship Id="rId4"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ensign.edu/institutional-research"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U73"/>
  <sheetViews>
    <sheetView topLeftCell="A28" zoomScale="80" zoomScaleNormal="80" workbookViewId="0">
      <selection sqref="A1:O72"/>
    </sheetView>
  </sheetViews>
  <sheetFormatPr defaultColWidth="9" defaultRowHeight="15"/>
  <cols>
    <col min="1" max="15" width="12.140625" style="7" customWidth="1"/>
    <col min="16" max="16" width="9" style="7"/>
    <col min="17" max="17" width="12" style="7" customWidth="1"/>
    <col min="18" max="18" width="29.42578125" style="7" customWidth="1"/>
    <col min="19" max="19" width="9.28515625" style="7" bestFit="1" customWidth="1"/>
    <col min="20" max="21" width="9" style="7"/>
    <col min="22" max="16384" width="9" style="2"/>
  </cols>
  <sheetData>
    <row r="1" spans="1:19">
      <c r="A1" s="3" t="s">
        <v>110</v>
      </c>
      <c r="B1" s="3" t="s">
        <v>15</v>
      </c>
      <c r="C1" s="3" t="s">
        <v>16</v>
      </c>
      <c r="D1" s="3" t="s">
        <v>52</v>
      </c>
      <c r="E1" s="3" t="s">
        <v>53</v>
      </c>
      <c r="F1" s="3" t="s">
        <v>54</v>
      </c>
      <c r="G1" s="3" t="s">
        <v>55</v>
      </c>
      <c r="H1" s="3" t="s">
        <v>99</v>
      </c>
      <c r="I1" s="3" t="s">
        <v>100</v>
      </c>
      <c r="J1" s="3" t="s">
        <v>119</v>
      </c>
      <c r="K1" s="3" t="s">
        <v>120</v>
      </c>
      <c r="L1" s="3" t="s">
        <v>121</v>
      </c>
      <c r="M1" s="3" t="s">
        <v>105</v>
      </c>
      <c r="N1" s="3" t="s">
        <v>104</v>
      </c>
      <c r="O1" s="3" t="s">
        <v>17</v>
      </c>
      <c r="Q1" s="118" t="s">
        <v>218</v>
      </c>
      <c r="R1" s="118" t="s">
        <v>219</v>
      </c>
      <c r="S1" s="118" t="s">
        <v>220</v>
      </c>
    </row>
    <row r="2" spans="1:19">
      <c r="A2" s="3">
        <v>1990</v>
      </c>
      <c r="B2" s="32">
        <f>INDEX('Campus Enrol Disaggregation'!$P$5:$AC$75,MATCH(Export_ControlTot!$A2,'Campus Enrol Disaggregation'!$O$5:$O$75,0),MATCH(B$1,'Campus Enrol Disaggregation'!$P$4:$AC$4,0))</f>
        <v>30450</v>
      </c>
      <c r="C2" s="32">
        <f>INDEX('Campus Enrol Disaggregation'!$P$5:$AC$75,MATCH(Export_ControlTot!$A2,'Campus Enrol Disaggregation'!$O$5:$O$75,0),MATCH(C$1,'Campus Enrol Disaggregation'!$P$4:$AC$4,0))</f>
        <v>0</v>
      </c>
      <c r="D2" s="32">
        <f>INDEX('Campus Enrol Disaggregation'!$P$5:$AC$75,MATCH(Export_ControlTot!$A2,'Campus Enrol Disaggregation'!$O$5:$O$75,0),MATCH(D$1,'Campus Enrol Disaggregation'!$P$4:$AC$4,0))</f>
        <v>9150</v>
      </c>
      <c r="E2" s="32">
        <f>INDEX('Campus Enrol Disaggregation'!$P$5:$AC$75,MATCH(Export_ControlTot!$A2,'Campus Enrol Disaggregation'!$O$5:$O$75,0),MATCH(E$1,'Campus Enrol Disaggregation'!$P$4:$AC$4,0))</f>
        <v>1800</v>
      </c>
      <c r="F2" s="32">
        <f>INDEX('Campus Enrol Disaggregation'!$P$5:$AC$75,MATCH(Export_ControlTot!$A2,'Campus Enrol Disaggregation'!$O$5:$O$75,0),MATCH(F$1,'Campus Enrol Disaggregation'!$P$4:$AC$4,0))</f>
        <v>200</v>
      </c>
      <c r="G2" s="32">
        <f>INDEX('Campus Enrol Disaggregation'!$P$5:$AC$75,MATCH(Export_ControlTot!$A2,'Campus Enrol Disaggregation'!$O$5:$O$75,0),MATCH(G$1,'Campus Enrol Disaggregation'!$P$4:$AC$4,0))</f>
        <v>1350</v>
      </c>
      <c r="H2" s="32">
        <f>INDEX('Campus Enrol Disaggregation'!$P$5:$AC$75,MATCH(Export_ControlTot!$A2,'Campus Enrol Disaggregation'!$O$5:$O$75,0),MATCH(H$1,'Campus Enrol Disaggregation'!$P$4:$AC$4,0))</f>
        <v>23550</v>
      </c>
      <c r="I2" s="32">
        <f>INDEX('Campus Enrol Disaggregation'!$P$5:$AC$75,MATCH(Export_ControlTot!$A2,'Campus Enrol Disaggregation'!$O$5:$O$75,0),MATCH(I$1,'Campus Enrol Disaggregation'!$P$4:$AC$4,0))</f>
        <v>7900</v>
      </c>
      <c r="J2" s="32">
        <f>INDEX('Campus Enrol Disaggregation'!$P$5:$AC$75,MATCH(Export_ControlTot!$A2,'Campus Enrol Disaggregation'!$O$5:$O$75,0),MATCH(J$1,'Campus Enrol Disaggregation'!$P$4:$AC$4,0))</f>
        <v>0</v>
      </c>
      <c r="K2" s="32">
        <f>INDEX('Campus Enrol Disaggregation'!$P$5:$AC$75,MATCH(Export_ControlTot!$A2,'Campus Enrol Disaggregation'!$O$5:$O$75,0),MATCH(K$1,'Campus Enrol Disaggregation'!$P$4:$AC$4,0))</f>
        <v>0</v>
      </c>
      <c r="L2" s="32">
        <f>INDEX('Campus Enrol Disaggregation'!$P$5:$AC$75,MATCH(Export_ControlTot!$A2,'Campus Enrol Disaggregation'!$O$5:$O$75,0),MATCH(L$1,'Campus Enrol Disaggregation'!$P$4:$AC$4,0))</f>
        <v>0</v>
      </c>
      <c r="M2" s="32">
        <f>INDEX('Campus Enrol Disaggregation'!$P$5:$AC$75,MATCH(Export_ControlTot!$A2,'Campus Enrol Disaggregation'!$O$5:$O$75,0),MATCH(M$1,'Campus Enrol Disaggregation'!$P$4:$AC$4,0))</f>
        <v>10900</v>
      </c>
      <c r="N2" s="32">
        <f>INDEX('Campus Enrol Disaggregation'!$P$5:$AC$75,MATCH(Export_ControlTot!$A2,'Campus Enrol Disaggregation'!$O$5:$O$75,0),MATCH(N$1,'Campus Enrol Disaggregation'!$P$4:$AC$4,0))</f>
        <v>2200</v>
      </c>
      <c r="O2" s="32">
        <f>INDEX('Campus Enrol Disaggregation'!$P$5:$AC$75,MATCH(Export_ControlTot!$A2,'Campus Enrol Disaggregation'!$O$5:$O$75,0),MATCH(O$1,'Campus Enrol Disaggregation'!$P$4:$AC$4,0))</f>
        <v>0</v>
      </c>
      <c r="Q2" s="119" t="s">
        <v>15</v>
      </c>
      <c r="R2" s="120" t="s">
        <v>189</v>
      </c>
      <c r="S2" s="121">
        <v>230038</v>
      </c>
    </row>
    <row r="3" spans="1:19">
      <c r="A3" s="3">
        <v>1991</v>
      </c>
      <c r="B3" s="32">
        <f>INDEX('Campus Enrol Disaggregation'!$P$5:$AC$75,MATCH(Export_ControlTot!$A3,'Campus Enrol Disaggregation'!$O$5:$O$75,0),MATCH(B$1,'Campus Enrol Disaggregation'!$P$4:$AC$4,0))</f>
        <v>31100</v>
      </c>
      <c r="C3" s="32">
        <f>INDEX('Campus Enrol Disaggregation'!$P$5:$AC$75,MATCH(Export_ControlTot!$A3,'Campus Enrol Disaggregation'!$O$5:$O$75,0),MATCH(C$1,'Campus Enrol Disaggregation'!$P$4:$AC$4,0))</f>
        <v>0</v>
      </c>
      <c r="D3" s="32">
        <f>INDEX('Campus Enrol Disaggregation'!$P$5:$AC$75,MATCH(Export_ControlTot!$A3,'Campus Enrol Disaggregation'!$O$5:$O$75,0),MATCH(D$1,'Campus Enrol Disaggregation'!$P$4:$AC$4,0))</f>
        <v>10950</v>
      </c>
      <c r="E3" s="32">
        <f>INDEX('Campus Enrol Disaggregation'!$P$5:$AC$75,MATCH(Export_ControlTot!$A3,'Campus Enrol Disaggregation'!$O$5:$O$75,0),MATCH(E$1,'Campus Enrol Disaggregation'!$P$4:$AC$4,0))</f>
        <v>2150</v>
      </c>
      <c r="F3" s="32">
        <f>INDEX('Campus Enrol Disaggregation'!$P$5:$AC$75,MATCH(Export_ControlTot!$A3,'Campus Enrol Disaggregation'!$O$5:$O$75,0),MATCH(F$1,'Campus Enrol Disaggregation'!$P$4:$AC$4,0))</f>
        <v>250</v>
      </c>
      <c r="G3" s="32">
        <f>INDEX('Campus Enrol Disaggregation'!$P$5:$AC$75,MATCH(Export_ControlTot!$A3,'Campus Enrol Disaggregation'!$O$5:$O$75,0),MATCH(G$1,'Campus Enrol Disaggregation'!$P$4:$AC$4,0))</f>
        <v>1650</v>
      </c>
      <c r="H3" s="32">
        <f>INDEX('Campus Enrol Disaggregation'!$P$5:$AC$75,MATCH(Export_ControlTot!$A3,'Campus Enrol Disaggregation'!$O$5:$O$75,0),MATCH(H$1,'Campus Enrol Disaggregation'!$P$4:$AC$4,0))</f>
        <v>24750</v>
      </c>
      <c r="I3" s="32">
        <f>INDEX('Campus Enrol Disaggregation'!$P$5:$AC$75,MATCH(Export_ControlTot!$A3,'Campus Enrol Disaggregation'!$O$5:$O$75,0),MATCH(I$1,'Campus Enrol Disaggregation'!$P$4:$AC$4,0))</f>
        <v>8800</v>
      </c>
      <c r="J3" s="32">
        <f>INDEX('Campus Enrol Disaggregation'!$P$5:$AC$75,MATCH(Export_ControlTot!$A3,'Campus Enrol Disaggregation'!$O$5:$O$75,0),MATCH(J$1,'Campus Enrol Disaggregation'!$P$4:$AC$4,0))</f>
        <v>0</v>
      </c>
      <c r="K3" s="32">
        <f>INDEX('Campus Enrol Disaggregation'!$P$5:$AC$75,MATCH(Export_ControlTot!$A3,'Campus Enrol Disaggregation'!$O$5:$O$75,0),MATCH(K$1,'Campus Enrol Disaggregation'!$P$4:$AC$4,0))</f>
        <v>0</v>
      </c>
      <c r="L3" s="32">
        <f>INDEX('Campus Enrol Disaggregation'!$P$5:$AC$75,MATCH(Export_ControlTot!$A3,'Campus Enrol Disaggregation'!$O$5:$O$75,0),MATCH(L$1,'Campus Enrol Disaggregation'!$P$4:$AC$4,0))</f>
        <v>0</v>
      </c>
      <c r="M3" s="32">
        <f>INDEX('Campus Enrol Disaggregation'!$P$5:$AC$75,MATCH(Export_ControlTot!$A3,'Campus Enrol Disaggregation'!$O$5:$O$75,0),MATCH(M$1,'Campus Enrol Disaggregation'!$P$4:$AC$4,0))</f>
        <v>11750</v>
      </c>
      <c r="N3" s="32">
        <f>INDEX('Campus Enrol Disaggregation'!$P$5:$AC$75,MATCH(Export_ControlTot!$A3,'Campus Enrol Disaggregation'!$O$5:$O$75,0),MATCH(N$1,'Campus Enrol Disaggregation'!$P$4:$AC$4,0))</f>
        <v>2350</v>
      </c>
      <c r="O3" s="32">
        <f>INDEX('Campus Enrol Disaggregation'!$P$5:$AC$75,MATCH(Export_ControlTot!$A3,'Campus Enrol Disaggregation'!$O$5:$O$75,0),MATCH(O$1,'Campus Enrol Disaggregation'!$P$4:$AC$4,0))</f>
        <v>0</v>
      </c>
      <c r="Q3" s="119" t="s">
        <v>16</v>
      </c>
      <c r="R3" s="120" t="s">
        <v>192</v>
      </c>
      <c r="S3" s="121">
        <v>230418</v>
      </c>
    </row>
    <row r="4" spans="1:19">
      <c r="A4" s="3">
        <v>1992</v>
      </c>
      <c r="B4" s="32">
        <f>INDEX('Campus Enrol Disaggregation'!$P$5:$AC$75,MATCH(Export_ControlTot!$A4,'Campus Enrol Disaggregation'!$O$5:$O$75,0),MATCH(B$1,'Campus Enrol Disaggregation'!$P$4:$AC$4,0))</f>
        <v>31100</v>
      </c>
      <c r="C4" s="32">
        <f>INDEX('Campus Enrol Disaggregation'!$P$5:$AC$75,MATCH(Export_ControlTot!$A4,'Campus Enrol Disaggregation'!$O$5:$O$75,0),MATCH(C$1,'Campus Enrol Disaggregation'!$P$4:$AC$4,0))</f>
        <v>0</v>
      </c>
      <c r="D4" s="32">
        <f>INDEX('Campus Enrol Disaggregation'!$P$5:$AC$75,MATCH(Export_ControlTot!$A4,'Campus Enrol Disaggregation'!$O$5:$O$75,0),MATCH(D$1,'Campus Enrol Disaggregation'!$P$4:$AC$4,0))</f>
        <v>12150</v>
      </c>
      <c r="E4" s="32">
        <f>INDEX('Campus Enrol Disaggregation'!$P$5:$AC$75,MATCH(Export_ControlTot!$A4,'Campus Enrol Disaggregation'!$O$5:$O$75,0),MATCH(E$1,'Campus Enrol Disaggregation'!$P$4:$AC$4,0))</f>
        <v>2350</v>
      </c>
      <c r="F4" s="32">
        <f>INDEX('Campus Enrol Disaggregation'!$P$5:$AC$75,MATCH(Export_ControlTot!$A4,'Campus Enrol Disaggregation'!$O$5:$O$75,0),MATCH(F$1,'Campus Enrol Disaggregation'!$P$4:$AC$4,0))</f>
        <v>300</v>
      </c>
      <c r="G4" s="32">
        <f>INDEX('Campus Enrol Disaggregation'!$P$5:$AC$75,MATCH(Export_ControlTot!$A4,'Campus Enrol Disaggregation'!$O$5:$O$75,0),MATCH(G$1,'Campus Enrol Disaggregation'!$P$4:$AC$4,0))</f>
        <v>1800</v>
      </c>
      <c r="H4" s="32">
        <f>INDEX('Campus Enrol Disaggregation'!$P$5:$AC$75,MATCH(Export_ControlTot!$A4,'Campus Enrol Disaggregation'!$O$5:$O$75,0),MATCH(H$1,'Campus Enrol Disaggregation'!$P$4:$AC$4,0))</f>
        <v>25050</v>
      </c>
      <c r="I4" s="32">
        <f>INDEX('Campus Enrol Disaggregation'!$P$5:$AC$75,MATCH(Export_ControlTot!$A4,'Campus Enrol Disaggregation'!$O$5:$O$75,0),MATCH(I$1,'Campus Enrol Disaggregation'!$P$4:$AC$4,0))</f>
        <v>9600</v>
      </c>
      <c r="J4" s="32">
        <f>INDEX('Campus Enrol Disaggregation'!$P$5:$AC$75,MATCH(Export_ControlTot!$A4,'Campus Enrol Disaggregation'!$O$5:$O$75,0),MATCH(J$1,'Campus Enrol Disaggregation'!$P$4:$AC$4,0))</f>
        <v>0</v>
      </c>
      <c r="K4" s="32">
        <f>INDEX('Campus Enrol Disaggregation'!$P$5:$AC$75,MATCH(Export_ControlTot!$A4,'Campus Enrol Disaggregation'!$O$5:$O$75,0),MATCH(K$1,'Campus Enrol Disaggregation'!$P$4:$AC$4,0))</f>
        <v>0</v>
      </c>
      <c r="L4" s="32">
        <f>INDEX('Campus Enrol Disaggregation'!$P$5:$AC$75,MATCH(Export_ControlTot!$A4,'Campus Enrol Disaggregation'!$O$5:$O$75,0),MATCH(L$1,'Campus Enrol Disaggregation'!$P$4:$AC$4,0))</f>
        <v>0</v>
      </c>
      <c r="M4" s="32">
        <f>INDEX('Campus Enrol Disaggregation'!$P$5:$AC$75,MATCH(Export_ControlTot!$A4,'Campus Enrol Disaggregation'!$O$5:$O$75,0),MATCH(M$1,'Campus Enrol Disaggregation'!$P$4:$AC$4,0))</f>
        <v>12150</v>
      </c>
      <c r="N4" s="32">
        <f>INDEX('Campus Enrol Disaggregation'!$P$5:$AC$75,MATCH(Export_ControlTot!$A4,'Campus Enrol Disaggregation'!$O$5:$O$75,0),MATCH(N$1,'Campus Enrol Disaggregation'!$P$4:$AC$4,0))</f>
        <v>2450</v>
      </c>
      <c r="O4" s="32">
        <f>INDEX('Campus Enrol Disaggregation'!$P$5:$AC$75,MATCH(Export_ControlTot!$A4,'Campus Enrol Disaggregation'!$O$5:$O$75,0),MATCH(O$1,'Campus Enrol Disaggregation'!$P$4:$AC$4,0))</f>
        <v>0</v>
      </c>
      <c r="Q4" s="119" t="s">
        <v>4</v>
      </c>
      <c r="R4" s="120" t="s">
        <v>191</v>
      </c>
      <c r="S4" s="121">
        <v>230746</v>
      </c>
    </row>
    <row r="5" spans="1:19">
      <c r="A5" s="3">
        <v>1993</v>
      </c>
      <c r="B5" s="32">
        <f>INDEX('Campus Enrol Disaggregation'!$P$5:$AC$75,MATCH(Export_ControlTot!$A5,'Campus Enrol Disaggregation'!$O$5:$O$75,0),MATCH(B$1,'Campus Enrol Disaggregation'!$P$4:$AC$4,0))</f>
        <v>30550</v>
      </c>
      <c r="C5" s="32">
        <f>INDEX('Campus Enrol Disaggregation'!$P$5:$AC$75,MATCH(Export_ControlTot!$A5,'Campus Enrol Disaggregation'!$O$5:$O$75,0),MATCH(C$1,'Campus Enrol Disaggregation'!$P$4:$AC$4,0))</f>
        <v>0</v>
      </c>
      <c r="D5" s="32">
        <f>INDEX('Campus Enrol Disaggregation'!$P$5:$AC$75,MATCH(Export_ControlTot!$A5,'Campus Enrol Disaggregation'!$O$5:$O$75,0),MATCH(D$1,'Campus Enrol Disaggregation'!$P$4:$AC$4,0))</f>
        <v>12550</v>
      </c>
      <c r="E5" s="32">
        <f>INDEX('Campus Enrol Disaggregation'!$P$5:$AC$75,MATCH(Export_ControlTot!$A5,'Campus Enrol Disaggregation'!$O$5:$O$75,0),MATCH(E$1,'Campus Enrol Disaggregation'!$P$4:$AC$4,0))</f>
        <v>2450</v>
      </c>
      <c r="F5" s="32">
        <f>INDEX('Campus Enrol Disaggregation'!$P$5:$AC$75,MATCH(Export_ControlTot!$A5,'Campus Enrol Disaggregation'!$O$5:$O$75,0),MATCH(F$1,'Campus Enrol Disaggregation'!$P$4:$AC$4,0))</f>
        <v>300</v>
      </c>
      <c r="G5" s="32">
        <f>INDEX('Campus Enrol Disaggregation'!$P$5:$AC$75,MATCH(Export_ControlTot!$A5,'Campus Enrol Disaggregation'!$O$5:$O$75,0),MATCH(G$1,'Campus Enrol Disaggregation'!$P$4:$AC$4,0))</f>
        <v>1850</v>
      </c>
      <c r="H5" s="32">
        <f>INDEX('Campus Enrol Disaggregation'!$P$5:$AC$75,MATCH(Export_ControlTot!$A5,'Campus Enrol Disaggregation'!$O$5:$O$75,0),MATCH(H$1,'Campus Enrol Disaggregation'!$P$4:$AC$4,0))</f>
        <v>25150</v>
      </c>
      <c r="I5" s="32">
        <f>INDEX('Campus Enrol Disaggregation'!$P$5:$AC$75,MATCH(Export_ControlTot!$A5,'Campus Enrol Disaggregation'!$O$5:$O$75,0),MATCH(I$1,'Campus Enrol Disaggregation'!$P$4:$AC$4,0))</f>
        <v>10500</v>
      </c>
      <c r="J5" s="32">
        <f>INDEX('Campus Enrol Disaggregation'!$P$5:$AC$75,MATCH(Export_ControlTot!$A5,'Campus Enrol Disaggregation'!$O$5:$O$75,0),MATCH(J$1,'Campus Enrol Disaggregation'!$P$4:$AC$4,0))</f>
        <v>0</v>
      </c>
      <c r="K5" s="32">
        <f>INDEX('Campus Enrol Disaggregation'!$P$5:$AC$75,MATCH(Export_ControlTot!$A5,'Campus Enrol Disaggregation'!$O$5:$O$75,0),MATCH(K$1,'Campus Enrol Disaggregation'!$P$4:$AC$4,0))</f>
        <v>0</v>
      </c>
      <c r="L5" s="32">
        <f>INDEX('Campus Enrol Disaggregation'!$P$5:$AC$75,MATCH(Export_ControlTot!$A5,'Campus Enrol Disaggregation'!$O$5:$O$75,0),MATCH(L$1,'Campus Enrol Disaggregation'!$P$4:$AC$4,0))</f>
        <v>0</v>
      </c>
      <c r="M5" s="32">
        <f>INDEX('Campus Enrol Disaggregation'!$P$5:$AC$75,MATCH(Export_ControlTot!$A5,'Campus Enrol Disaggregation'!$O$5:$O$75,0),MATCH(M$1,'Campus Enrol Disaggregation'!$P$4:$AC$4,0))</f>
        <v>11700</v>
      </c>
      <c r="N5" s="32">
        <f>INDEX('Campus Enrol Disaggregation'!$P$5:$AC$75,MATCH(Export_ControlTot!$A5,'Campus Enrol Disaggregation'!$O$5:$O$75,0),MATCH(N$1,'Campus Enrol Disaggregation'!$P$4:$AC$4,0))</f>
        <v>2350</v>
      </c>
      <c r="O5" s="32">
        <f>INDEX('Campus Enrol Disaggregation'!$P$5:$AC$75,MATCH(Export_ControlTot!$A5,'Campus Enrol Disaggregation'!$O$5:$O$75,0),MATCH(O$1,'Campus Enrol Disaggregation'!$P$4:$AC$4,0))</f>
        <v>0</v>
      </c>
      <c r="Q5" s="119" t="s">
        <v>190</v>
      </c>
      <c r="R5" s="120" t="s">
        <v>139</v>
      </c>
      <c r="S5" s="121">
        <v>230764</v>
      </c>
    </row>
    <row r="6" spans="1:19">
      <c r="A6" s="3">
        <v>1994</v>
      </c>
      <c r="B6" s="32">
        <f>INDEX('Campus Enrol Disaggregation'!$P$5:$AC$75,MATCH(Export_ControlTot!$A6,'Campus Enrol Disaggregation'!$O$5:$O$75,0),MATCH(B$1,'Campus Enrol Disaggregation'!$P$4:$AC$4,0))</f>
        <v>30400</v>
      </c>
      <c r="C6" s="32">
        <f>INDEX('Campus Enrol Disaggregation'!$P$5:$AC$75,MATCH(Export_ControlTot!$A6,'Campus Enrol Disaggregation'!$O$5:$O$75,0),MATCH(C$1,'Campus Enrol Disaggregation'!$P$4:$AC$4,0))</f>
        <v>0</v>
      </c>
      <c r="D6" s="32">
        <f>INDEX('Campus Enrol Disaggregation'!$P$5:$AC$75,MATCH(Export_ControlTot!$A6,'Campus Enrol Disaggregation'!$O$5:$O$75,0),MATCH(D$1,'Campus Enrol Disaggregation'!$P$4:$AC$4,0))</f>
        <v>13300</v>
      </c>
      <c r="E6" s="32">
        <f>INDEX('Campus Enrol Disaggregation'!$P$5:$AC$75,MATCH(Export_ControlTot!$A6,'Campus Enrol Disaggregation'!$O$5:$O$75,0),MATCH(E$1,'Campus Enrol Disaggregation'!$P$4:$AC$4,0))</f>
        <v>2600</v>
      </c>
      <c r="F6" s="32">
        <f>INDEX('Campus Enrol Disaggregation'!$P$5:$AC$75,MATCH(Export_ControlTot!$A6,'Campus Enrol Disaggregation'!$O$5:$O$75,0),MATCH(F$1,'Campus Enrol Disaggregation'!$P$4:$AC$4,0))</f>
        <v>300</v>
      </c>
      <c r="G6" s="32">
        <f>INDEX('Campus Enrol Disaggregation'!$P$5:$AC$75,MATCH(Export_ControlTot!$A6,'Campus Enrol Disaggregation'!$O$5:$O$75,0),MATCH(G$1,'Campus Enrol Disaggregation'!$P$4:$AC$4,0))</f>
        <v>2000</v>
      </c>
      <c r="H6" s="32">
        <f>INDEX('Campus Enrol Disaggregation'!$P$5:$AC$75,MATCH(Export_ControlTot!$A6,'Campus Enrol Disaggregation'!$O$5:$O$75,0),MATCH(H$1,'Campus Enrol Disaggregation'!$P$4:$AC$4,0))</f>
        <v>24850</v>
      </c>
      <c r="I6" s="32">
        <f>INDEX('Campus Enrol Disaggregation'!$P$5:$AC$75,MATCH(Export_ControlTot!$A6,'Campus Enrol Disaggregation'!$O$5:$O$75,0),MATCH(I$1,'Campus Enrol Disaggregation'!$P$4:$AC$4,0))</f>
        <v>13300</v>
      </c>
      <c r="J6" s="32">
        <f>INDEX('Campus Enrol Disaggregation'!$P$5:$AC$75,MATCH(Export_ControlTot!$A6,'Campus Enrol Disaggregation'!$O$5:$O$75,0),MATCH(J$1,'Campus Enrol Disaggregation'!$P$4:$AC$4,0))</f>
        <v>0</v>
      </c>
      <c r="K6" s="32">
        <f>INDEX('Campus Enrol Disaggregation'!$P$5:$AC$75,MATCH(Export_ControlTot!$A6,'Campus Enrol Disaggregation'!$O$5:$O$75,0),MATCH(K$1,'Campus Enrol Disaggregation'!$P$4:$AC$4,0))</f>
        <v>0</v>
      </c>
      <c r="L6" s="32">
        <f>INDEX('Campus Enrol Disaggregation'!$P$5:$AC$75,MATCH(Export_ControlTot!$A6,'Campus Enrol Disaggregation'!$O$5:$O$75,0),MATCH(L$1,'Campus Enrol Disaggregation'!$P$4:$AC$4,0))</f>
        <v>0</v>
      </c>
      <c r="M6" s="32">
        <f>INDEX('Campus Enrol Disaggregation'!$P$5:$AC$75,MATCH(Export_ControlTot!$A6,'Campus Enrol Disaggregation'!$O$5:$O$75,0),MATCH(M$1,'Campus Enrol Disaggregation'!$P$4:$AC$4,0))</f>
        <v>11550</v>
      </c>
      <c r="N6" s="32">
        <f>INDEX('Campus Enrol Disaggregation'!$P$5:$AC$75,MATCH(Export_ControlTot!$A6,'Campus Enrol Disaggregation'!$O$5:$O$75,0),MATCH(N$1,'Campus Enrol Disaggregation'!$P$4:$AC$4,0))</f>
        <v>2300</v>
      </c>
      <c r="O6" s="32">
        <f>INDEX('Campus Enrol Disaggregation'!$P$5:$AC$75,MATCH(Export_ControlTot!$A6,'Campus Enrol Disaggregation'!$O$5:$O$75,0),MATCH(O$1,'Campus Enrol Disaggregation'!$P$4:$AC$4,0))</f>
        <v>0</v>
      </c>
      <c r="Q6" s="119" t="s">
        <v>3</v>
      </c>
      <c r="R6" s="120" t="s">
        <v>137</v>
      </c>
      <c r="S6" s="121">
        <v>230737</v>
      </c>
    </row>
    <row r="7" spans="1:19">
      <c r="A7" s="3">
        <v>1995</v>
      </c>
      <c r="B7" s="32">
        <f>INDEX('Campus Enrol Disaggregation'!$P$5:$AC$75,MATCH(Export_ControlTot!$A7,'Campus Enrol Disaggregation'!$O$5:$O$75,0),MATCH(B$1,'Campus Enrol Disaggregation'!$P$4:$AC$4,0))</f>
        <v>30450</v>
      </c>
      <c r="C7" s="32">
        <f>INDEX('Campus Enrol Disaggregation'!$P$5:$AC$75,MATCH(Export_ControlTot!$A7,'Campus Enrol Disaggregation'!$O$5:$O$75,0),MATCH(C$1,'Campus Enrol Disaggregation'!$P$4:$AC$4,0))</f>
        <v>0</v>
      </c>
      <c r="D7" s="32">
        <f>INDEX('Campus Enrol Disaggregation'!$P$5:$AC$75,MATCH(Export_ControlTot!$A7,'Campus Enrol Disaggregation'!$O$5:$O$75,0),MATCH(D$1,'Campus Enrol Disaggregation'!$P$4:$AC$4,0))</f>
        <v>14250</v>
      </c>
      <c r="E7" s="32">
        <f>INDEX('Campus Enrol Disaggregation'!$P$5:$AC$75,MATCH(Export_ControlTot!$A7,'Campus Enrol Disaggregation'!$O$5:$O$75,0),MATCH(E$1,'Campus Enrol Disaggregation'!$P$4:$AC$4,0))</f>
        <v>2800</v>
      </c>
      <c r="F7" s="32">
        <f>INDEX('Campus Enrol Disaggregation'!$P$5:$AC$75,MATCH(Export_ControlTot!$A7,'Campus Enrol Disaggregation'!$O$5:$O$75,0),MATCH(F$1,'Campus Enrol Disaggregation'!$P$4:$AC$4,0))</f>
        <v>350</v>
      </c>
      <c r="G7" s="32">
        <f>INDEX('Campus Enrol Disaggregation'!$P$5:$AC$75,MATCH(Export_ControlTot!$A7,'Campus Enrol Disaggregation'!$O$5:$O$75,0),MATCH(G$1,'Campus Enrol Disaggregation'!$P$4:$AC$4,0))</f>
        <v>2100</v>
      </c>
      <c r="H7" s="32">
        <f>INDEX('Campus Enrol Disaggregation'!$P$5:$AC$75,MATCH(Export_ControlTot!$A7,'Campus Enrol Disaggregation'!$O$5:$O$75,0),MATCH(H$1,'Campus Enrol Disaggregation'!$P$4:$AC$4,0))</f>
        <v>25950</v>
      </c>
      <c r="I7" s="32">
        <f>INDEX('Campus Enrol Disaggregation'!$P$5:$AC$75,MATCH(Export_ControlTot!$A7,'Campus Enrol Disaggregation'!$O$5:$O$75,0),MATCH(I$1,'Campus Enrol Disaggregation'!$P$4:$AC$4,0))</f>
        <v>14050</v>
      </c>
      <c r="J7" s="32">
        <f>INDEX('Campus Enrol Disaggregation'!$P$5:$AC$75,MATCH(Export_ControlTot!$A7,'Campus Enrol Disaggregation'!$O$5:$O$75,0),MATCH(J$1,'Campus Enrol Disaggregation'!$P$4:$AC$4,0))</f>
        <v>0</v>
      </c>
      <c r="K7" s="32">
        <f>INDEX('Campus Enrol Disaggregation'!$P$5:$AC$75,MATCH(Export_ControlTot!$A7,'Campus Enrol Disaggregation'!$O$5:$O$75,0),MATCH(K$1,'Campus Enrol Disaggregation'!$P$4:$AC$4,0))</f>
        <v>0</v>
      </c>
      <c r="L7" s="32">
        <f>INDEX('Campus Enrol Disaggregation'!$P$5:$AC$75,MATCH(Export_ControlTot!$A7,'Campus Enrol Disaggregation'!$O$5:$O$75,0),MATCH(L$1,'Campus Enrol Disaggregation'!$P$4:$AC$4,0))</f>
        <v>0</v>
      </c>
      <c r="M7" s="32">
        <f>INDEX('Campus Enrol Disaggregation'!$P$5:$AC$75,MATCH(Export_ControlTot!$A7,'Campus Enrol Disaggregation'!$O$5:$O$75,0),MATCH(M$1,'Campus Enrol Disaggregation'!$P$4:$AC$4,0))</f>
        <v>11350</v>
      </c>
      <c r="N7" s="32">
        <f>INDEX('Campus Enrol Disaggregation'!$P$5:$AC$75,MATCH(Export_ControlTot!$A7,'Campus Enrol Disaggregation'!$O$5:$O$75,0),MATCH(N$1,'Campus Enrol Disaggregation'!$P$4:$AC$4,0))</f>
        <v>2300</v>
      </c>
      <c r="O7" s="32">
        <f>INDEX('Campus Enrol Disaggregation'!$P$5:$AC$75,MATCH(Export_ControlTot!$A7,'Campus Enrol Disaggregation'!$O$5:$O$75,0),MATCH(O$1,'Campus Enrol Disaggregation'!$P$4:$AC$4,0))</f>
        <v>0</v>
      </c>
      <c r="Q7" s="119" t="s">
        <v>2</v>
      </c>
      <c r="R7" s="120" t="s">
        <v>140</v>
      </c>
      <c r="S7" s="121">
        <v>230782</v>
      </c>
    </row>
    <row r="8" spans="1:19">
      <c r="A8" s="3">
        <v>1996</v>
      </c>
      <c r="B8" s="32">
        <f>INDEX('Campus Enrol Disaggregation'!$P$5:$AC$75,MATCH(Export_ControlTot!$A8,'Campus Enrol Disaggregation'!$O$5:$O$75,0),MATCH(B$1,'Campus Enrol Disaggregation'!$P$4:$AC$4,0))</f>
        <v>30550</v>
      </c>
      <c r="C8" s="32">
        <f>INDEX('Campus Enrol Disaggregation'!$P$5:$AC$75,MATCH(Export_ControlTot!$A8,'Campus Enrol Disaggregation'!$O$5:$O$75,0),MATCH(C$1,'Campus Enrol Disaggregation'!$P$4:$AC$4,0))</f>
        <v>0</v>
      </c>
      <c r="D8" s="32">
        <f>INDEX('Campus Enrol Disaggregation'!$P$5:$AC$75,MATCH(Export_ControlTot!$A8,'Campus Enrol Disaggregation'!$O$5:$O$75,0),MATCH(D$1,'Campus Enrol Disaggregation'!$P$4:$AC$4,0))</f>
        <v>15300</v>
      </c>
      <c r="E8" s="32">
        <f>INDEX('Campus Enrol Disaggregation'!$P$5:$AC$75,MATCH(Export_ControlTot!$A8,'Campus Enrol Disaggregation'!$O$5:$O$75,0),MATCH(E$1,'Campus Enrol Disaggregation'!$P$4:$AC$4,0))</f>
        <v>3000</v>
      </c>
      <c r="F8" s="32">
        <f>INDEX('Campus Enrol Disaggregation'!$P$5:$AC$75,MATCH(Export_ControlTot!$A8,'Campus Enrol Disaggregation'!$O$5:$O$75,0),MATCH(F$1,'Campus Enrol Disaggregation'!$P$4:$AC$4,0))</f>
        <v>350</v>
      </c>
      <c r="G8" s="32">
        <f>INDEX('Campus Enrol Disaggregation'!$P$5:$AC$75,MATCH(Export_ControlTot!$A8,'Campus Enrol Disaggregation'!$O$5:$O$75,0),MATCH(G$1,'Campus Enrol Disaggregation'!$P$4:$AC$4,0))</f>
        <v>2300</v>
      </c>
      <c r="H8" s="32">
        <f>INDEX('Campus Enrol Disaggregation'!$P$5:$AC$75,MATCH(Export_ControlTot!$A8,'Campus Enrol Disaggregation'!$O$5:$O$75,0),MATCH(H$1,'Campus Enrol Disaggregation'!$P$4:$AC$4,0))</f>
        <v>25250</v>
      </c>
      <c r="I8" s="32">
        <f>INDEX('Campus Enrol Disaggregation'!$P$5:$AC$75,MATCH(Export_ControlTot!$A8,'Campus Enrol Disaggregation'!$O$5:$O$75,0),MATCH(I$1,'Campus Enrol Disaggregation'!$P$4:$AC$4,0))</f>
        <v>14750</v>
      </c>
      <c r="J8" s="32">
        <f>INDEX('Campus Enrol Disaggregation'!$P$5:$AC$75,MATCH(Export_ControlTot!$A8,'Campus Enrol Disaggregation'!$O$5:$O$75,0),MATCH(J$1,'Campus Enrol Disaggregation'!$P$4:$AC$4,0))</f>
        <v>0</v>
      </c>
      <c r="K8" s="32">
        <f>INDEX('Campus Enrol Disaggregation'!$P$5:$AC$75,MATCH(Export_ControlTot!$A8,'Campus Enrol Disaggregation'!$O$5:$O$75,0),MATCH(K$1,'Campus Enrol Disaggregation'!$P$4:$AC$4,0))</f>
        <v>0</v>
      </c>
      <c r="L8" s="32">
        <f>INDEX('Campus Enrol Disaggregation'!$P$5:$AC$75,MATCH(Export_ControlTot!$A8,'Campus Enrol Disaggregation'!$O$5:$O$75,0),MATCH(L$1,'Campus Enrol Disaggregation'!$P$4:$AC$4,0))</f>
        <v>0</v>
      </c>
      <c r="M8" s="32">
        <f>INDEX('Campus Enrol Disaggregation'!$P$5:$AC$75,MATCH(Export_ControlTot!$A8,'Campus Enrol Disaggregation'!$O$5:$O$75,0),MATCH(M$1,'Campus Enrol Disaggregation'!$P$4:$AC$4,0))</f>
        <v>11300</v>
      </c>
      <c r="N8" s="32">
        <f>INDEX('Campus Enrol Disaggregation'!$P$5:$AC$75,MATCH(Export_ControlTot!$A8,'Campus Enrol Disaggregation'!$O$5:$O$75,0),MATCH(N$1,'Campus Enrol Disaggregation'!$P$4:$AC$4,0))</f>
        <v>2250</v>
      </c>
      <c r="O8" s="32">
        <f>INDEX('Campus Enrol Disaggregation'!$P$5:$AC$75,MATCH(Export_ControlTot!$A8,'Campus Enrol Disaggregation'!$O$5:$O$75,0),MATCH(O$1,'Campus Enrol Disaggregation'!$P$4:$AC$4,0))</f>
        <v>0</v>
      </c>
      <c r="Q8" s="119" t="s">
        <v>17</v>
      </c>
      <c r="R8" s="120" t="s">
        <v>143</v>
      </c>
      <c r="S8" s="121">
        <v>230807</v>
      </c>
    </row>
    <row r="9" spans="1:19">
      <c r="A9" s="3">
        <v>1997</v>
      </c>
      <c r="B9" s="32">
        <f>INDEX('Campus Enrol Disaggregation'!$P$5:$AC$75,MATCH(Export_ControlTot!$A9,'Campus Enrol Disaggregation'!$O$5:$O$75,0),MATCH(B$1,'Campus Enrol Disaggregation'!$P$4:$AC$4,0))</f>
        <v>31250</v>
      </c>
      <c r="C9" s="32">
        <f>INDEX('Campus Enrol Disaggregation'!$P$5:$AC$75,MATCH(Export_ControlTot!$A9,'Campus Enrol Disaggregation'!$O$5:$O$75,0),MATCH(C$1,'Campus Enrol Disaggregation'!$P$4:$AC$4,0))</f>
        <v>0</v>
      </c>
      <c r="D9" s="32">
        <f>INDEX('Campus Enrol Disaggregation'!$P$5:$AC$75,MATCH(Export_ControlTot!$A9,'Campus Enrol Disaggregation'!$O$5:$O$75,0),MATCH(D$1,'Campus Enrol Disaggregation'!$P$4:$AC$4,0))</f>
        <v>16650</v>
      </c>
      <c r="E9" s="32">
        <f>INDEX('Campus Enrol Disaggregation'!$P$5:$AC$75,MATCH(Export_ControlTot!$A9,'Campus Enrol Disaggregation'!$O$5:$O$75,0),MATCH(E$1,'Campus Enrol Disaggregation'!$P$4:$AC$4,0))</f>
        <v>3250</v>
      </c>
      <c r="F9" s="32">
        <f>INDEX('Campus Enrol Disaggregation'!$P$5:$AC$75,MATCH(Export_ControlTot!$A9,'Campus Enrol Disaggregation'!$O$5:$O$75,0),MATCH(F$1,'Campus Enrol Disaggregation'!$P$4:$AC$4,0))</f>
        <v>400</v>
      </c>
      <c r="G9" s="32">
        <f>INDEX('Campus Enrol Disaggregation'!$P$5:$AC$75,MATCH(Export_ControlTot!$A9,'Campus Enrol Disaggregation'!$O$5:$O$75,0),MATCH(G$1,'Campus Enrol Disaggregation'!$P$4:$AC$4,0))</f>
        <v>2450</v>
      </c>
      <c r="H9" s="32">
        <f>INDEX('Campus Enrol Disaggregation'!$P$5:$AC$75,MATCH(Export_ControlTot!$A9,'Campus Enrol Disaggregation'!$O$5:$O$75,0),MATCH(H$1,'Campus Enrol Disaggregation'!$P$4:$AC$4,0))</f>
        <v>25050</v>
      </c>
      <c r="I9" s="32">
        <f>INDEX('Campus Enrol Disaggregation'!$P$5:$AC$75,MATCH(Export_ControlTot!$A9,'Campus Enrol Disaggregation'!$O$5:$O$75,0),MATCH(I$1,'Campus Enrol Disaggregation'!$P$4:$AC$4,0))</f>
        <v>16000</v>
      </c>
      <c r="J9" s="32">
        <f>INDEX('Campus Enrol Disaggregation'!$P$5:$AC$75,MATCH(Export_ControlTot!$A9,'Campus Enrol Disaggregation'!$O$5:$O$75,0),MATCH(J$1,'Campus Enrol Disaggregation'!$P$4:$AC$4,0))</f>
        <v>0</v>
      </c>
      <c r="K9" s="32">
        <f>INDEX('Campus Enrol Disaggregation'!$P$5:$AC$75,MATCH(Export_ControlTot!$A9,'Campus Enrol Disaggregation'!$O$5:$O$75,0),MATCH(K$1,'Campus Enrol Disaggregation'!$P$4:$AC$4,0))</f>
        <v>0</v>
      </c>
      <c r="L9" s="32">
        <f>INDEX('Campus Enrol Disaggregation'!$P$5:$AC$75,MATCH(Export_ControlTot!$A9,'Campus Enrol Disaggregation'!$O$5:$O$75,0),MATCH(L$1,'Campus Enrol Disaggregation'!$P$4:$AC$4,0))</f>
        <v>0</v>
      </c>
      <c r="M9" s="32">
        <f>INDEX('Campus Enrol Disaggregation'!$P$5:$AC$75,MATCH(Export_ControlTot!$A9,'Campus Enrol Disaggregation'!$O$5:$O$75,0),MATCH(M$1,'Campus Enrol Disaggregation'!$P$4:$AC$4,0))</f>
        <v>11850</v>
      </c>
      <c r="N9" s="32">
        <f>INDEX('Campus Enrol Disaggregation'!$P$5:$AC$75,MATCH(Export_ControlTot!$A9,'Campus Enrol Disaggregation'!$O$5:$O$75,0),MATCH(N$1,'Campus Enrol Disaggregation'!$P$4:$AC$4,0))</f>
        <v>2400</v>
      </c>
      <c r="O9" s="32">
        <f>INDEX('Campus Enrol Disaggregation'!$P$5:$AC$75,MATCH(Export_ControlTot!$A9,'Campus Enrol Disaggregation'!$O$5:$O$75,0),MATCH(O$1,'Campus Enrol Disaggregation'!$P$4:$AC$4,0))</f>
        <v>0</v>
      </c>
    </row>
    <row r="10" spans="1:19">
      <c r="A10" s="3">
        <v>1998</v>
      </c>
      <c r="B10" s="32">
        <f>INDEX('Campus Enrol Disaggregation'!$P$5:$AC$75,MATCH(Export_ControlTot!$A10,'Campus Enrol Disaggregation'!$O$5:$O$75,0),MATCH(B$1,'Campus Enrol Disaggregation'!$P$4:$AC$4,0))</f>
        <v>32200</v>
      </c>
      <c r="C10" s="32">
        <f>INDEX('Campus Enrol Disaggregation'!$P$5:$AC$75,MATCH(Export_ControlTot!$A10,'Campus Enrol Disaggregation'!$O$5:$O$75,0),MATCH(C$1,'Campus Enrol Disaggregation'!$P$4:$AC$4,0))</f>
        <v>0</v>
      </c>
      <c r="D10" s="32">
        <f>INDEX('Campus Enrol Disaggregation'!$P$5:$AC$75,MATCH(Export_ControlTot!$A10,'Campus Enrol Disaggregation'!$O$5:$O$75,0),MATCH(D$1,'Campus Enrol Disaggregation'!$P$4:$AC$4,0))</f>
        <v>13500</v>
      </c>
      <c r="E10" s="32">
        <f>INDEX('Campus Enrol Disaggregation'!$P$5:$AC$75,MATCH(Export_ControlTot!$A10,'Campus Enrol Disaggregation'!$O$5:$O$75,0),MATCH(E$1,'Campus Enrol Disaggregation'!$P$4:$AC$4,0))</f>
        <v>2650</v>
      </c>
      <c r="F10" s="32">
        <f>INDEX('Campus Enrol Disaggregation'!$P$5:$AC$75,MATCH(Export_ControlTot!$A10,'Campus Enrol Disaggregation'!$O$5:$O$75,0),MATCH(F$1,'Campus Enrol Disaggregation'!$P$4:$AC$4,0))</f>
        <v>300</v>
      </c>
      <c r="G10" s="32">
        <f>INDEX('Campus Enrol Disaggregation'!$P$5:$AC$75,MATCH(Export_ControlTot!$A10,'Campus Enrol Disaggregation'!$O$5:$O$75,0),MATCH(G$1,'Campus Enrol Disaggregation'!$P$4:$AC$4,0))</f>
        <v>2000</v>
      </c>
      <c r="H10" s="32">
        <f>INDEX('Campus Enrol Disaggregation'!$P$5:$AC$75,MATCH(Export_ControlTot!$A10,'Campus Enrol Disaggregation'!$O$5:$O$75,0),MATCH(H$1,'Campus Enrol Disaggregation'!$P$4:$AC$4,0))</f>
        <v>24200</v>
      </c>
      <c r="I10" s="32">
        <f>INDEX('Campus Enrol Disaggregation'!$P$5:$AC$75,MATCH(Export_ControlTot!$A10,'Campus Enrol Disaggregation'!$O$5:$O$75,0),MATCH(I$1,'Campus Enrol Disaggregation'!$P$4:$AC$4,0))</f>
        <v>18150</v>
      </c>
      <c r="J10" s="32">
        <f>INDEX('Campus Enrol Disaggregation'!$P$5:$AC$75,MATCH(Export_ControlTot!$A10,'Campus Enrol Disaggregation'!$O$5:$O$75,0),MATCH(J$1,'Campus Enrol Disaggregation'!$P$4:$AC$4,0))</f>
        <v>0</v>
      </c>
      <c r="K10" s="32">
        <f>INDEX('Campus Enrol Disaggregation'!$P$5:$AC$75,MATCH(Export_ControlTot!$A10,'Campus Enrol Disaggregation'!$O$5:$O$75,0),MATCH(K$1,'Campus Enrol Disaggregation'!$P$4:$AC$4,0))</f>
        <v>0</v>
      </c>
      <c r="L10" s="32">
        <f>INDEX('Campus Enrol Disaggregation'!$P$5:$AC$75,MATCH(Export_ControlTot!$A10,'Campus Enrol Disaggregation'!$O$5:$O$75,0),MATCH(L$1,'Campus Enrol Disaggregation'!$P$4:$AC$4,0))</f>
        <v>0</v>
      </c>
      <c r="M10" s="32">
        <f>INDEX('Campus Enrol Disaggregation'!$P$5:$AC$75,MATCH(Export_ControlTot!$A10,'Campus Enrol Disaggregation'!$O$5:$O$75,0),MATCH(M$1,'Campus Enrol Disaggregation'!$P$4:$AC$4,0))</f>
        <v>11300</v>
      </c>
      <c r="N10" s="32">
        <f>INDEX('Campus Enrol Disaggregation'!$P$5:$AC$75,MATCH(Export_ControlTot!$A10,'Campus Enrol Disaggregation'!$O$5:$O$75,0),MATCH(N$1,'Campus Enrol Disaggregation'!$P$4:$AC$4,0))</f>
        <v>2250</v>
      </c>
      <c r="O10" s="32">
        <f>INDEX('Campus Enrol Disaggregation'!$P$5:$AC$75,MATCH(Export_ControlTot!$A10,'Campus Enrol Disaggregation'!$O$5:$O$75,0),MATCH(O$1,'Campus Enrol Disaggregation'!$P$4:$AC$4,0))</f>
        <v>0</v>
      </c>
    </row>
    <row r="11" spans="1:19">
      <c r="A11" s="3">
        <v>1999</v>
      </c>
      <c r="B11" s="32">
        <f>INDEX('Campus Enrol Disaggregation'!$P$5:$AC$75,MATCH(Export_ControlTot!$A11,'Campus Enrol Disaggregation'!$O$5:$O$75,0),MATCH(B$1,'Campus Enrol Disaggregation'!$P$4:$AC$4,0))</f>
        <v>32750</v>
      </c>
      <c r="C11" s="32">
        <f>INDEX('Campus Enrol Disaggregation'!$P$5:$AC$75,MATCH(Export_ControlTot!$A11,'Campus Enrol Disaggregation'!$O$5:$O$75,0),MATCH(C$1,'Campus Enrol Disaggregation'!$P$4:$AC$4,0))</f>
        <v>0</v>
      </c>
      <c r="D11" s="32">
        <f>INDEX('Campus Enrol Disaggregation'!$P$5:$AC$75,MATCH(Export_ControlTot!$A11,'Campus Enrol Disaggregation'!$O$5:$O$75,0),MATCH(D$1,'Campus Enrol Disaggregation'!$P$4:$AC$4,0))</f>
        <v>14550</v>
      </c>
      <c r="E11" s="32">
        <f>INDEX('Campus Enrol Disaggregation'!$P$5:$AC$75,MATCH(Export_ControlTot!$A11,'Campus Enrol Disaggregation'!$O$5:$O$75,0),MATCH(E$1,'Campus Enrol Disaggregation'!$P$4:$AC$4,0))</f>
        <v>2850</v>
      </c>
      <c r="F11" s="32">
        <f>INDEX('Campus Enrol Disaggregation'!$P$5:$AC$75,MATCH(Export_ControlTot!$A11,'Campus Enrol Disaggregation'!$O$5:$O$75,0),MATCH(F$1,'Campus Enrol Disaggregation'!$P$4:$AC$4,0))</f>
        <v>350</v>
      </c>
      <c r="G11" s="32">
        <f>INDEX('Campus Enrol Disaggregation'!$P$5:$AC$75,MATCH(Export_ControlTot!$A11,'Campus Enrol Disaggregation'!$O$5:$O$75,0),MATCH(G$1,'Campus Enrol Disaggregation'!$P$4:$AC$4,0))</f>
        <v>2150</v>
      </c>
      <c r="H11" s="32">
        <f>INDEX('Campus Enrol Disaggregation'!$P$5:$AC$75,MATCH(Export_ControlTot!$A11,'Campus Enrol Disaggregation'!$O$5:$O$75,0),MATCH(H$1,'Campus Enrol Disaggregation'!$P$4:$AC$4,0))</f>
        <v>24950</v>
      </c>
      <c r="I11" s="32">
        <f>INDEX('Campus Enrol Disaggregation'!$P$5:$AC$75,MATCH(Export_ControlTot!$A11,'Campus Enrol Disaggregation'!$O$5:$O$75,0),MATCH(I$1,'Campus Enrol Disaggregation'!$P$4:$AC$4,0))</f>
        <v>20050</v>
      </c>
      <c r="J11" s="32">
        <f>INDEX('Campus Enrol Disaggregation'!$P$5:$AC$75,MATCH(Export_ControlTot!$A11,'Campus Enrol Disaggregation'!$O$5:$O$75,0),MATCH(J$1,'Campus Enrol Disaggregation'!$P$4:$AC$4,0))</f>
        <v>0</v>
      </c>
      <c r="K11" s="32">
        <f>INDEX('Campus Enrol Disaggregation'!$P$5:$AC$75,MATCH(Export_ControlTot!$A11,'Campus Enrol Disaggregation'!$O$5:$O$75,0),MATCH(K$1,'Campus Enrol Disaggregation'!$P$4:$AC$4,0))</f>
        <v>0</v>
      </c>
      <c r="L11" s="32">
        <f>INDEX('Campus Enrol Disaggregation'!$P$5:$AC$75,MATCH(Export_ControlTot!$A11,'Campus Enrol Disaggregation'!$O$5:$O$75,0),MATCH(L$1,'Campus Enrol Disaggregation'!$P$4:$AC$4,0))</f>
        <v>0</v>
      </c>
      <c r="M11" s="32">
        <f>INDEX('Campus Enrol Disaggregation'!$P$5:$AC$75,MATCH(Export_ControlTot!$A11,'Campus Enrol Disaggregation'!$O$5:$O$75,0),MATCH(M$1,'Campus Enrol Disaggregation'!$P$4:$AC$4,0))</f>
        <v>12150</v>
      </c>
      <c r="N11" s="32">
        <f>INDEX('Campus Enrol Disaggregation'!$P$5:$AC$75,MATCH(Export_ControlTot!$A11,'Campus Enrol Disaggregation'!$O$5:$O$75,0),MATCH(N$1,'Campus Enrol Disaggregation'!$P$4:$AC$4,0))</f>
        <v>2450</v>
      </c>
      <c r="O11" s="32">
        <f>INDEX('Campus Enrol Disaggregation'!$P$5:$AC$75,MATCH(Export_ControlTot!$A11,'Campus Enrol Disaggregation'!$O$5:$O$75,0),MATCH(O$1,'Campus Enrol Disaggregation'!$P$4:$AC$4,0))</f>
        <v>0</v>
      </c>
    </row>
    <row r="12" spans="1:19">
      <c r="A12" s="3">
        <v>2000</v>
      </c>
      <c r="B12" s="32">
        <f>INDEX('Campus Enrol Disaggregation'!$P$5:$AC$75,MATCH(Export_ControlTot!$A12,'Campus Enrol Disaggregation'!$O$5:$O$75,0),MATCH(B$1,'Campus Enrol Disaggregation'!$P$4:$AC$4,0))</f>
        <v>32550</v>
      </c>
      <c r="C12" s="32">
        <f>INDEX('Campus Enrol Disaggregation'!$P$5:$AC$75,MATCH(Export_ControlTot!$A12,'Campus Enrol Disaggregation'!$O$5:$O$75,0),MATCH(C$1,'Campus Enrol Disaggregation'!$P$4:$AC$4,0))</f>
        <v>800</v>
      </c>
      <c r="D12" s="32">
        <f>INDEX('Campus Enrol Disaggregation'!$P$5:$AC$75,MATCH(Export_ControlTot!$A12,'Campus Enrol Disaggregation'!$O$5:$O$75,0),MATCH(D$1,'Campus Enrol Disaggregation'!$P$4:$AC$4,0))</f>
        <v>14750</v>
      </c>
      <c r="E12" s="32">
        <f>INDEX('Campus Enrol Disaggregation'!$P$5:$AC$75,MATCH(Export_ControlTot!$A12,'Campus Enrol Disaggregation'!$O$5:$O$75,0),MATCH(E$1,'Campus Enrol Disaggregation'!$P$4:$AC$4,0))</f>
        <v>2900</v>
      </c>
      <c r="F12" s="32">
        <f>INDEX('Campus Enrol Disaggregation'!$P$5:$AC$75,MATCH(Export_ControlTot!$A12,'Campus Enrol Disaggregation'!$O$5:$O$75,0),MATCH(F$1,'Campus Enrol Disaggregation'!$P$4:$AC$4,0))</f>
        <v>350</v>
      </c>
      <c r="G12" s="32">
        <f>INDEX('Campus Enrol Disaggregation'!$P$5:$AC$75,MATCH(Export_ControlTot!$A12,'Campus Enrol Disaggregation'!$O$5:$O$75,0),MATCH(G$1,'Campus Enrol Disaggregation'!$P$4:$AC$4,0))</f>
        <v>2200</v>
      </c>
      <c r="H12" s="32">
        <f>INDEX('Campus Enrol Disaggregation'!$P$5:$AC$75,MATCH(Export_ControlTot!$A12,'Campus Enrol Disaggregation'!$O$5:$O$75,0),MATCH(H$1,'Campus Enrol Disaggregation'!$P$4:$AC$4,0))</f>
        <v>24150</v>
      </c>
      <c r="I12" s="32">
        <f>INDEX('Campus Enrol Disaggregation'!$P$5:$AC$75,MATCH(Export_ControlTot!$A12,'Campus Enrol Disaggregation'!$O$5:$O$75,0),MATCH(I$1,'Campus Enrol Disaggregation'!$P$4:$AC$4,0))</f>
        <v>20950</v>
      </c>
      <c r="J12" s="32">
        <f>INDEX('Campus Enrol Disaggregation'!$P$5:$AC$75,MATCH(Export_ControlTot!$A12,'Campus Enrol Disaggregation'!$O$5:$O$75,0),MATCH(J$1,'Campus Enrol Disaggregation'!$P$4:$AC$4,0))</f>
        <v>0</v>
      </c>
      <c r="K12" s="32">
        <f>INDEX('Campus Enrol Disaggregation'!$P$5:$AC$75,MATCH(Export_ControlTot!$A12,'Campus Enrol Disaggregation'!$O$5:$O$75,0),MATCH(K$1,'Campus Enrol Disaggregation'!$P$4:$AC$4,0))</f>
        <v>0</v>
      </c>
      <c r="L12" s="32">
        <f>INDEX('Campus Enrol Disaggregation'!$P$5:$AC$75,MATCH(Export_ControlTot!$A12,'Campus Enrol Disaggregation'!$O$5:$O$75,0),MATCH(L$1,'Campus Enrol Disaggregation'!$P$4:$AC$4,0))</f>
        <v>0</v>
      </c>
      <c r="M12" s="32">
        <f>INDEX('Campus Enrol Disaggregation'!$P$5:$AC$75,MATCH(Export_ControlTot!$A12,'Campus Enrol Disaggregation'!$O$5:$O$75,0),MATCH(M$1,'Campus Enrol Disaggregation'!$P$4:$AC$4,0))</f>
        <v>13000</v>
      </c>
      <c r="N12" s="32">
        <f>INDEX('Campus Enrol Disaggregation'!$P$5:$AC$75,MATCH(Export_ControlTot!$A12,'Campus Enrol Disaggregation'!$O$5:$O$75,0),MATCH(N$1,'Campus Enrol Disaggregation'!$P$4:$AC$4,0))</f>
        <v>2600</v>
      </c>
      <c r="O12" s="32">
        <f>INDEX('Campus Enrol Disaggregation'!$P$5:$AC$75,MATCH(Export_ControlTot!$A12,'Campus Enrol Disaggregation'!$O$5:$O$75,0),MATCH(O$1,'Campus Enrol Disaggregation'!$P$4:$AC$4,0))</f>
        <v>2400</v>
      </c>
    </row>
    <row r="13" spans="1:19">
      <c r="A13" s="3">
        <v>2001</v>
      </c>
      <c r="B13" s="32">
        <f>INDEX('Campus Enrol Disaggregation'!$P$5:$AC$75,MATCH(Export_ControlTot!$A13,'Campus Enrol Disaggregation'!$O$5:$O$75,0),MATCH(B$1,'Campus Enrol Disaggregation'!$P$4:$AC$4,0))</f>
        <v>32750</v>
      </c>
      <c r="C13" s="32">
        <f>INDEX('Campus Enrol Disaggregation'!$P$5:$AC$75,MATCH(Export_ControlTot!$A13,'Campus Enrol Disaggregation'!$O$5:$O$75,0),MATCH(C$1,'Campus Enrol Disaggregation'!$P$4:$AC$4,0))</f>
        <v>1050</v>
      </c>
      <c r="D13" s="32">
        <f>INDEX('Campus Enrol Disaggregation'!$P$5:$AC$75,MATCH(Export_ControlTot!$A13,'Campus Enrol Disaggregation'!$O$5:$O$75,0),MATCH(D$1,'Campus Enrol Disaggregation'!$P$4:$AC$4,0))</f>
        <v>16200</v>
      </c>
      <c r="E13" s="32">
        <f>INDEX('Campus Enrol Disaggregation'!$P$5:$AC$75,MATCH(Export_ControlTot!$A13,'Campus Enrol Disaggregation'!$O$5:$O$75,0),MATCH(E$1,'Campus Enrol Disaggregation'!$P$4:$AC$4,0))</f>
        <v>3150</v>
      </c>
      <c r="F13" s="32">
        <f>INDEX('Campus Enrol Disaggregation'!$P$5:$AC$75,MATCH(Export_ControlTot!$A13,'Campus Enrol Disaggregation'!$O$5:$O$75,0),MATCH(F$1,'Campus Enrol Disaggregation'!$P$4:$AC$4,0))</f>
        <v>400</v>
      </c>
      <c r="G13" s="32">
        <f>INDEX('Campus Enrol Disaggregation'!$P$5:$AC$75,MATCH(Export_ControlTot!$A13,'Campus Enrol Disaggregation'!$O$5:$O$75,0),MATCH(G$1,'Campus Enrol Disaggregation'!$P$4:$AC$4,0))</f>
        <v>2400</v>
      </c>
      <c r="H13" s="32">
        <f>INDEX('Campus Enrol Disaggregation'!$P$5:$AC$75,MATCH(Export_ControlTot!$A13,'Campus Enrol Disaggregation'!$O$5:$O$75,0),MATCH(H$1,'Campus Enrol Disaggregation'!$P$4:$AC$4,0))</f>
        <v>26800</v>
      </c>
      <c r="I13" s="32">
        <f>INDEX('Campus Enrol Disaggregation'!$P$5:$AC$75,MATCH(Export_ControlTot!$A13,'Campus Enrol Disaggregation'!$O$5:$O$75,0),MATCH(I$1,'Campus Enrol Disaggregation'!$P$4:$AC$4,0))</f>
        <v>22600</v>
      </c>
      <c r="J13" s="32">
        <f>INDEX('Campus Enrol Disaggregation'!$P$5:$AC$75,MATCH(Export_ControlTot!$A13,'Campus Enrol Disaggregation'!$O$5:$O$75,0),MATCH(J$1,'Campus Enrol Disaggregation'!$P$4:$AC$4,0))</f>
        <v>0</v>
      </c>
      <c r="K13" s="32">
        <f>INDEX('Campus Enrol Disaggregation'!$P$5:$AC$75,MATCH(Export_ControlTot!$A13,'Campus Enrol Disaggregation'!$O$5:$O$75,0),MATCH(K$1,'Campus Enrol Disaggregation'!$P$4:$AC$4,0))</f>
        <v>0</v>
      </c>
      <c r="L13" s="32">
        <f>INDEX('Campus Enrol Disaggregation'!$P$5:$AC$75,MATCH(Export_ControlTot!$A13,'Campus Enrol Disaggregation'!$O$5:$O$75,0),MATCH(L$1,'Campus Enrol Disaggregation'!$P$4:$AC$4,0))</f>
        <v>0</v>
      </c>
      <c r="M13" s="32">
        <f>INDEX('Campus Enrol Disaggregation'!$P$5:$AC$75,MATCH(Export_ControlTot!$A13,'Campus Enrol Disaggregation'!$O$5:$O$75,0),MATCH(M$1,'Campus Enrol Disaggregation'!$P$4:$AC$4,0))</f>
        <v>13700</v>
      </c>
      <c r="N13" s="32">
        <f>INDEX('Campus Enrol Disaggregation'!$P$5:$AC$75,MATCH(Export_ControlTot!$A13,'Campus Enrol Disaggregation'!$O$5:$O$75,0),MATCH(N$1,'Campus Enrol Disaggregation'!$P$4:$AC$4,0))</f>
        <v>2750</v>
      </c>
      <c r="O13" s="32">
        <f>INDEX('Campus Enrol Disaggregation'!$P$5:$AC$75,MATCH(Export_ControlTot!$A13,'Campus Enrol Disaggregation'!$O$5:$O$75,0),MATCH(O$1,'Campus Enrol Disaggregation'!$P$4:$AC$4,0))</f>
        <v>2450</v>
      </c>
    </row>
    <row r="14" spans="1:19">
      <c r="A14" s="3">
        <v>2002</v>
      </c>
      <c r="B14" s="32">
        <f>INDEX('Campus Enrol Disaggregation'!$P$5:$AC$75,MATCH(Export_ControlTot!$A14,'Campus Enrol Disaggregation'!$O$5:$O$75,0),MATCH(B$1,'Campus Enrol Disaggregation'!$P$4:$AC$4,0))</f>
        <v>32400</v>
      </c>
      <c r="C14" s="32">
        <f>INDEX('Campus Enrol Disaggregation'!$P$5:$AC$75,MATCH(Export_ControlTot!$A14,'Campus Enrol Disaggregation'!$O$5:$O$75,0),MATCH(C$1,'Campus Enrol Disaggregation'!$P$4:$AC$4,0))</f>
        <v>1100</v>
      </c>
      <c r="D14" s="32">
        <f>INDEX('Campus Enrol Disaggregation'!$P$5:$AC$75,MATCH(Export_ControlTot!$A14,'Campus Enrol Disaggregation'!$O$5:$O$75,0),MATCH(D$1,'Campus Enrol Disaggregation'!$P$4:$AC$4,0))</f>
        <v>15950</v>
      </c>
      <c r="E14" s="32">
        <f>INDEX('Campus Enrol Disaggregation'!$P$5:$AC$75,MATCH(Export_ControlTot!$A14,'Campus Enrol Disaggregation'!$O$5:$O$75,0),MATCH(E$1,'Campus Enrol Disaggregation'!$P$4:$AC$4,0))</f>
        <v>3100</v>
      </c>
      <c r="F14" s="32">
        <f>INDEX('Campus Enrol Disaggregation'!$P$5:$AC$75,MATCH(Export_ControlTot!$A14,'Campus Enrol Disaggregation'!$O$5:$O$75,0),MATCH(F$1,'Campus Enrol Disaggregation'!$P$4:$AC$4,0))</f>
        <v>400</v>
      </c>
      <c r="G14" s="32">
        <f>INDEX('Campus Enrol Disaggregation'!$P$5:$AC$75,MATCH(Export_ControlTot!$A14,'Campus Enrol Disaggregation'!$O$5:$O$75,0),MATCH(G$1,'Campus Enrol Disaggregation'!$P$4:$AC$4,0))</f>
        <v>2400</v>
      </c>
      <c r="H14" s="32">
        <f>INDEX('Campus Enrol Disaggregation'!$P$5:$AC$75,MATCH(Export_ControlTot!$A14,'Campus Enrol Disaggregation'!$O$5:$O$75,0),MATCH(H$1,'Campus Enrol Disaggregation'!$P$4:$AC$4,0))</f>
        <v>27450</v>
      </c>
      <c r="I14" s="32">
        <f>INDEX('Campus Enrol Disaggregation'!$P$5:$AC$75,MATCH(Export_ControlTot!$A14,'Campus Enrol Disaggregation'!$O$5:$O$75,0),MATCH(I$1,'Campus Enrol Disaggregation'!$P$4:$AC$4,0))</f>
        <v>23600</v>
      </c>
      <c r="J14" s="32">
        <f>INDEX('Campus Enrol Disaggregation'!$P$5:$AC$75,MATCH(Export_ControlTot!$A14,'Campus Enrol Disaggregation'!$O$5:$O$75,0),MATCH(J$1,'Campus Enrol Disaggregation'!$P$4:$AC$4,0))</f>
        <v>0</v>
      </c>
      <c r="K14" s="32">
        <f>INDEX('Campus Enrol Disaggregation'!$P$5:$AC$75,MATCH(Export_ControlTot!$A14,'Campus Enrol Disaggregation'!$O$5:$O$75,0),MATCH(K$1,'Campus Enrol Disaggregation'!$P$4:$AC$4,0))</f>
        <v>0</v>
      </c>
      <c r="L14" s="32">
        <f>INDEX('Campus Enrol Disaggregation'!$P$5:$AC$75,MATCH(Export_ControlTot!$A14,'Campus Enrol Disaggregation'!$O$5:$O$75,0),MATCH(L$1,'Campus Enrol Disaggregation'!$P$4:$AC$4,0))</f>
        <v>0</v>
      </c>
      <c r="M14" s="32">
        <f>INDEX('Campus Enrol Disaggregation'!$P$5:$AC$75,MATCH(Export_ControlTot!$A14,'Campus Enrol Disaggregation'!$O$5:$O$75,0),MATCH(M$1,'Campus Enrol Disaggregation'!$P$4:$AC$4,0))</f>
        <v>14650</v>
      </c>
      <c r="N14" s="32">
        <f>INDEX('Campus Enrol Disaggregation'!$P$5:$AC$75,MATCH(Export_ControlTot!$A14,'Campus Enrol Disaggregation'!$O$5:$O$75,0),MATCH(N$1,'Campus Enrol Disaggregation'!$P$4:$AC$4,0))</f>
        <v>2950</v>
      </c>
      <c r="O14" s="32">
        <f>INDEX('Campus Enrol Disaggregation'!$P$5:$AC$75,MATCH(Export_ControlTot!$A14,'Campus Enrol Disaggregation'!$O$5:$O$75,0),MATCH(O$1,'Campus Enrol Disaggregation'!$P$4:$AC$4,0))</f>
        <v>2350</v>
      </c>
    </row>
    <row r="15" spans="1:19">
      <c r="A15" s="3">
        <v>2003</v>
      </c>
      <c r="B15" s="32">
        <f>INDEX('Campus Enrol Disaggregation'!$P$5:$AC$75,MATCH(Export_ControlTot!$A15,'Campus Enrol Disaggregation'!$O$5:$O$75,0),MATCH(B$1,'Campus Enrol Disaggregation'!$P$4:$AC$4,0))</f>
        <v>33000</v>
      </c>
      <c r="C15" s="32">
        <f>INDEX('Campus Enrol Disaggregation'!$P$5:$AC$75,MATCH(Export_ControlTot!$A15,'Campus Enrol Disaggregation'!$O$5:$O$75,0),MATCH(C$1,'Campus Enrol Disaggregation'!$P$4:$AC$4,0))</f>
        <v>1250</v>
      </c>
      <c r="D15" s="32">
        <f>INDEX('Campus Enrol Disaggregation'!$P$5:$AC$75,MATCH(Export_ControlTot!$A15,'Campus Enrol Disaggregation'!$O$5:$O$75,0),MATCH(D$1,'Campus Enrol Disaggregation'!$P$4:$AC$4,0))</f>
        <v>16450</v>
      </c>
      <c r="E15" s="32">
        <f>INDEX('Campus Enrol Disaggregation'!$P$5:$AC$75,MATCH(Export_ControlTot!$A15,'Campus Enrol Disaggregation'!$O$5:$O$75,0),MATCH(E$1,'Campus Enrol Disaggregation'!$P$4:$AC$4,0))</f>
        <v>3200</v>
      </c>
      <c r="F15" s="32">
        <f>INDEX('Campus Enrol Disaggregation'!$P$5:$AC$75,MATCH(Export_ControlTot!$A15,'Campus Enrol Disaggregation'!$O$5:$O$75,0),MATCH(F$1,'Campus Enrol Disaggregation'!$P$4:$AC$4,0))</f>
        <v>400</v>
      </c>
      <c r="G15" s="32">
        <f>INDEX('Campus Enrol Disaggregation'!$P$5:$AC$75,MATCH(Export_ControlTot!$A15,'Campus Enrol Disaggregation'!$O$5:$O$75,0),MATCH(G$1,'Campus Enrol Disaggregation'!$P$4:$AC$4,0))</f>
        <v>2450</v>
      </c>
      <c r="H15" s="32">
        <f>INDEX('Campus Enrol Disaggregation'!$P$5:$AC$75,MATCH(Export_ControlTot!$A15,'Campus Enrol Disaggregation'!$O$5:$O$75,0),MATCH(H$1,'Campus Enrol Disaggregation'!$P$4:$AC$4,0))</f>
        <v>27550</v>
      </c>
      <c r="I15" s="32">
        <f>INDEX('Campus Enrol Disaggregation'!$P$5:$AC$75,MATCH(Export_ControlTot!$A15,'Campus Enrol Disaggregation'!$O$5:$O$75,0),MATCH(I$1,'Campus Enrol Disaggregation'!$P$4:$AC$4,0))</f>
        <v>23800</v>
      </c>
      <c r="J15" s="32">
        <f>INDEX('Campus Enrol Disaggregation'!$P$5:$AC$75,MATCH(Export_ControlTot!$A15,'Campus Enrol Disaggregation'!$O$5:$O$75,0),MATCH(J$1,'Campus Enrol Disaggregation'!$P$4:$AC$4,0))</f>
        <v>0</v>
      </c>
      <c r="K15" s="32">
        <f>INDEX('Campus Enrol Disaggregation'!$P$5:$AC$75,MATCH(Export_ControlTot!$A15,'Campus Enrol Disaggregation'!$O$5:$O$75,0),MATCH(K$1,'Campus Enrol Disaggregation'!$P$4:$AC$4,0))</f>
        <v>0</v>
      </c>
      <c r="L15" s="32">
        <f>INDEX('Campus Enrol Disaggregation'!$P$5:$AC$75,MATCH(Export_ControlTot!$A15,'Campus Enrol Disaggregation'!$O$5:$O$75,0),MATCH(L$1,'Campus Enrol Disaggregation'!$P$4:$AC$4,0))</f>
        <v>0</v>
      </c>
      <c r="M15" s="32">
        <f>INDEX('Campus Enrol Disaggregation'!$P$5:$AC$75,MATCH(Export_ControlTot!$A15,'Campus Enrol Disaggregation'!$O$5:$O$75,0),MATCH(M$1,'Campus Enrol Disaggregation'!$P$4:$AC$4,0))</f>
        <v>15250</v>
      </c>
      <c r="N15" s="32">
        <f>INDEX('Campus Enrol Disaggregation'!$P$5:$AC$75,MATCH(Export_ControlTot!$A15,'Campus Enrol Disaggregation'!$O$5:$O$75,0),MATCH(N$1,'Campus Enrol Disaggregation'!$P$4:$AC$4,0))</f>
        <v>3050</v>
      </c>
      <c r="O15" s="32">
        <f>INDEX('Campus Enrol Disaggregation'!$P$5:$AC$75,MATCH(Export_ControlTot!$A15,'Campus Enrol Disaggregation'!$O$5:$O$75,0),MATCH(O$1,'Campus Enrol Disaggregation'!$P$4:$AC$4,0))</f>
        <v>2450</v>
      </c>
    </row>
    <row r="16" spans="1:19">
      <c r="A16" s="3">
        <v>2004</v>
      </c>
      <c r="B16" s="32">
        <f>INDEX('Campus Enrol Disaggregation'!$P$5:$AC$75,MATCH(Export_ControlTot!$A16,'Campus Enrol Disaggregation'!$O$5:$O$75,0),MATCH(B$1,'Campus Enrol Disaggregation'!$P$4:$AC$4,0))</f>
        <v>34350</v>
      </c>
      <c r="C16" s="32">
        <f>INDEX('Campus Enrol Disaggregation'!$P$5:$AC$75,MATCH(Export_ControlTot!$A16,'Campus Enrol Disaggregation'!$O$5:$O$75,0),MATCH(C$1,'Campus Enrol Disaggregation'!$P$4:$AC$4,0))</f>
        <v>1250</v>
      </c>
      <c r="D16" s="32">
        <f>INDEX('Campus Enrol Disaggregation'!$P$5:$AC$75,MATCH(Export_ControlTot!$A16,'Campus Enrol Disaggregation'!$O$5:$O$75,0),MATCH(D$1,'Campus Enrol Disaggregation'!$P$4:$AC$4,0))</f>
        <v>16900</v>
      </c>
      <c r="E16" s="32">
        <f>INDEX('Campus Enrol Disaggregation'!$P$5:$AC$75,MATCH(Export_ControlTot!$A16,'Campus Enrol Disaggregation'!$O$5:$O$75,0),MATCH(E$1,'Campus Enrol Disaggregation'!$P$4:$AC$4,0))</f>
        <v>3300</v>
      </c>
      <c r="F16" s="32">
        <f>INDEX('Campus Enrol Disaggregation'!$P$5:$AC$75,MATCH(Export_ControlTot!$A16,'Campus Enrol Disaggregation'!$O$5:$O$75,0),MATCH(F$1,'Campus Enrol Disaggregation'!$P$4:$AC$4,0))</f>
        <v>400</v>
      </c>
      <c r="G16" s="32">
        <f>INDEX('Campus Enrol Disaggregation'!$P$5:$AC$75,MATCH(Export_ControlTot!$A16,'Campus Enrol Disaggregation'!$O$5:$O$75,0),MATCH(G$1,'Campus Enrol Disaggregation'!$P$4:$AC$4,0))</f>
        <v>2500</v>
      </c>
      <c r="H16" s="32">
        <f>INDEX('Campus Enrol Disaggregation'!$P$5:$AC$75,MATCH(Export_ControlTot!$A16,'Campus Enrol Disaggregation'!$O$5:$O$75,0),MATCH(H$1,'Campus Enrol Disaggregation'!$P$4:$AC$4,0))</f>
        <v>28000</v>
      </c>
      <c r="I16" s="32">
        <f>INDEX('Campus Enrol Disaggregation'!$P$5:$AC$75,MATCH(Export_ControlTot!$A16,'Campus Enrol Disaggregation'!$O$5:$O$75,0),MATCH(I$1,'Campus Enrol Disaggregation'!$P$4:$AC$4,0))</f>
        <v>24150</v>
      </c>
      <c r="J16" s="32">
        <f>INDEX('Campus Enrol Disaggregation'!$P$5:$AC$75,MATCH(Export_ControlTot!$A16,'Campus Enrol Disaggregation'!$O$5:$O$75,0),MATCH(J$1,'Campus Enrol Disaggregation'!$P$4:$AC$4,0))</f>
        <v>0</v>
      </c>
      <c r="K16" s="32">
        <f>INDEX('Campus Enrol Disaggregation'!$P$5:$AC$75,MATCH(Export_ControlTot!$A16,'Campus Enrol Disaggregation'!$O$5:$O$75,0),MATCH(K$1,'Campus Enrol Disaggregation'!$P$4:$AC$4,0))</f>
        <v>0</v>
      </c>
      <c r="L16" s="32">
        <f>INDEX('Campus Enrol Disaggregation'!$P$5:$AC$75,MATCH(Export_ControlTot!$A16,'Campus Enrol Disaggregation'!$O$5:$O$75,0),MATCH(L$1,'Campus Enrol Disaggregation'!$P$4:$AC$4,0))</f>
        <v>0</v>
      </c>
      <c r="M16" s="32">
        <f>INDEX('Campus Enrol Disaggregation'!$P$5:$AC$75,MATCH(Export_ControlTot!$A16,'Campus Enrol Disaggregation'!$O$5:$O$75,0),MATCH(M$1,'Campus Enrol Disaggregation'!$P$4:$AC$4,0))</f>
        <v>15000</v>
      </c>
      <c r="N16" s="32">
        <f>INDEX('Campus Enrol Disaggregation'!$P$5:$AC$75,MATCH(Export_ControlTot!$A16,'Campus Enrol Disaggregation'!$O$5:$O$75,0),MATCH(N$1,'Campus Enrol Disaggregation'!$P$4:$AC$4,0))</f>
        <v>3000</v>
      </c>
      <c r="O16" s="32">
        <f>INDEX('Campus Enrol Disaggregation'!$P$5:$AC$75,MATCH(Export_ControlTot!$A16,'Campus Enrol Disaggregation'!$O$5:$O$75,0),MATCH(O$1,'Campus Enrol Disaggregation'!$P$4:$AC$4,0))</f>
        <v>2400</v>
      </c>
    </row>
    <row r="17" spans="1:15">
      <c r="A17" s="3">
        <v>2005</v>
      </c>
      <c r="B17" s="32">
        <f>INDEX('Campus Enrol Disaggregation'!$P$5:$AC$75,MATCH(Export_ControlTot!$A17,'Campus Enrol Disaggregation'!$O$5:$O$75,0),MATCH(B$1,'Campus Enrol Disaggregation'!$P$4:$AC$4,0))</f>
        <v>34050</v>
      </c>
      <c r="C17" s="32">
        <f>INDEX('Campus Enrol Disaggregation'!$P$5:$AC$75,MATCH(Export_ControlTot!$A17,'Campus Enrol Disaggregation'!$O$5:$O$75,0),MATCH(C$1,'Campus Enrol Disaggregation'!$P$4:$AC$4,0))</f>
        <v>1250</v>
      </c>
      <c r="D17" s="32">
        <f>INDEX('Campus Enrol Disaggregation'!$P$5:$AC$75,MATCH(Export_ControlTot!$A17,'Campus Enrol Disaggregation'!$O$5:$O$75,0),MATCH(D$1,'Campus Enrol Disaggregation'!$P$4:$AC$4,0))</f>
        <v>16500</v>
      </c>
      <c r="E17" s="32">
        <f>INDEX('Campus Enrol Disaggregation'!$P$5:$AC$75,MATCH(Export_ControlTot!$A17,'Campus Enrol Disaggregation'!$O$5:$O$75,0),MATCH(E$1,'Campus Enrol Disaggregation'!$P$4:$AC$4,0))</f>
        <v>3200</v>
      </c>
      <c r="F17" s="32">
        <f>INDEX('Campus Enrol Disaggregation'!$P$5:$AC$75,MATCH(Export_ControlTot!$A17,'Campus Enrol Disaggregation'!$O$5:$O$75,0),MATCH(F$1,'Campus Enrol Disaggregation'!$P$4:$AC$4,0))</f>
        <v>400</v>
      </c>
      <c r="G17" s="32">
        <f>INDEX('Campus Enrol Disaggregation'!$P$5:$AC$75,MATCH(Export_ControlTot!$A17,'Campus Enrol Disaggregation'!$O$5:$O$75,0),MATCH(G$1,'Campus Enrol Disaggregation'!$P$4:$AC$4,0))</f>
        <v>2450</v>
      </c>
      <c r="H17" s="32">
        <f>INDEX('Campus Enrol Disaggregation'!$P$5:$AC$75,MATCH(Export_ControlTot!$A17,'Campus Enrol Disaggregation'!$O$5:$O$75,0),MATCH(H$1,'Campus Enrol Disaggregation'!$P$4:$AC$4,0))</f>
        <v>29600</v>
      </c>
      <c r="I17" s="32">
        <f>INDEX('Campus Enrol Disaggregation'!$P$5:$AC$75,MATCH(Export_ControlTot!$A17,'Campus Enrol Disaggregation'!$O$5:$O$75,0),MATCH(I$1,'Campus Enrol Disaggregation'!$P$4:$AC$4,0))</f>
        <v>24500</v>
      </c>
      <c r="J17" s="32">
        <f>INDEX('Campus Enrol Disaggregation'!$P$5:$AC$75,MATCH(Export_ControlTot!$A17,'Campus Enrol Disaggregation'!$O$5:$O$75,0),MATCH(J$1,'Campus Enrol Disaggregation'!$P$4:$AC$4,0))</f>
        <v>0</v>
      </c>
      <c r="K17" s="32">
        <f>INDEX('Campus Enrol Disaggregation'!$P$5:$AC$75,MATCH(Export_ControlTot!$A17,'Campus Enrol Disaggregation'!$O$5:$O$75,0),MATCH(K$1,'Campus Enrol Disaggregation'!$P$4:$AC$4,0))</f>
        <v>0</v>
      </c>
      <c r="L17" s="32">
        <f>INDEX('Campus Enrol Disaggregation'!$P$5:$AC$75,MATCH(Export_ControlTot!$A17,'Campus Enrol Disaggregation'!$O$5:$O$75,0),MATCH(L$1,'Campus Enrol Disaggregation'!$P$4:$AC$4,0))</f>
        <v>0</v>
      </c>
      <c r="M17" s="32">
        <f>INDEX('Campus Enrol Disaggregation'!$P$5:$AC$75,MATCH(Export_ControlTot!$A17,'Campus Enrol Disaggregation'!$O$5:$O$75,0),MATCH(M$1,'Campus Enrol Disaggregation'!$P$4:$AC$4,0))</f>
        <v>14700</v>
      </c>
      <c r="N17" s="32">
        <f>INDEX('Campus Enrol Disaggregation'!$P$5:$AC$75,MATCH(Export_ControlTot!$A17,'Campus Enrol Disaggregation'!$O$5:$O$75,0),MATCH(N$1,'Campus Enrol Disaggregation'!$P$4:$AC$4,0))</f>
        <v>2950</v>
      </c>
      <c r="O17" s="32">
        <f>INDEX('Campus Enrol Disaggregation'!$P$5:$AC$75,MATCH(Export_ControlTot!$A17,'Campus Enrol Disaggregation'!$O$5:$O$75,0),MATCH(O$1,'Campus Enrol Disaggregation'!$P$4:$AC$4,0))</f>
        <v>2450</v>
      </c>
    </row>
    <row r="18" spans="1:15">
      <c r="A18" s="3">
        <v>2006</v>
      </c>
      <c r="B18" s="32">
        <f>INDEX('Campus Enrol Disaggregation'!$P$5:$AC$75,MATCH(Export_ControlTot!$A18,'Campus Enrol Disaggregation'!$O$5:$O$75,0),MATCH(B$1,'Campus Enrol Disaggregation'!$P$4:$AC$4,0))</f>
        <v>34200</v>
      </c>
      <c r="C18" s="32">
        <f>INDEX('Campus Enrol Disaggregation'!$P$5:$AC$75,MATCH(Export_ControlTot!$A18,'Campus Enrol Disaggregation'!$O$5:$O$75,0),MATCH(C$1,'Campus Enrol Disaggregation'!$P$4:$AC$4,0))</f>
        <v>1300</v>
      </c>
      <c r="D18" s="32">
        <f>INDEX('Campus Enrol Disaggregation'!$P$5:$AC$75,MATCH(Export_ControlTot!$A18,'Campus Enrol Disaggregation'!$O$5:$O$75,0),MATCH(D$1,'Campus Enrol Disaggregation'!$P$4:$AC$4,0))</f>
        <v>16600</v>
      </c>
      <c r="E18" s="32">
        <f>INDEX('Campus Enrol Disaggregation'!$P$5:$AC$75,MATCH(Export_ControlTot!$A18,'Campus Enrol Disaggregation'!$O$5:$O$75,0),MATCH(E$1,'Campus Enrol Disaggregation'!$P$4:$AC$4,0))</f>
        <v>3250</v>
      </c>
      <c r="F18" s="32">
        <f>INDEX('Campus Enrol Disaggregation'!$P$5:$AC$75,MATCH(Export_ControlTot!$A18,'Campus Enrol Disaggregation'!$O$5:$O$75,0),MATCH(F$1,'Campus Enrol Disaggregation'!$P$4:$AC$4,0))</f>
        <v>400</v>
      </c>
      <c r="G18" s="32">
        <f>INDEX('Campus Enrol Disaggregation'!$P$5:$AC$75,MATCH(Export_ControlTot!$A18,'Campus Enrol Disaggregation'!$O$5:$O$75,0),MATCH(G$1,'Campus Enrol Disaggregation'!$P$4:$AC$4,0))</f>
        <v>2450</v>
      </c>
      <c r="H18" s="32">
        <f>INDEX('Campus Enrol Disaggregation'!$P$5:$AC$75,MATCH(Export_ControlTot!$A18,'Campus Enrol Disaggregation'!$O$5:$O$75,0),MATCH(H$1,'Campus Enrol Disaggregation'!$P$4:$AC$4,0))</f>
        <v>29550</v>
      </c>
      <c r="I18" s="32">
        <f>INDEX('Campus Enrol Disaggregation'!$P$5:$AC$75,MATCH(Export_ControlTot!$A18,'Campus Enrol Disaggregation'!$O$5:$O$75,0),MATCH(I$1,'Campus Enrol Disaggregation'!$P$4:$AC$4,0))</f>
        <v>23300</v>
      </c>
      <c r="J18" s="32">
        <f>INDEX('Campus Enrol Disaggregation'!$P$5:$AC$75,MATCH(Export_ControlTot!$A18,'Campus Enrol Disaggregation'!$O$5:$O$75,0),MATCH(J$1,'Campus Enrol Disaggregation'!$P$4:$AC$4,0))</f>
        <v>0</v>
      </c>
      <c r="K18" s="32">
        <f>INDEX('Campus Enrol Disaggregation'!$P$5:$AC$75,MATCH(Export_ControlTot!$A18,'Campus Enrol Disaggregation'!$O$5:$O$75,0),MATCH(K$1,'Campus Enrol Disaggregation'!$P$4:$AC$4,0))</f>
        <v>0</v>
      </c>
      <c r="L18" s="32">
        <f>INDEX('Campus Enrol Disaggregation'!$P$5:$AC$75,MATCH(Export_ControlTot!$A18,'Campus Enrol Disaggregation'!$O$5:$O$75,0),MATCH(L$1,'Campus Enrol Disaggregation'!$P$4:$AC$4,0))</f>
        <v>0</v>
      </c>
      <c r="M18" s="32">
        <f>INDEX('Campus Enrol Disaggregation'!$P$5:$AC$75,MATCH(Export_ControlTot!$A18,'Campus Enrol Disaggregation'!$O$5:$O$75,0),MATCH(M$1,'Campus Enrol Disaggregation'!$P$4:$AC$4,0))</f>
        <v>14850</v>
      </c>
      <c r="N18" s="32">
        <f>INDEX('Campus Enrol Disaggregation'!$P$5:$AC$75,MATCH(Export_ControlTot!$A18,'Campus Enrol Disaggregation'!$O$5:$O$75,0),MATCH(N$1,'Campus Enrol Disaggregation'!$P$4:$AC$4,0))</f>
        <v>3000</v>
      </c>
      <c r="O18" s="32">
        <f>INDEX('Campus Enrol Disaggregation'!$P$5:$AC$75,MATCH(Export_ControlTot!$A18,'Campus Enrol Disaggregation'!$O$5:$O$75,0),MATCH(O$1,'Campus Enrol Disaggregation'!$P$4:$AC$4,0))</f>
        <v>2500</v>
      </c>
    </row>
    <row r="19" spans="1:15">
      <c r="A19" s="3">
        <v>2007</v>
      </c>
      <c r="B19" s="32">
        <f>INDEX('Campus Enrol Disaggregation'!$P$5:$AC$75,MATCH(Export_ControlTot!$A19,'Campus Enrol Disaggregation'!$O$5:$O$75,0),MATCH(B$1,'Campus Enrol Disaggregation'!$P$4:$AC$4,0))</f>
        <v>34150</v>
      </c>
      <c r="C19" s="32">
        <f>INDEX('Campus Enrol Disaggregation'!$P$5:$AC$75,MATCH(Export_ControlTot!$A19,'Campus Enrol Disaggregation'!$O$5:$O$75,0),MATCH(C$1,'Campus Enrol Disaggregation'!$P$4:$AC$4,0))</f>
        <v>1300</v>
      </c>
      <c r="D19" s="32">
        <f>INDEX('Campus Enrol Disaggregation'!$P$5:$AC$75,MATCH(Export_ControlTot!$A19,'Campus Enrol Disaggregation'!$O$5:$O$75,0),MATCH(D$1,'Campus Enrol Disaggregation'!$P$4:$AC$4,0))</f>
        <v>17250</v>
      </c>
      <c r="E19" s="32">
        <f>INDEX('Campus Enrol Disaggregation'!$P$5:$AC$75,MATCH(Export_ControlTot!$A19,'Campus Enrol Disaggregation'!$O$5:$O$75,0),MATCH(E$1,'Campus Enrol Disaggregation'!$P$4:$AC$4,0))</f>
        <v>3350</v>
      </c>
      <c r="F19" s="32">
        <f>INDEX('Campus Enrol Disaggregation'!$P$5:$AC$75,MATCH(Export_ControlTot!$A19,'Campus Enrol Disaggregation'!$O$5:$O$75,0),MATCH(F$1,'Campus Enrol Disaggregation'!$P$4:$AC$4,0))</f>
        <v>400</v>
      </c>
      <c r="G19" s="32">
        <f>INDEX('Campus Enrol Disaggregation'!$P$5:$AC$75,MATCH(Export_ControlTot!$A19,'Campus Enrol Disaggregation'!$O$5:$O$75,0),MATCH(G$1,'Campus Enrol Disaggregation'!$P$4:$AC$4,0))</f>
        <v>2550</v>
      </c>
      <c r="H19" s="32">
        <f>INDEX('Campus Enrol Disaggregation'!$P$5:$AC$75,MATCH(Export_ControlTot!$A19,'Campus Enrol Disaggregation'!$O$5:$O$75,0),MATCH(H$1,'Campus Enrol Disaggregation'!$P$4:$AC$4,0))</f>
        <v>27150</v>
      </c>
      <c r="I19" s="32">
        <f>INDEX('Campus Enrol Disaggregation'!$P$5:$AC$75,MATCH(Export_ControlTot!$A19,'Campus Enrol Disaggregation'!$O$5:$O$75,0),MATCH(I$1,'Campus Enrol Disaggregation'!$P$4:$AC$4,0))</f>
        <v>23850</v>
      </c>
      <c r="J19" s="32">
        <f>INDEX('Campus Enrol Disaggregation'!$P$5:$AC$75,MATCH(Export_ControlTot!$A19,'Campus Enrol Disaggregation'!$O$5:$O$75,0),MATCH(J$1,'Campus Enrol Disaggregation'!$P$4:$AC$4,0))</f>
        <v>0</v>
      </c>
      <c r="K19" s="32">
        <f>INDEX('Campus Enrol Disaggregation'!$P$5:$AC$75,MATCH(Export_ControlTot!$A19,'Campus Enrol Disaggregation'!$O$5:$O$75,0),MATCH(K$1,'Campus Enrol Disaggregation'!$P$4:$AC$4,0))</f>
        <v>0</v>
      </c>
      <c r="L19" s="32">
        <f>INDEX('Campus Enrol Disaggregation'!$P$5:$AC$75,MATCH(Export_ControlTot!$A19,'Campus Enrol Disaggregation'!$O$5:$O$75,0),MATCH(L$1,'Campus Enrol Disaggregation'!$P$4:$AC$4,0))</f>
        <v>0</v>
      </c>
      <c r="M19" s="32">
        <f>INDEX('Campus Enrol Disaggregation'!$P$5:$AC$75,MATCH(Export_ControlTot!$A19,'Campus Enrol Disaggregation'!$O$5:$O$75,0),MATCH(M$1,'Campus Enrol Disaggregation'!$P$4:$AC$4,0))</f>
        <v>14650</v>
      </c>
      <c r="N19" s="32">
        <f>INDEX('Campus Enrol Disaggregation'!$P$5:$AC$75,MATCH(Export_ControlTot!$A19,'Campus Enrol Disaggregation'!$O$5:$O$75,0),MATCH(N$1,'Campus Enrol Disaggregation'!$P$4:$AC$4,0))</f>
        <v>2950</v>
      </c>
      <c r="O19" s="32">
        <f>INDEX('Campus Enrol Disaggregation'!$P$5:$AC$75,MATCH(Export_ControlTot!$A19,'Campus Enrol Disaggregation'!$O$5:$O$75,0),MATCH(O$1,'Campus Enrol Disaggregation'!$P$4:$AC$4,0))</f>
        <v>2650</v>
      </c>
    </row>
    <row r="20" spans="1:15">
      <c r="A20" s="3">
        <v>2008</v>
      </c>
      <c r="B20" s="32">
        <f>INDEX('Campus Enrol Disaggregation'!$P$5:$AC$75,MATCH(Export_ControlTot!$A20,'Campus Enrol Disaggregation'!$O$5:$O$75,0),MATCH(B$1,'Campus Enrol Disaggregation'!$P$4:$AC$4,0))</f>
        <v>34250</v>
      </c>
      <c r="C20" s="32">
        <f>INDEX('Campus Enrol Disaggregation'!$P$5:$AC$75,MATCH(Export_ControlTot!$A20,'Campus Enrol Disaggregation'!$O$5:$O$75,0),MATCH(C$1,'Campus Enrol Disaggregation'!$P$4:$AC$4,0))</f>
        <v>1400</v>
      </c>
      <c r="D20" s="32">
        <f>INDEX('Campus Enrol Disaggregation'!$P$5:$AC$75,MATCH(Export_ControlTot!$A20,'Campus Enrol Disaggregation'!$O$5:$O$75,0),MATCH(D$1,'Campus Enrol Disaggregation'!$P$4:$AC$4,0))</f>
        <v>20100</v>
      </c>
      <c r="E20" s="32">
        <f>INDEX('Campus Enrol Disaggregation'!$P$5:$AC$75,MATCH(Export_ControlTot!$A20,'Campus Enrol Disaggregation'!$O$5:$O$75,0),MATCH(E$1,'Campus Enrol Disaggregation'!$P$4:$AC$4,0))</f>
        <v>3900</v>
      </c>
      <c r="F20" s="32">
        <f>INDEX('Campus Enrol Disaggregation'!$P$5:$AC$75,MATCH(Export_ControlTot!$A20,'Campus Enrol Disaggregation'!$O$5:$O$75,0),MATCH(F$1,'Campus Enrol Disaggregation'!$P$4:$AC$4,0))</f>
        <v>500</v>
      </c>
      <c r="G20" s="32">
        <f>INDEX('Campus Enrol Disaggregation'!$P$5:$AC$75,MATCH(Export_ControlTot!$A20,'Campus Enrol Disaggregation'!$O$5:$O$75,0),MATCH(G$1,'Campus Enrol Disaggregation'!$P$4:$AC$4,0))</f>
        <v>3000</v>
      </c>
      <c r="H20" s="32">
        <f>INDEX('Campus Enrol Disaggregation'!$P$5:$AC$75,MATCH(Export_ControlTot!$A20,'Campus Enrol Disaggregation'!$O$5:$O$75,0),MATCH(H$1,'Campus Enrol Disaggregation'!$P$4:$AC$4,0))</f>
        <v>27300</v>
      </c>
      <c r="I20" s="32">
        <f>INDEX('Campus Enrol Disaggregation'!$P$5:$AC$75,MATCH(Export_ControlTot!$A20,'Campus Enrol Disaggregation'!$O$5:$O$75,0),MATCH(I$1,'Campus Enrol Disaggregation'!$P$4:$AC$4,0))</f>
        <v>27050</v>
      </c>
      <c r="J20" s="32">
        <f>INDEX('Campus Enrol Disaggregation'!$P$5:$AC$75,MATCH(Export_ControlTot!$A20,'Campus Enrol Disaggregation'!$O$5:$O$75,0),MATCH(J$1,'Campus Enrol Disaggregation'!$P$4:$AC$4,0))</f>
        <v>0</v>
      </c>
      <c r="K20" s="32">
        <f>INDEX('Campus Enrol Disaggregation'!$P$5:$AC$75,MATCH(Export_ControlTot!$A20,'Campus Enrol Disaggregation'!$O$5:$O$75,0),MATCH(K$1,'Campus Enrol Disaggregation'!$P$4:$AC$4,0))</f>
        <v>0</v>
      </c>
      <c r="L20" s="32">
        <f>INDEX('Campus Enrol Disaggregation'!$P$5:$AC$75,MATCH(Export_ControlTot!$A20,'Campus Enrol Disaggregation'!$O$5:$O$75,0),MATCH(L$1,'Campus Enrol Disaggregation'!$P$4:$AC$4,0))</f>
        <v>0</v>
      </c>
      <c r="M20" s="32">
        <f>INDEX('Campus Enrol Disaggregation'!$P$5:$AC$75,MATCH(Export_ControlTot!$A20,'Campus Enrol Disaggregation'!$O$5:$O$75,0),MATCH(M$1,'Campus Enrol Disaggregation'!$P$4:$AC$4,0))</f>
        <v>17350</v>
      </c>
      <c r="N20" s="32">
        <f>INDEX('Campus Enrol Disaggregation'!$P$5:$AC$75,MATCH(Export_ControlTot!$A20,'Campus Enrol Disaggregation'!$O$5:$O$75,0),MATCH(N$1,'Campus Enrol Disaggregation'!$P$4:$AC$4,0))</f>
        <v>3500</v>
      </c>
      <c r="O20" s="32">
        <f>INDEX('Campus Enrol Disaggregation'!$P$5:$AC$75,MATCH(Export_ControlTot!$A20,'Campus Enrol Disaggregation'!$O$5:$O$75,0),MATCH(O$1,'Campus Enrol Disaggregation'!$P$4:$AC$4,0))</f>
        <v>2850</v>
      </c>
    </row>
    <row r="21" spans="1:15">
      <c r="A21" s="3">
        <v>2009</v>
      </c>
      <c r="B21" s="32">
        <f>INDEX('Campus Enrol Disaggregation'!$P$5:$AC$75,MATCH(Export_ControlTot!$A21,'Campus Enrol Disaggregation'!$O$5:$O$75,0),MATCH(B$1,'Campus Enrol Disaggregation'!$P$4:$AC$4,0))</f>
        <v>34150</v>
      </c>
      <c r="C21" s="32">
        <f>INDEX('Campus Enrol Disaggregation'!$P$5:$AC$75,MATCH(Export_ControlTot!$A21,'Campus Enrol Disaggregation'!$O$5:$O$75,0),MATCH(C$1,'Campus Enrol Disaggregation'!$P$4:$AC$4,0))</f>
        <v>1600</v>
      </c>
      <c r="D21" s="32">
        <f>INDEX('Campus Enrol Disaggregation'!$P$5:$AC$75,MATCH(Export_ControlTot!$A21,'Campus Enrol Disaggregation'!$O$5:$O$75,0),MATCH(D$1,'Campus Enrol Disaggregation'!$P$4:$AC$4,0))</f>
        <v>23900</v>
      </c>
      <c r="E21" s="32">
        <f>INDEX('Campus Enrol Disaggregation'!$P$5:$AC$75,MATCH(Export_ControlTot!$A21,'Campus Enrol Disaggregation'!$O$5:$O$75,0),MATCH(E$1,'Campus Enrol Disaggregation'!$P$4:$AC$4,0))</f>
        <v>4650</v>
      </c>
      <c r="F21" s="32">
        <f>INDEX('Campus Enrol Disaggregation'!$P$5:$AC$75,MATCH(Export_ControlTot!$A21,'Campus Enrol Disaggregation'!$O$5:$O$75,0),MATCH(F$1,'Campus Enrol Disaggregation'!$P$4:$AC$4,0))</f>
        <v>550</v>
      </c>
      <c r="G21" s="32">
        <f>INDEX('Campus Enrol Disaggregation'!$P$5:$AC$75,MATCH(Export_ControlTot!$A21,'Campus Enrol Disaggregation'!$O$5:$O$75,0),MATCH(G$1,'Campus Enrol Disaggregation'!$P$4:$AC$4,0))</f>
        <v>3550</v>
      </c>
      <c r="H21" s="32">
        <f>INDEX('Campus Enrol Disaggregation'!$P$5:$AC$75,MATCH(Export_ControlTot!$A21,'Campus Enrol Disaggregation'!$O$5:$O$75,0),MATCH(H$1,'Campus Enrol Disaggregation'!$P$4:$AC$4,0))</f>
        <v>28350</v>
      </c>
      <c r="I21" s="32">
        <f>INDEX('Campus Enrol Disaggregation'!$P$5:$AC$75,MATCH(Export_ControlTot!$A21,'Campus Enrol Disaggregation'!$O$5:$O$75,0),MATCH(I$1,'Campus Enrol Disaggregation'!$P$4:$AC$4,0))</f>
        <v>29050</v>
      </c>
      <c r="J21" s="32">
        <f>INDEX('Campus Enrol Disaggregation'!$P$5:$AC$75,MATCH(Export_ControlTot!$A21,'Campus Enrol Disaggregation'!$O$5:$O$75,0),MATCH(J$1,'Campus Enrol Disaggregation'!$P$4:$AC$4,0))</f>
        <v>0</v>
      </c>
      <c r="K21" s="32">
        <f>INDEX('Campus Enrol Disaggregation'!$P$5:$AC$75,MATCH(Export_ControlTot!$A21,'Campus Enrol Disaggregation'!$O$5:$O$75,0),MATCH(K$1,'Campus Enrol Disaggregation'!$P$4:$AC$4,0))</f>
        <v>0</v>
      </c>
      <c r="L21" s="32">
        <f>INDEX('Campus Enrol Disaggregation'!$P$5:$AC$75,MATCH(Export_ControlTot!$A21,'Campus Enrol Disaggregation'!$O$5:$O$75,0),MATCH(L$1,'Campus Enrol Disaggregation'!$P$4:$AC$4,0))</f>
        <v>0</v>
      </c>
      <c r="M21" s="32">
        <f>INDEX('Campus Enrol Disaggregation'!$P$5:$AC$75,MATCH(Export_ControlTot!$A21,'Campus Enrol Disaggregation'!$O$5:$O$75,0),MATCH(M$1,'Campus Enrol Disaggregation'!$P$4:$AC$4,0))</f>
        <v>18650</v>
      </c>
      <c r="N21" s="32">
        <f>INDEX('Campus Enrol Disaggregation'!$P$5:$AC$75,MATCH(Export_ControlTot!$A21,'Campus Enrol Disaggregation'!$O$5:$O$75,0),MATCH(N$1,'Campus Enrol Disaggregation'!$P$4:$AC$4,0))</f>
        <v>3750</v>
      </c>
      <c r="O21" s="32">
        <f>INDEX('Campus Enrol Disaggregation'!$P$5:$AC$75,MATCH(Export_ControlTot!$A21,'Campus Enrol Disaggregation'!$O$5:$O$75,0),MATCH(O$1,'Campus Enrol Disaggregation'!$P$4:$AC$4,0))</f>
        <v>3050</v>
      </c>
    </row>
    <row r="22" spans="1:15">
      <c r="A22" s="3">
        <v>2010</v>
      </c>
      <c r="B22" s="32">
        <f>INDEX('Campus Enrol Disaggregation'!$P$5:$AC$75,MATCH(Export_ControlTot!$A22,'Campus Enrol Disaggregation'!$O$5:$O$75,0),MATCH(B$1,'Campus Enrol Disaggregation'!$P$4:$AC$4,0))</f>
        <v>33850</v>
      </c>
      <c r="C22" s="32">
        <f>INDEX('Campus Enrol Disaggregation'!$P$5:$AC$75,MATCH(Export_ControlTot!$A22,'Campus Enrol Disaggregation'!$O$5:$O$75,0),MATCH(C$1,'Campus Enrol Disaggregation'!$P$4:$AC$4,0))</f>
        <v>1800</v>
      </c>
      <c r="D22" s="32">
        <f>INDEX('Campus Enrol Disaggregation'!$P$5:$AC$75,MATCH(Export_ControlTot!$A22,'Campus Enrol Disaggregation'!$O$5:$O$75,0),MATCH(D$1,'Campus Enrol Disaggregation'!$P$4:$AC$4,0))</f>
        <v>23700</v>
      </c>
      <c r="E22" s="32">
        <f>INDEX('Campus Enrol Disaggregation'!$P$5:$AC$75,MATCH(Export_ControlTot!$A22,'Campus Enrol Disaggregation'!$O$5:$O$75,0),MATCH(E$1,'Campus Enrol Disaggregation'!$P$4:$AC$4,0))</f>
        <v>4600</v>
      </c>
      <c r="F22" s="32">
        <f>INDEX('Campus Enrol Disaggregation'!$P$5:$AC$75,MATCH(Export_ControlTot!$A22,'Campus Enrol Disaggregation'!$O$5:$O$75,0),MATCH(F$1,'Campus Enrol Disaggregation'!$P$4:$AC$4,0))</f>
        <v>550</v>
      </c>
      <c r="G22" s="32">
        <f>INDEX('Campus Enrol Disaggregation'!$P$5:$AC$75,MATCH(Export_ControlTot!$A22,'Campus Enrol Disaggregation'!$O$5:$O$75,0),MATCH(G$1,'Campus Enrol Disaggregation'!$P$4:$AC$4,0))</f>
        <v>3550</v>
      </c>
      <c r="H22" s="32">
        <f>INDEX('Campus Enrol Disaggregation'!$P$5:$AC$75,MATCH(Export_ControlTot!$A22,'Campus Enrol Disaggregation'!$O$5:$O$75,0),MATCH(H$1,'Campus Enrol Disaggregation'!$P$4:$AC$4,0))</f>
        <v>29850</v>
      </c>
      <c r="I22" s="32">
        <f>INDEX('Campus Enrol Disaggregation'!$P$5:$AC$75,MATCH(Export_ControlTot!$A22,'Campus Enrol Disaggregation'!$O$5:$O$75,0),MATCH(I$1,'Campus Enrol Disaggregation'!$P$4:$AC$4,0))</f>
        <v>31750</v>
      </c>
      <c r="J22" s="32">
        <f>INDEX('Campus Enrol Disaggregation'!$P$5:$AC$75,MATCH(Export_ControlTot!$A22,'Campus Enrol Disaggregation'!$O$5:$O$75,0),MATCH(J$1,'Campus Enrol Disaggregation'!$P$4:$AC$4,0))</f>
        <v>0</v>
      </c>
      <c r="K22" s="32">
        <f>INDEX('Campus Enrol Disaggregation'!$P$5:$AC$75,MATCH(Export_ControlTot!$A22,'Campus Enrol Disaggregation'!$O$5:$O$75,0),MATCH(K$1,'Campus Enrol Disaggregation'!$P$4:$AC$4,0))</f>
        <v>0</v>
      </c>
      <c r="L22" s="32">
        <f>INDEX('Campus Enrol Disaggregation'!$P$5:$AC$75,MATCH(Export_ControlTot!$A22,'Campus Enrol Disaggregation'!$O$5:$O$75,0),MATCH(L$1,'Campus Enrol Disaggregation'!$P$4:$AC$4,0))</f>
        <v>0</v>
      </c>
      <c r="M22" s="32">
        <f>INDEX('Campus Enrol Disaggregation'!$P$5:$AC$75,MATCH(Export_ControlTot!$A22,'Campus Enrol Disaggregation'!$O$5:$O$75,0),MATCH(M$1,'Campus Enrol Disaggregation'!$P$4:$AC$4,0))</f>
        <v>19500</v>
      </c>
      <c r="N22" s="32">
        <f>INDEX('Campus Enrol Disaggregation'!$P$5:$AC$75,MATCH(Export_ControlTot!$A22,'Campus Enrol Disaggregation'!$O$5:$O$75,0),MATCH(N$1,'Campus Enrol Disaggregation'!$P$4:$AC$4,0))</f>
        <v>3900</v>
      </c>
      <c r="O22" s="32">
        <f>INDEX('Campus Enrol Disaggregation'!$P$5:$AC$75,MATCH(Export_ControlTot!$A22,'Campus Enrol Disaggregation'!$O$5:$O$75,0),MATCH(O$1,'Campus Enrol Disaggregation'!$P$4:$AC$4,0))</f>
        <v>3150</v>
      </c>
    </row>
    <row r="23" spans="1:15">
      <c r="A23" s="3">
        <v>2011</v>
      </c>
      <c r="B23" s="32">
        <f>INDEX('Campus Enrol Disaggregation'!$P$5:$AC$75,MATCH(Export_ControlTot!$A23,'Campus Enrol Disaggregation'!$O$5:$O$75,0),MATCH(B$1,'Campus Enrol Disaggregation'!$P$4:$AC$4,0))</f>
        <v>34100</v>
      </c>
      <c r="C23" s="32">
        <f>INDEX('Campus Enrol Disaggregation'!$P$5:$AC$75,MATCH(Export_ControlTot!$A23,'Campus Enrol Disaggregation'!$O$5:$O$75,0),MATCH(C$1,'Campus Enrol Disaggregation'!$P$4:$AC$4,0))</f>
        <v>2000</v>
      </c>
      <c r="D23" s="32">
        <f>INDEX('Campus Enrol Disaggregation'!$P$5:$AC$75,MATCH(Export_ControlTot!$A23,'Campus Enrol Disaggregation'!$O$5:$O$75,0),MATCH(D$1,'Campus Enrol Disaggregation'!$P$4:$AC$4,0))</f>
        <v>22850</v>
      </c>
      <c r="E23" s="32">
        <f>INDEX('Campus Enrol Disaggregation'!$P$5:$AC$75,MATCH(Export_ControlTot!$A23,'Campus Enrol Disaggregation'!$O$5:$O$75,0),MATCH(E$1,'Campus Enrol Disaggregation'!$P$4:$AC$4,0))</f>
        <v>4450</v>
      </c>
      <c r="F23" s="32">
        <f>INDEX('Campus Enrol Disaggregation'!$P$5:$AC$75,MATCH(Export_ControlTot!$A23,'Campus Enrol Disaggregation'!$O$5:$O$75,0),MATCH(F$1,'Campus Enrol Disaggregation'!$P$4:$AC$4,0))</f>
        <v>550</v>
      </c>
      <c r="G23" s="32">
        <f>INDEX('Campus Enrol Disaggregation'!$P$5:$AC$75,MATCH(Export_ControlTot!$A23,'Campus Enrol Disaggregation'!$O$5:$O$75,0),MATCH(G$1,'Campus Enrol Disaggregation'!$P$4:$AC$4,0))</f>
        <v>3400</v>
      </c>
      <c r="H23" s="32">
        <f>INDEX('Campus Enrol Disaggregation'!$P$5:$AC$75,MATCH(Export_ControlTot!$A23,'Campus Enrol Disaggregation'!$O$5:$O$75,0),MATCH(H$1,'Campus Enrol Disaggregation'!$P$4:$AC$4,0))</f>
        <v>30650</v>
      </c>
      <c r="I23" s="32">
        <f>INDEX('Campus Enrol Disaggregation'!$P$5:$AC$75,MATCH(Export_ControlTot!$A23,'Campus Enrol Disaggregation'!$O$5:$O$75,0),MATCH(I$1,'Campus Enrol Disaggregation'!$P$4:$AC$4,0))</f>
        <v>32750</v>
      </c>
      <c r="J23" s="32">
        <f>INDEX('Campus Enrol Disaggregation'!$P$5:$AC$75,MATCH(Export_ControlTot!$A23,'Campus Enrol Disaggregation'!$O$5:$O$75,0),MATCH(J$1,'Campus Enrol Disaggregation'!$P$4:$AC$4,0))</f>
        <v>0</v>
      </c>
      <c r="K23" s="32">
        <f>INDEX('Campus Enrol Disaggregation'!$P$5:$AC$75,MATCH(Export_ControlTot!$A23,'Campus Enrol Disaggregation'!$O$5:$O$75,0),MATCH(K$1,'Campus Enrol Disaggregation'!$P$4:$AC$4,0))</f>
        <v>0</v>
      </c>
      <c r="L23" s="32">
        <f>INDEX('Campus Enrol Disaggregation'!$P$5:$AC$75,MATCH(Export_ControlTot!$A23,'Campus Enrol Disaggregation'!$O$5:$O$75,0),MATCH(L$1,'Campus Enrol Disaggregation'!$P$4:$AC$4,0))</f>
        <v>0</v>
      </c>
      <c r="M23" s="32">
        <f>INDEX('Campus Enrol Disaggregation'!$P$5:$AC$75,MATCH(Export_ControlTot!$A23,'Campus Enrol Disaggregation'!$O$5:$O$75,0),MATCH(M$1,'Campus Enrol Disaggregation'!$P$4:$AC$4,0))</f>
        <v>20550</v>
      </c>
      <c r="N23" s="32">
        <f>INDEX('Campus Enrol Disaggregation'!$P$5:$AC$75,MATCH(Export_ControlTot!$A23,'Campus Enrol Disaggregation'!$O$5:$O$75,0),MATCH(N$1,'Campus Enrol Disaggregation'!$P$4:$AC$4,0))</f>
        <v>4100</v>
      </c>
      <c r="O23" s="32">
        <f>INDEX('Campus Enrol Disaggregation'!$P$5:$AC$75,MATCH(Export_ControlTot!$A23,'Campus Enrol Disaggregation'!$O$5:$O$75,0),MATCH(O$1,'Campus Enrol Disaggregation'!$P$4:$AC$4,0))</f>
        <v>3350</v>
      </c>
    </row>
    <row r="24" spans="1:15">
      <c r="A24" s="3">
        <v>2012</v>
      </c>
      <c r="B24" s="32">
        <f>INDEX('Campus Enrol Disaggregation'!$P$5:$AC$75,MATCH(Export_ControlTot!$A24,'Campus Enrol Disaggregation'!$O$5:$O$75,0),MATCH(B$1,'Campus Enrol Disaggregation'!$P$4:$AC$4,0))</f>
        <v>34400</v>
      </c>
      <c r="C24" s="32">
        <f>INDEX('Campus Enrol Disaggregation'!$P$5:$AC$75,MATCH(Export_ControlTot!$A24,'Campus Enrol Disaggregation'!$O$5:$O$75,0),MATCH(C$1,'Campus Enrol Disaggregation'!$P$4:$AC$4,0))</f>
        <v>2200</v>
      </c>
      <c r="D24" s="32">
        <f>INDEX('Campus Enrol Disaggregation'!$P$5:$AC$75,MATCH(Export_ControlTot!$A24,'Campus Enrol Disaggregation'!$O$5:$O$75,0),MATCH(D$1,'Campus Enrol Disaggregation'!$P$4:$AC$4,0))</f>
        <v>20500</v>
      </c>
      <c r="E24" s="32">
        <f>INDEX('Campus Enrol Disaggregation'!$P$5:$AC$75,MATCH(Export_ControlTot!$A24,'Campus Enrol Disaggregation'!$O$5:$O$75,0),MATCH(E$1,'Campus Enrol Disaggregation'!$P$4:$AC$4,0))</f>
        <v>4000</v>
      </c>
      <c r="F24" s="32">
        <f>INDEX('Campus Enrol Disaggregation'!$P$5:$AC$75,MATCH(Export_ControlTot!$A24,'Campus Enrol Disaggregation'!$O$5:$O$75,0),MATCH(F$1,'Campus Enrol Disaggregation'!$P$4:$AC$4,0))</f>
        <v>500</v>
      </c>
      <c r="G24" s="32">
        <f>INDEX('Campus Enrol Disaggregation'!$P$5:$AC$75,MATCH(Export_ControlTot!$A24,'Campus Enrol Disaggregation'!$O$5:$O$75,0),MATCH(G$1,'Campus Enrol Disaggregation'!$P$4:$AC$4,0))</f>
        <v>3050</v>
      </c>
      <c r="H24" s="32">
        <f>INDEX('Campus Enrol Disaggregation'!$P$5:$AC$75,MATCH(Export_ControlTot!$A24,'Campus Enrol Disaggregation'!$O$5:$O$75,0),MATCH(H$1,'Campus Enrol Disaggregation'!$P$4:$AC$4,0))</f>
        <v>31350</v>
      </c>
      <c r="I24" s="32">
        <f>INDEX('Campus Enrol Disaggregation'!$P$5:$AC$75,MATCH(Export_ControlTot!$A24,'Campus Enrol Disaggregation'!$O$5:$O$75,0),MATCH(I$1,'Campus Enrol Disaggregation'!$P$4:$AC$4,0))</f>
        <v>31800</v>
      </c>
      <c r="J24" s="32">
        <f>INDEX('Campus Enrol Disaggregation'!$P$5:$AC$75,MATCH(Export_ControlTot!$A24,'Campus Enrol Disaggregation'!$O$5:$O$75,0),MATCH(J$1,'Campus Enrol Disaggregation'!$P$4:$AC$4,0))</f>
        <v>0</v>
      </c>
      <c r="K24" s="32">
        <f>INDEX('Campus Enrol Disaggregation'!$P$5:$AC$75,MATCH(Export_ControlTot!$A24,'Campus Enrol Disaggregation'!$O$5:$O$75,0),MATCH(K$1,'Campus Enrol Disaggregation'!$P$4:$AC$4,0))</f>
        <v>0</v>
      </c>
      <c r="L24" s="32">
        <f>INDEX('Campus Enrol Disaggregation'!$P$5:$AC$75,MATCH(Export_ControlTot!$A24,'Campus Enrol Disaggregation'!$O$5:$O$75,0),MATCH(L$1,'Campus Enrol Disaggregation'!$P$4:$AC$4,0))</f>
        <v>0</v>
      </c>
      <c r="M24" s="32">
        <f>INDEX('Campus Enrol Disaggregation'!$P$5:$AC$75,MATCH(Export_ControlTot!$A24,'Campus Enrol Disaggregation'!$O$5:$O$75,0),MATCH(M$1,'Campus Enrol Disaggregation'!$P$4:$AC$4,0))</f>
        <v>21550</v>
      </c>
      <c r="N24" s="32">
        <f>INDEX('Campus Enrol Disaggregation'!$P$5:$AC$75,MATCH(Export_ControlTot!$A24,'Campus Enrol Disaggregation'!$O$5:$O$75,0),MATCH(N$1,'Campus Enrol Disaggregation'!$P$4:$AC$4,0))</f>
        <v>4300</v>
      </c>
      <c r="O24" s="32">
        <f>INDEX('Campus Enrol Disaggregation'!$P$5:$AC$75,MATCH(Export_ControlTot!$A24,'Campus Enrol Disaggregation'!$O$5:$O$75,0),MATCH(O$1,'Campus Enrol Disaggregation'!$P$4:$AC$4,0))</f>
        <v>3300</v>
      </c>
    </row>
    <row r="25" spans="1:15">
      <c r="A25" s="3">
        <v>2013</v>
      </c>
      <c r="B25" s="32">
        <f>INDEX('Campus Enrol Disaggregation'!$P$5:$AC$75,MATCH(Export_ControlTot!$A25,'Campus Enrol Disaggregation'!$O$5:$O$75,0),MATCH(B$1,'Campus Enrol Disaggregation'!$P$4:$AC$4,0))</f>
        <v>31100</v>
      </c>
      <c r="C25" s="32">
        <f>INDEX('Campus Enrol Disaggregation'!$P$5:$AC$75,MATCH(Export_ControlTot!$A25,'Campus Enrol Disaggregation'!$O$5:$O$75,0),MATCH(C$1,'Campus Enrol Disaggregation'!$P$4:$AC$4,0))</f>
        <v>2050</v>
      </c>
      <c r="D25" s="32">
        <f>INDEX('Campus Enrol Disaggregation'!$P$5:$AC$75,MATCH(Export_ControlTot!$A25,'Campus Enrol Disaggregation'!$O$5:$O$75,0),MATCH(D$1,'Campus Enrol Disaggregation'!$P$4:$AC$4,0))</f>
        <v>21900</v>
      </c>
      <c r="E25" s="32">
        <f>INDEX('Campus Enrol Disaggregation'!$P$5:$AC$75,MATCH(Export_ControlTot!$A25,'Campus Enrol Disaggregation'!$O$5:$O$75,0),MATCH(E$1,'Campus Enrol Disaggregation'!$P$4:$AC$4,0))</f>
        <v>4250</v>
      </c>
      <c r="F25" s="32">
        <f>INDEX('Campus Enrol Disaggregation'!$P$5:$AC$75,MATCH(Export_ControlTot!$A25,'Campus Enrol Disaggregation'!$O$5:$O$75,0),MATCH(F$1,'Campus Enrol Disaggregation'!$P$4:$AC$4,0))</f>
        <v>500</v>
      </c>
      <c r="G25" s="32">
        <f>INDEX('Campus Enrol Disaggregation'!$P$5:$AC$75,MATCH(Export_ControlTot!$A25,'Campus Enrol Disaggregation'!$O$5:$O$75,0),MATCH(G$1,'Campus Enrol Disaggregation'!$P$4:$AC$4,0))</f>
        <v>3250</v>
      </c>
      <c r="H25" s="32">
        <f>INDEX('Campus Enrol Disaggregation'!$P$5:$AC$75,MATCH(Export_ControlTot!$A25,'Campus Enrol Disaggregation'!$O$5:$O$75,0),MATCH(H$1,'Campus Enrol Disaggregation'!$P$4:$AC$4,0))</f>
        <v>31050</v>
      </c>
      <c r="I25" s="32">
        <f>INDEX('Campus Enrol Disaggregation'!$P$5:$AC$75,MATCH(Export_ControlTot!$A25,'Campus Enrol Disaggregation'!$O$5:$O$75,0),MATCH(I$1,'Campus Enrol Disaggregation'!$P$4:$AC$4,0))</f>
        <v>30900</v>
      </c>
      <c r="J25" s="32">
        <f>INDEX('Campus Enrol Disaggregation'!$P$5:$AC$75,MATCH(Export_ControlTot!$A25,'Campus Enrol Disaggregation'!$O$5:$O$75,0),MATCH(J$1,'Campus Enrol Disaggregation'!$P$4:$AC$4,0))</f>
        <v>0</v>
      </c>
      <c r="K25" s="32">
        <f>INDEX('Campus Enrol Disaggregation'!$P$5:$AC$75,MATCH(Export_ControlTot!$A25,'Campus Enrol Disaggregation'!$O$5:$O$75,0),MATCH(K$1,'Campus Enrol Disaggregation'!$P$4:$AC$4,0))</f>
        <v>0</v>
      </c>
      <c r="L25" s="32">
        <f>INDEX('Campus Enrol Disaggregation'!$P$5:$AC$75,MATCH(Export_ControlTot!$A25,'Campus Enrol Disaggregation'!$O$5:$O$75,0),MATCH(L$1,'Campus Enrol Disaggregation'!$P$4:$AC$4,0))</f>
        <v>0</v>
      </c>
      <c r="M25" s="32">
        <f>INDEX('Campus Enrol Disaggregation'!$P$5:$AC$75,MATCH(Export_ControlTot!$A25,'Campus Enrol Disaggregation'!$O$5:$O$75,0),MATCH(M$1,'Campus Enrol Disaggregation'!$P$4:$AC$4,0))</f>
        <v>20400</v>
      </c>
      <c r="N25" s="32">
        <f>INDEX('Campus Enrol Disaggregation'!$P$5:$AC$75,MATCH(Export_ControlTot!$A25,'Campus Enrol Disaggregation'!$O$5:$O$75,0),MATCH(N$1,'Campus Enrol Disaggregation'!$P$4:$AC$4,0))</f>
        <v>4100</v>
      </c>
      <c r="O25" s="32">
        <f>INDEX('Campus Enrol Disaggregation'!$P$5:$AC$75,MATCH(Export_ControlTot!$A25,'Campus Enrol Disaggregation'!$O$5:$O$75,0),MATCH(O$1,'Campus Enrol Disaggregation'!$P$4:$AC$4,0))</f>
        <v>3100</v>
      </c>
    </row>
    <row r="26" spans="1:15">
      <c r="A26" s="3">
        <v>2014</v>
      </c>
      <c r="B26" s="32">
        <f>INDEX('Campus Enrol Disaggregation'!$P$5:$AC$75,MATCH(Export_ControlTot!$A26,'Campus Enrol Disaggregation'!$O$5:$O$75,0),MATCH(B$1,'Campus Enrol Disaggregation'!$P$4:$AC$4,0))</f>
        <v>30500</v>
      </c>
      <c r="C26" s="32">
        <f>INDEX('Campus Enrol Disaggregation'!$P$5:$AC$75,MATCH(Export_ControlTot!$A26,'Campus Enrol Disaggregation'!$O$5:$O$75,0),MATCH(C$1,'Campus Enrol Disaggregation'!$P$4:$AC$4,0))</f>
        <v>2000</v>
      </c>
      <c r="D26" s="32">
        <f>INDEX('Campus Enrol Disaggregation'!$P$5:$AC$75,MATCH(Export_ControlTot!$A26,'Campus Enrol Disaggregation'!$O$5:$O$75,0),MATCH(D$1,'Campus Enrol Disaggregation'!$P$4:$AC$4,0))</f>
        <v>20700</v>
      </c>
      <c r="E26" s="32">
        <f>INDEX('Campus Enrol Disaggregation'!$P$5:$AC$75,MATCH(Export_ControlTot!$A26,'Campus Enrol Disaggregation'!$O$5:$O$75,0),MATCH(E$1,'Campus Enrol Disaggregation'!$P$4:$AC$4,0))</f>
        <v>4050</v>
      </c>
      <c r="F26" s="32">
        <f>INDEX('Campus Enrol Disaggregation'!$P$5:$AC$75,MATCH(Export_ControlTot!$A26,'Campus Enrol Disaggregation'!$O$5:$O$75,0),MATCH(F$1,'Campus Enrol Disaggregation'!$P$4:$AC$4,0))</f>
        <v>500</v>
      </c>
      <c r="G26" s="32">
        <f>INDEX('Campus Enrol Disaggregation'!$P$5:$AC$75,MATCH(Export_ControlTot!$A26,'Campus Enrol Disaggregation'!$O$5:$O$75,0),MATCH(G$1,'Campus Enrol Disaggregation'!$P$4:$AC$4,0))</f>
        <v>3100</v>
      </c>
      <c r="H26" s="32">
        <f>INDEX('Campus Enrol Disaggregation'!$P$5:$AC$75,MATCH(Export_ControlTot!$A26,'Campus Enrol Disaggregation'!$O$5:$O$75,0),MATCH(H$1,'Campus Enrol Disaggregation'!$P$4:$AC$4,0))</f>
        <v>30500</v>
      </c>
      <c r="I26" s="32">
        <f>INDEX('Campus Enrol Disaggregation'!$P$5:$AC$75,MATCH(Export_ControlTot!$A26,'Campus Enrol Disaggregation'!$O$5:$O$75,0),MATCH(I$1,'Campus Enrol Disaggregation'!$P$4:$AC$4,0))</f>
        <v>31600</v>
      </c>
      <c r="J26" s="32">
        <f>INDEX('Campus Enrol Disaggregation'!$P$5:$AC$75,MATCH(Export_ControlTot!$A26,'Campus Enrol Disaggregation'!$O$5:$O$75,0),MATCH(J$1,'Campus Enrol Disaggregation'!$P$4:$AC$4,0))</f>
        <v>0</v>
      </c>
      <c r="K26" s="32">
        <f>INDEX('Campus Enrol Disaggregation'!$P$5:$AC$75,MATCH(Export_ControlTot!$A26,'Campus Enrol Disaggregation'!$O$5:$O$75,0),MATCH(K$1,'Campus Enrol Disaggregation'!$P$4:$AC$4,0))</f>
        <v>0</v>
      </c>
      <c r="L26" s="32">
        <f>INDEX('Campus Enrol Disaggregation'!$P$5:$AC$75,MATCH(Export_ControlTot!$A26,'Campus Enrol Disaggregation'!$O$5:$O$75,0),MATCH(L$1,'Campus Enrol Disaggregation'!$P$4:$AC$4,0))</f>
        <v>0</v>
      </c>
      <c r="M26" s="32">
        <f>INDEX('Campus Enrol Disaggregation'!$P$5:$AC$75,MATCH(Export_ControlTot!$A26,'Campus Enrol Disaggregation'!$O$5:$O$75,0),MATCH(M$1,'Campus Enrol Disaggregation'!$P$4:$AC$4,0))</f>
        <v>21050</v>
      </c>
      <c r="N26" s="32">
        <f>INDEX('Campus Enrol Disaggregation'!$P$5:$AC$75,MATCH(Export_ControlTot!$A26,'Campus Enrol Disaggregation'!$O$5:$O$75,0),MATCH(N$1,'Campus Enrol Disaggregation'!$P$4:$AC$4,0))</f>
        <v>4250</v>
      </c>
      <c r="O26" s="32">
        <f>INDEX('Campus Enrol Disaggregation'!$P$5:$AC$75,MATCH(Export_ControlTot!$A26,'Campus Enrol Disaggregation'!$O$5:$O$75,0),MATCH(O$1,'Campus Enrol Disaggregation'!$P$4:$AC$4,0))</f>
        <v>3000</v>
      </c>
    </row>
    <row r="27" spans="1:15">
      <c r="A27" s="3">
        <v>2015</v>
      </c>
      <c r="B27" s="32">
        <f>INDEX('Campus Enrol Disaggregation'!$P$5:$AC$75,MATCH(Export_ControlTot!$A27,'Campus Enrol Disaggregation'!$O$5:$O$75,0),MATCH(B$1,'Campus Enrol Disaggregation'!$P$4:$AC$4,0))</f>
        <v>33450</v>
      </c>
      <c r="C27" s="32">
        <f>INDEX('Campus Enrol Disaggregation'!$P$5:$AC$75,MATCH(Export_ControlTot!$A27,'Campus Enrol Disaggregation'!$O$5:$O$75,0),MATCH(C$1,'Campus Enrol Disaggregation'!$P$4:$AC$4,0))</f>
        <v>2150</v>
      </c>
      <c r="D27" s="32">
        <f>INDEX('Campus Enrol Disaggregation'!$P$5:$AC$75,MATCH(Export_ControlTot!$A27,'Campus Enrol Disaggregation'!$O$5:$O$75,0),MATCH(D$1,'Campus Enrol Disaggregation'!$P$4:$AC$4,0))</f>
        <v>20100</v>
      </c>
      <c r="E27" s="32">
        <f>INDEX('Campus Enrol Disaggregation'!$P$5:$AC$75,MATCH(Export_ControlTot!$A27,'Campus Enrol Disaggregation'!$O$5:$O$75,0),MATCH(E$1,'Campus Enrol Disaggregation'!$P$4:$AC$4,0))</f>
        <v>3900</v>
      </c>
      <c r="F27" s="32">
        <f>INDEX('Campus Enrol Disaggregation'!$P$5:$AC$75,MATCH(Export_ControlTot!$A27,'Campus Enrol Disaggregation'!$O$5:$O$75,0),MATCH(F$1,'Campus Enrol Disaggregation'!$P$4:$AC$4,0))</f>
        <v>450</v>
      </c>
      <c r="G27" s="32">
        <f>INDEX('Campus Enrol Disaggregation'!$P$5:$AC$75,MATCH(Export_ControlTot!$A27,'Campus Enrol Disaggregation'!$O$5:$O$75,0),MATCH(G$1,'Campus Enrol Disaggregation'!$P$4:$AC$4,0))</f>
        <v>3000</v>
      </c>
      <c r="H27" s="32">
        <f>INDEX('Campus Enrol Disaggregation'!$P$5:$AC$75,MATCH(Export_ControlTot!$A27,'Campus Enrol Disaggregation'!$O$5:$O$75,0),MATCH(H$1,'Campus Enrol Disaggregation'!$P$4:$AC$4,0))</f>
        <v>30600</v>
      </c>
      <c r="I27" s="32">
        <f>INDEX('Campus Enrol Disaggregation'!$P$5:$AC$75,MATCH(Export_ControlTot!$A27,'Campus Enrol Disaggregation'!$O$5:$O$75,0),MATCH(I$1,'Campus Enrol Disaggregation'!$P$4:$AC$4,0))</f>
        <v>33550</v>
      </c>
      <c r="J27" s="32">
        <f>INDEX('Campus Enrol Disaggregation'!$P$5:$AC$75,MATCH(Export_ControlTot!$A27,'Campus Enrol Disaggregation'!$O$5:$O$75,0),MATCH(J$1,'Campus Enrol Disaggregation'!$P$4:$AC$4,0))</f>
        <v>0</v>
      </c>
      <c r="K27" s="32">
        <f>INDEX('Campus Enrol Disaggregation'!$P$5:$AC$75,MATCH(Export_ControlTot!$A27,'Campus Enrol Disaggregation'!$O$5:$O$75,0),MATCH(K$1,'Campus Enrol Disaggregation'!$P$4:$AC$4,0))</f>
        <v>0</v>
      </c>
      <c r="L27" s="32">
        <f>INDEX('Campus Enrol Disaggregation'!$P$5:$AC$75,MATCH(Export_ControlTot!$A27,'Campus Enrol Disaggregation'!$O$5:$O$75,0),MATCH(L$1,'Campus Enrol Disaggregation'!$P$4:$AC$4,0))</f>
        <v>0</v>
      </c>
      <c r="M27" s="32">
        <f>INDEX('Campus Enrol Disaggregation'!$P$5:$AC$75,MATCH(Export_ControlTot!$A27,'Campus Enrol Disaggregation'!$O$5:$O$75,0),MATCH(M$1,'Campus Enrol Disaggregation'!$P$4:$AC$4,0))</f>
        <v>21050</v>
      </c>
      <c r="N27" s="32">
        <f>INDEX('Campus Enrol Disaggregation'!$P$5:$AC$75,MATCH(Export_ControlTot!$A27,'Campus Enrol Disaggregation'!$O$5:$O$75,0),MATCH(N$1,'Campus Enrol Disaggregation'!$P$4:$AC$4,0))</f>
        <v>4250</v>
      </c>
      <c r="O27" s="32">
        <f>INDEX('Campus Enrol Disaggregation'!$P$5:$AC$75,MATCH(Export_ControlTot!$A27,'Campus Enrol Disaggregation'!$O$5:$O$75,0),MATCH(O$1,'Campus Enrol Disaggregation'!$P$4:$AC$4,0))</f>
        <v>2800</v>
      </c>
    </row>
    <row r="28" spans="1:15">
      <c r="A28" s="3">
        <v>2016</v>
      </c>
      <c r="B28" s="32">
        <f>INDEX('Campus Enrol Disaggregation'!$P$5:$AC$75,MATCH(Export_ControlTot!$A28,'Campus Enrol Disaggregation'!$O$5:$O$75,0),MATCH(B$1,'Campus Enrol Disaggregation'!$P$4:$AC$4,0))</f>
        <v>34250</v>
      </c>
      <c r="C28" s="32">
        <f>INDEX('Campus Enrol Disaggregation'!$P$5:$AC$75,MATCH(Export_ControlTot!$A28,'Campus Enrol Disaggregation'!$O$5:$O$75,0),MATCH(C$1,'Campus Enrol Disaggregation'!$P$4:$AC$4,0))</f>
        <v>2100</v>
      </c>
      <c r="D28" s="32">
        <f>INDEX('Campus Enrol Disaggregation'!$P$5:$AC$75,MATCH(Export_ControlTot!$A28,'Campus Enrol Disaggregation'!$O$5:$O$75,0),MATCH(D$1,'Campus Enrol Disaggregation'!$P$4:$AC$4,0))</f>
        <v>20450</v>
      </c>
      <c r="E28" s="32">
        <f>INDEX('Campus Enrol Disaggregation'!$P$5:$AC$75,MATCH(Export_ControlTot!$A28,'Campus Enrol Disaggregation'!$O$5:$O$75,0),MATCH(E$1,'Campus Enrol Disaggregation'!$P$4:$AC$4,0))</f>
        <v>4000</v>
      </c>
      <c r="F28" s="32">
        <f>INDEX('Campus Enrol Disaggregation'!$P$5:$AC$75,MATCH(Export_ControlTot!$A28,'Campus Enrol Disaggregation'!$O$5:$O$75,0),MATCH(F$1,'Campus Enrol Disaggregation'!$P$4:$AC$4,0))</f>
        <v>500</v>
      </c>
      <c r="G28" s="32">
        <f>INDEX('Campus Enrol Disaggregation'!$P$5:$AC$75,MATCH(Export_ControlTot!$A28,'Campus Enrol Disaggregation'!$O$5:$O$75,0),MATCH(G$1,'Campus Enrol Disaggregation'!$P$4:$AC$4,0))</f>
        <v>3050</v>
      </c>
      <c r="H28" s="32">
        <f>INDEX('Campus Enrol Disaggregation'!$P$5:$AC$75,MATCH(Export_ControlTot!$A28,'Campus Enrol Disaggregation'!$O$5:$O$75,0),MATCH(H$1,'Campus Enrol Disaggregation'!$P$4:$AC$4,0))</f>
        <v>30850</v>
      </c>
      <c r="I28" s="32">
        <f>INDEX('Campus Enrol Disaggregation'!$P$5:$AC$75,MATCH(Export_ControlTot!$A28,'Campus Enrol Disaggregation'!$O$5:$O$75,0),MATCH(I$1,'Campus Enrol Disaggregation'!$P$4:$AC$4,0))</f>
        <v>35150</v>
      </c>
      <c r="J28" s="32">
        <f>INDEX('Campus Enrol Disaggregation'!$P$5:$AC$75,MATCH(Export_ControlTot!$A28,'Campus Enrol Disaggregation'!$O$5:$O$75,0),MATCH(J$1,'Campus Enrol Disaggregation'!$P$4:$AC$4,0))</f>
        <v>0</v>
      </c>
      <c r="K28" s="32">
        <f>INDEX('Campus Enrol Disaggregation'!$P$5:$AC$75,MATCH(Export_ControlTot!$A28,'Campus Enrol Disaggregation'!$O$5:$O$75,0),MATCH(K$1,'Campus Enrol Disaggregation'!$P$4:$AC$4,0))</f>
        <v>0</v>
      </c>
      <c r="L28" s="32">
        <f>INDEX('Campus Enrol Disaggregation'!$P$5:$AC$75,MATCH(Export_ControlTot!$A28,'Campus Enrol Disaggregation'!$O$5:$O$75,0),MATCH(L$1,'Campus Enrol Disaggregation'!$P$4:$AC$4,0))</f>
        <v>0</v>
      </c>
      <c r="M28" s="32">
        <f>INDEX('Campus Enrol Disaggregation'!$P$5:$AC$75,MATCH(Export_ControlTot!$A28,'Campus Enrol Disaggregation'!$O$5:$O$75,0),MATCH(M$1,'Campus Enrol Disaggregation'!$P$4:$AC$4,0))</f>
        <v>21750</v>
      </c>
      <c r="N28" s="32">
        <f>INDEX('Campus Enrol Disaggregation'!$P$5:$AC$75,MATCH(Export_ControlTot!$A28,'Campus Enrol Disaggregation'!$O$5:$O$75,0),MATCH(N$1,'Campus Enrol Disaggregation'!$P$4:$AC$4,0))</f>
        <v>4350</v>
      </c>
      <c r="O28" s="32">
        <f>INDEX('Campus Enrol Disaggregation'!$P$5:$AC$75,MATCH(Export_ControlTot!$A28,'Campus Enrol Disaggregation'!$O$5:$O$75,0),MATCH(O$1,'Campus Enrol Disaggregation'!$P$4:$AC$4,0))</f>
        <v>2700</v>
      </c>
    </row>
    <row r="29" spans="1:15">
      <c r="A29" s="3">
        <v>2017</v>
      </c>
      <c r="B29" s="32">
        <f>INDEX('Campus Enrol Disaggregation'!$P$5:$AC$75,MATCH(Export_ControlTot!$A29,'Campus Enrol Disaggregation'!$O$5:$O$75,0),MATCH(B$1,'Campus Enrol Disaggregation'!$P$4:$AC$4,0))</f>
        <v>34350</v>
      </c>
      <c r="C29" s="32">
        <f>INDEX('Campus Enrol Disaggregation'!$P$5:$AC$75,MATCH(Export_ControlTot!$A29,'Campus Enrol Disaggregation'!$O$5:$O$75,0),MATCH(C$1,'Campus Enrol Disaggregation'!$P$4:$AC$4,0))</f>
        <v>2050</v>
      </c>
      <c r="D29" s="32">
        <f>INDEX('Campus Enrol Disaggregation'!$P$5:$AC$75,MATCH(Export_ControlTot!$A29,'Campus Enrol Disaggregation'!$O$5:$O$75,0),MATCH(D$1,'Campus Enrol Disaggregation'!$P$4:$AC$4,0))</f>
        <v>20250</v>
      </c>
      <c r="E29" s="32">
        <f>INDEX('Campus Enrol Disaggregation'!$P$5:$AC$75,MATCH(Export_ControlTot!$A29,'Campus Enrol Disaggregation'!$O$5:$O$75,0),MATCH(E$1,'Campus Enrol Disaggregation'!$P$4:$AC$4,0))</f>
        <v>3950</v>
      </c>
      <c r="F29" s="32">
        <f>INDEX('Campus Enrol Disaggregation'!$P$5:$AC$75,MATCH(Export_ControlTot!$A29,'Campus Enrol Disaggregation'!$O$5:$O$75,0),MATCH(F$1,'Campus Enrol Disaggregation'!$P$4:$AC$4,0))</f>
        <v>500</v>
      </c>
      <c r="G29" s="32">
        <f>INDEX('Campus Enrol Disaggregation'!$P$5:$AC$75,MATCH(Export_ControlTot!$A29,'Campus Enrol Disaggregation'!$O$5:$O$75,0),MATCH(G$1,'Campus Enrol Disaggregation'!$P$4:$AC$4,0))</f>
        <v>3000</v>
      </c>
      <c r="H29" s="32">
        <f>INDEX('Campus Enrol Disaggregation'!$P$5:$AC$75,MATCH(Export_ControlTot!$A29,'Campus Enrol Disaggregation'!$O$5:$O$75,0),MATCH(H$1,'Campus Enrol Disaggregation'!$P$4:$AC$4,0))</f>
        <v>31750</v>
      </c>
      <c r="I29" s="32">
        <f>INDEX('Campus Enrol Disaggregation'!$P$5:$AC$75,MATCH(Export_ControlTot!$A29,'Campus Enrol Disaggregation'!$O$5:$O$75,0),MATCH(I$1,'Campus Enrol Disaggregation'!$P$4:$AC$4,0))</f>
        <v>37800</v>
      </c>
      <c r="J29" s="32">
        <f>INDEX('Campus Enrol Disaggregation'!$P$5:$AC$75,MATCH(Export_ControlTot!$A29,'Campus Enrol Disaggregation'!$O$5:$O$75,0),MATCH(J$1,'Campus Enrol Disaggregation'!$P$4:$AC$4,0))</f>
        <v>0</v>
      </c>
      <c r="K29" s="32">
        <f>INDEX('Campus Enrol Disaggregation'!$P$5:$AC$75,MATCH(Export_ControlTot!$A29,'Campus Enrol Disaggregation'!$O$5:$O$75,0),MATCH(K$1,'Campus Enrol Disaggregation'!$P$4:$AC$4,0))</f>
        <v>0</v>
      </c>
      <c r="L29" s="32">
        <f>INDEX('Campus Enrol Disaggregation'!$P$5:$AC$75,MATCH(Export_ControlTot!$A29,'Campus Enrol Disaggregation'!$O$5:$O$75,0),MATCH(L$1,'Campus Enrol Disaggregation'!$P$4:$AC$4,0))</f>
        <v>0</v>
      </c>
      <c r="M29" s="32">
        <f>INDEX('Campus Enrol Disaggregation'!$P$5:$AC$75,MATCH(Export_ControlTot!$A29,'Campus Enrol Disaggregation'!$O$5:$O$75,0),MATCH(M$1,'Campus Enrol Disaggregation'!$P$4:$AC$4,0))</f>
        <v>22700</v>
      </c>
      <c r="N29" s="32">
        <f>INDEX('Campus Enrol Disaggregation'!$P$5:$AC$75,MATCH(Export_ControlTot!$A29,'Campus Enrol Disaggregation'!$O$5:$O$75,0),MATCH(N$1,'Campus Enrol Disaggregation'!$P$4:$AC$4,0))</f>
        <v>4550</v>
      </c>
      <c r="O29" s="32">
        <f>INDEX('Campus Enrol Disaggregation'!$P$5:$AC$75,MATCH(Export_ControlTot!$A29,'Campus Enrol Disaggregation'!$O$5:$O$75,0),MATCH(O$1,'Campus Enrol Disaggregation'!$P$4:$AC$4,0))</f>
        <v>2550</v>
      </c>
    </row>
    <row r="30" spans="1:15">
      <c r="A30" s="3">
        <v>2018</v>
      </c>
      <c r="B30" s="32">
        <f>INDEX('Campus Enrol Disaggregation'!$P$5:$AC$75,MATCH(Export_ControlTot!$A30,'Campus Enrol Disaggregation'!$O$5:$O$75,0),MATCH(B$1,'Campus Enrol Disaggregation'!$P$4:$AC$4,0))</f>
        <v>34500</v>
      </c>
      <c r="C30" s="32">
        <f>INDEX('Campus Enrol Disaggregation'!$P$5:$AC$75,MATCH(Export_ControlTot!$A30,'Campus Enrol Disaggregation'!$O$5:$O$75,0),MATCH(C$1,'Campus Enrol Disaggregation'!$P$4:$AC$4,0))</f>
        <v>2000</v>
      </c>
      <c r="D30" s="32">
        <f>INDEX('Campus Enrol Disaggregation'!$P$5:$AC$75,MATCH(Export_ControlTot!$A30,'Campus Enrol Disaggregation'!$O$5:$O$75,0),MATCH(D$1,'Campus Enrol Disaggregation'!$P$4:$AC$4,0))</f>
        <v>19950</v>
      </c>
      <c r="E30" s="32">
        <f>INDEX('Campus Enrol Disaggregation'!$P$5:$AC$75,MATCH(Export_ControlTot!$A30,'Campus Enrol Disaggregation'!$O$5:$O$75,0),MATCH(E$1,'Campus Enrol Disaggregation'!$P$4:$AC$4,0))</f>
        <v>3900</v>
      </c>
      <c r="F30" s="32">
        <f>INDEX('Campus Enrol Disaggregation'!$P$5:$AC$75,MATCH(Export_ControlTot!$A30,'Campus Enrol Disaggregation'!$O$5:$O$75,0),MATCH(F$1,'Campus Enrol Disaggregation'!$P$4:$AC$4,0))</f>
        <v>450</v>
      </c>
      <c r="G30" s="32">
        <f>INDEX('Campus Enrol Disaggregation'!$P$5:$AC$75,MATCH(Export_ControlTot!$A30,'Campus Enrol Disaggregation'!$O$5:$O$75,0),MATCH(G$1,'Campus Enrol Disaggregation'!$P$4:$AC$4,0))</f>
        <v>2950</v>
      </c>
      <c r="H30" s="32">
        <f>INDEX('Campus Enrol Disaggregation'!$P$5:$AC$75,MATCH(Export_ControlTot!$A30,'Campus Enrol Disaggregation'!$O$5:$O$75,0),MATCH(H$1,'Campus Enrol Disaggregation'!$P$4:$AC$4,0))</f>
        <v>31950</v>
      </c>
      <c r="I30" s="32">
        <f>INDEX('Campus Enrol Disaggregation'!$P$5:$AC$75,MATCH(Export_ControlTot!$A30,'Campus Enrol Disaggregation'!$O$5:$O$75,0),MATCH(I$1,'Campus Enrol Disaggregation'!$P$4:$AC$4,0))</f>
        <v>39950</v>
      </c>
      <c r="J30" s="32">
        <f>INDEX('Campus Enrol Disaggregation'!$P$5:$AC$75,MATCH(Export_ControlTot!$A30,'Campus Enrol Disaggregation'!$O$5:$O$75,0),MATCH(J$1,'Campus Enrol Disaggregation'!$P$4:$AC$4,0))</f>
        <v>0</v>
      </c>
      <c r="K30" s="32">
        <f>INDEX('Campus Enrol Disaggregation'!$P$5:$AC$75,MATCH(Export_ControlTot!$A30,'Campus Enrol Disaggregation'!$O$5:$O$75,0),MATCH(K$1,'Campus Enrol Disaggregation'!$P$4:$AC$4,0))</f>
        <v>0</v>
      </c>
      <c r="L30" s="32">
        <f>INDEX('Campus Enrol Disaggregation'!$P$5:$AC$75,MATCH(Export_ControlTot!$A30,'Campus Enrol Disaggregation'!$O$5:$O$75,0),MATCH(L$1,'Campus Enrol Disaggregation'!$P$4:$AC$4,0))</f>
        <v>0</v>
      </c>
      <c r="M30" s="32">
        <f>INDEX('Campus Enrol Disaggregation'!$P$5:$AC$75,MATCH(Export_ControlTot!$A30,'Campus Enrol Disaggregation'!$O$5:$O$75,0),MATCH(M$1,'Campus Enrol Disaggregation'!$P$4:$AC$4,0))</f>
        <v>22900</v>
      </c>
      <c r="N30" s="32">
        <f>INDEX('Campus Enrol Disaggregation'!$P$5:$AC$75,MATCH(Export_ControlTot!$A30,'Campus Enrol Disaggregation'!$O$5:$O$75,0),MATCH(N$1,'Campus Enrol Disaggregation'!$P$4:$AC$4,0))</f>
        <v>4600</v>
      </c>
      <c r="O30" s="32">
        <f>INDEX('Campus Enrol Disaggregation'!$P$5:$AC$75,MATCH(Export_ControlTot!$A30,'Campus Enrol Disaggregation'!$O$5:$O$75,0),MATCH(O$1,'Campus Enrol Disaggregation'!$P$4:$AC$4,0))</f>
        <v>2500</v>
      </c>
    </row>
    <row r="31" spans="1:15">
      <c r="A31" s="3">
        <v>2019</v>
      </c>
      <c r="B31" s="32">
        <f>INDEX('Campus Enrol Disaggregation'!$P$5:$AC$75,MATCH(Export_ControlTot!$A31,'Campus Enrol Disaggregation'!$O$5:$O$75,0),MATCH(B$1,'Campus Enrol Disaggregation'!$P$4:$AC$4,0))</f>
        <v>34300</v>
      </c>
      <c r="C31" s="32">
        <f>INDEX('Campus Enrol Disaggregation'!$P$5:$AC$75,MATCH(Export_ControlTot!$A31,'Campus Enrol Disaggregation'!$O$5:$O$75,0),MATCH(C$1,'Campus Enrol Disaggregation'!$P$4:$AC$4,0))</f>
        <v>1950</v>
      </c>
      <c r="D31" s="32">
        <f>INDEX('Campus Enrol Disaggregation'!$P$5:$AC$75,MATCH(Export_ControlTot!$A31,'Campus Enrol Disaggregation'!$O$5:$O$75,0),MATCH(D$1,'Campus Enrol Disaggregation'!$P$4:$AC$4,0))</f>
        <v>20200</v>
      </c>
      <c r="E31" s="32">
        <f>INDEX('Campus Enrol Disaggregation'!$P$5:$AC$75,MATCH(Export_ControlTot!$A31,'Campus Enrol Disaggregation'!$O$5:$O$75,0),MATCH(E$1,'Campus Enrol Disaggregation'!$P$4:$AC$4,0))</f>
        <v>3950</v>
      </c>
      <c r="F31" s="32">
        <f>INDEX('Campus Enrol Disaggregation'!$P$5:$AC$75,MATCH(Export_ControlTot!$A31,'Campus Enrol Disaggregation'!$O$5:$O$75,0),MATCH(F$1,'Campus Enrol Disaggregation'!$P$4:$AC$4,0))</f>
        <v>500</v>
      </c>
      <c r="G31" s="32">
        <f>INDEX('Campus Enrol Disaggregation'!$P$5:$AC$75,MATCH(Export_ControlTot!$A31,'Campus Enrol Disaggregation'!$O$5:$O$75,0),MATCH(G$1,'Campus Enrol Disaggregation'!$P$4:$AC$4,0))</f>
        <v>3000</v>
      </c>
      <c r="H31" s="32">
        <f>INDEX('Campus Enrol Disaggregation'!$P$5:$AC$75,MATCH(Export_ControlTot!$A31,'Campus Enrol Disaggregation'!$O$5:$O$75,0),MATCH(H$1,'Campus Enrol Disaggregation'!$P$4:$AC$4,0))</f>
        <v>31800</v>
      </c>
      <c r="I31" s="32">
        <f>INDEX('Campus Enrol Disaggregation'!$P$5:$AC$75,MATCH(Export_ControlTot!$A31,'Campus Enrol Disaggregation'!$O$5:$O$75,0),MATCH(I$1,'Campus Enrol Disaggregation'!$P$4:$AC$4,0))</f>
        <v>40300</v>
      </c>
      <c r="J31" s="32">
        <f>INDEX('Campus Enrol Disaggregation'!$P$5:$AC$75,MATCH(Export_ControlTot!$A31,'Campus Enrol Disaggregation'!$O$5:$O$75,0),MATCH(J$1,'Campus Enrol Disaggregation'!$P$4:$AC$4,0))</f>
        <v>1300</v>
      </c>
      <c r="K31" s="32">
        <f>INDEX('Campus Enrol Disaggregation'!$P$5:$AC$75,MATCH(Export_ControlTot!$A31,'Campus Enrol Disaggregation'!$O$5:$O$75,0),MATCH(K$1,'Campus Enrol Disaggregation'!$P$4:$AC$4,0))</f>
        <v>0</v>
      </c>
      <c r="L31" s="32">
        <f>INDEX('Campus Enrol Disaggregation'!$P$5:$AC$75,MATCH(Export_ControlTot!$A31,'Campus Enrol Disaggregation'!$O$5:$O$75,0),MATCH(L$1,'Campus Enrol Disaggregation'!$P$4:$AC$4,0))</f>
        <v>0</v>
      </c>
      <c r="M31" s="32">
        <f>INDEX('Campus Enrol Disaggregation'!$P$5:$AC$75,MATCH(Export_ControlTot!$A31,'Campus Enrol Disaggregation'!$O$5:$O$75,0),MATCH(M$1,'Campus Enrol Disaggregation'!$P$4:$AC$4,0))</f>
        <v>24050</v>
      </c>
      <c r="N31" s="32">
        <f>INDEX('Campus Enrol Disaggregation'!$P$5:$AC$75,MATCH(Export_ControlTot!$A31,'Campus Enrol Disaggregation'!$O$5:$O$75,0),MATCH(N$1,'Campus Enrol Disaggregation'!$P$4:$AC$4,0))</f>
        <v>4850</v>
      </c>
      <c r="O31" s="32">
        <f>INDEX('Campus Enrol Disaggregation'!$P$5:$AC$75,MATCH(Export_ControlTot!$A31,'Campus Enrol Disaggregation'!$O$5:$O$75,0),MATCH(O$1,'Campus Enrol Disaggregation'!$P$4:$AC$4,0))</f>
        <v>2200</v>
      </c>
    </row>
    <row r="32" spans="1:15">
      <c r="A32" s="3">
        <v>2020</v>
      </c>
      <c r="B32" s="32">
        <f>INDEX('Campus Enrol Disaggregation'!$P$5:$AC$75,MATCH(Export_ControlTot!$A32,'Campus Enrol Disaggregation'!$O$5:$O$75,0),MATCH(B$1,'Campus Enrol Disaggregation'!$P$4:$AC$4,0))</f>
        <v>36450</v>
      </c>
      <c r="C32" s="32">
        <f>INDEX('Campus Enrol Disaggregation'!$P$5:$AC$75,MATCH(Export_ControlTot!$A32,'Campus Enrol Disaggregation'!$O$5:$O$75,0),MATCH(C$1,'Campus Enrol Disaggregation'!$P$4:$AC$4,0))</f>
        <v>1850</v>
      </c>
      <c r="D32" s="32">
        <f>INDEX('Campus Enrol Disaggregation'!$P$5:$AC$75,MATCH(Export_ControlTot!$A32,'Campus Enrol Disaggregation'!$O$5:$O$75,0),MATCH(D$1,'Campus Enrol Disaggregation'!$P$4:$AC$4,0))</f>
        <v>18650</v>
      </c>
      <c r="E32" s="32">
        <f>INDEX('Campus Enrol Disaggregation'!$P$5:$AC$75,MATCH(Export_ControlTot!$A32,'Campus Enrol Disaggregation'!$O$5:$O$75,0),MATCH(E$1,'Campus Enrol Disaggregation'!$P$4:$AC$4,0))</f>
        <v>3650</v>
      </c>
      <c r="F32" s="32">
        <f>INDEX('Campus Enrol Disaggregation'!$P$5:$AC$75,MATCH(Export_ControlTot!$A32,'Campus Enrol Disaggregation'!$O$5:$O$75,0),MATCH(F$1,'Campus Enrol Disaggregation'!$P$4:$AC$4,0))</f>
        <v>450</v>
      </c>
      <c r="G32" s="32">
        <f>INDEX('Campus Enrol Disaggregation'!$P$5:$AC$75,MATCH(Export_ControlTot!$A32,'Campus Enrol Disaggregation'!$O$5:$O$75,0),MATCH(G$1,'Campus Enrol Disaggregation'!$P$4:$AC$4,0))</f>
        <v>2800</v>
      </c>
      <c r="H32" s="32">
        <f>INDEX('Campus Enrol Disaggregation'!$P$5:$AC$75,MATCH(Export_ControlTot!$A32,'Campus Enrol Disaggregation'!$O$5:$O$75,0),MATCH(H$1,'Campus Enrol Disaggregation'!$P$4:$AC$4,0))</f>
        <v>32050</v>
      </c>
      <c r="I32" s="32">
        <f>INDEX('Campus Enrol Disaggregation'!$P$5:$AC$75,MATCH(Export_ControlTot!$A32,'Campus Enrol Disaggregation'!$O$5:$O$75,0),MATCH(I$1,'Campus Enrol Disaggregation'!$P$4:$AC$4,0))</f>
        <v>39450</v>
      </c>
      <c r="J32" s="32">
        <f>INDEX('Campus Enrol Disaggregation'!$P$5:$AC$75,MATCH(Export_ControlTot!$A32,'Campus Enrol Disaggregation'!$O$5:$O$75,0),MATCH(J$1,'Campus Enrol Disaggregation'!$P$4:$AC$4,0))</f>
        <v>1350</v>
      </c>
      <c r="K32" s="32">
        <f>INDEX('Campus Enrol Disaggregation'!$P$5:$AC$75,MATCH(Export_ControlTot!$A32,'Campus Enrol Disaggregation'!$O$5:$O$75,0),MATCH(K$1,'Campus Enrol Disaggregation'!$P$4:$AC$4,0))</f>
        <v>0</v>
      </c>
      <c r="L32" s="32">
        <f>INDEX('Campus Enrol Disaggregation'!$P$5:$AC$75,MATCH(Export_ControlTot!$A32,'Campus Enrol Disaggregation'!$O$5:$O$75,0),MATCH(L$1,'Campus Enrol Disaggregation'!$P$4:$AC$4,0))</f>
        <v>0</v>
      </c>
      <c r="M32" s="32">
        <f>INDEX('Campus Enrol Disaggregation'!$P$5:$AC$75,MATCH(Export_ControlTot!$A32,'Campus Enrol Disaggregation'!$O$5:$O$75,0),MATCH(M$1,'Campus Enrol Disaggregation'!$P$4:$AC$4,0))</f>
        <v>24000</v>
      </c>
      <c r="N32" s="32">
        <f>INDEX('Campus Enrol Disaggregation'!$P$5:$AC$75,MATCH(Export_ControlTot!$A32,'Campus Enrol Disaggregation'!$O$5:$O$75,0),MATCH(N$1,'Campus Enrol Disaggregation'!$P$4:$AC$4,0))</f>
        <v>4800</v>
      </c>
      <c r="O32" s="32">
        <f>INDEX('Campus Enrol Disaggregation'!$P$5:$AC$75,MATCH(Export_ControlTot!$A32,'Campus Enrol Disaggregation'!$O$5:$O$75,0),MATCH(O$1,'Campus Enrol Disaggregation'!$P$4:$AC$4,0))</f>
        <v>1850</v>
      </c>
    </row>
    <row r="33" spans="1:15">
      <c r="A33" s="3">
        <v>2021</v>
      </c>
      <c r="B33" s="32">
        <f>INDEX('Campus Enrol Disaggregation'!$P$5:$AC$75,MATCH(Export_ControlTot!$A33,'Campus Enrol Disaggregation'!$O$5:$O$75,0),MATCH(B$1,'Campus Enrol Disaggregation'!$P$4:$AC$4,0))</f>
        <v>34800</v>
      </c>
      <c r="C33" s="32">
        <f>INDEX('Campus Enrol Disaggregation'!$P$5:$AC$75,MATCH(Export_ControlTot!$A33,'Campus Enrol Disaggregation'!$O$5:$O$75,0),MATCH(C$1,'Campus Enrol Disaggregation'!$P$4:$AC$4,0))</f>
        <v>1750</v>
      </c>
      <c r="D33" s="32">
        <f>INDEX('Campus Enrol Disaggregation'!$P$5:$AC$75,MATCH(Export_ControlTot!$A33,'Campus Enrol Disaggregation'!$O$5:$O$75,0),MATCH(D$1,'Campus Enrol Disaggregation'!$P$4:$AC$4,0))</f>
        <v>18600</v>
      </c>
      <c r="E33" s="32">
        <f>INDEX('Campus Enrol Disaggregation'!$P$5:$AC$75,MATCH(Export_ControlTot!$A33,'Campus Enrol Disaggregation'!$O$5:$O$75,0),MATCH(E$1,'Campus Enrol Disaggregation'!$P$4:$AC$4,0))</f>
        <v>3650</v>
      </c>
      <c r="F33" s="32">
        <f>INDEX('Campus Enrol Disaggregation'!$P$5:$AC$75,MATCH(Export_ControlTot!$A33,'Campus Enrol Disaggregation'!$O$5:$O$75,0),MATCH(F$1,'Campus Enrol Disaggregation'!$P$4:$AC$4,0))</f>
        <v>450</v>
      </c>
      <c r="G33" s="32">
        <f>INDEX('Campus Enrol Disaggregation'!$P$5:$AC$75,MATCH(Export_ControlTot!$A33,'Campus Enrol Disaggregation'!$O$5:$O$75,0),MATCH(G$1,'Campus Enrol Disaggregation'!$P$4:$AC$4,0))</f>
        <v>2750</v>
      </c>
      <c r="H33" s="32">
        <f>INDEX('Campus Enrol Disaggregation'!$P$5:$AC$75,MATCH(Export_ControlTot!$A33,'Campus Enrol Disaggregation'!$O$5:$O$75,0),MATCH(H$1,'Campus Enrol Disaggregation'!$P$4:$AC$4,0))</f>
        <v>33350</v>
      </c>
      <c r="I33" s="32">
        <f>INDEX('Campus Enrol Disaggregation'!$P$5:$AC$75,MATCH(Export_ControlTot!$A33,'Campus Enrol Disaggregation'!$O$5:$O$75,0),MATCH(I$1,'Campus Enrol Disaggregation'!$P$4:$AC$4,0))</f>
        <v>39700</v>
      </c>
      <c r="J33" s="32">
        <f>INDEX('Campus Enrol Disaggregation'!$P$5:$AC$75,MATCH(Export_ControlTot!$A33,'Campus Enrol Disaggregation'!$O$5:$O$75,0),MATCH(J$1,'Campus Enrol Disaggregation'!$P$4:$AC$4,0))</f>
        <v>1400</v>
      </c>
      <c r="K33" s="32">
        <f>INDEX('Campus Enrol Disaggregation'!$P$5:$AC$75,MATCH(Export_ControlTot!$A33,'Campus Enrol Disaggregation'!$O$5:$O$75,0),MATCH(K$1,'Campus Enrol Disaggregation'!$P$4:$AC$4,0))</f>
        <v>0</v>
      </c>
      <c r="L33" s="32">
        <f>INDEX('Campus Enrol Disaggregation'!$P$5:$AC$75,MATCH(Export_ControlTot!$A33,'Campus Enrol Disaggregation'!$O$5:$O$75,0),MATCH(L$1,'Campus Enrol Disaggregation'!$P$4:$AC$4,0))</f>
        <v>0</v>
      </c>
      <c r="M33" s="32">
        <f>INDEX('Campus Enrol Disaggregation'!$P$5:$AC$75,MATCH(Export_ControlTot!$A33,'Campus Enrol Disaggregation'!$O$5:$O$75,0),MATCH(M$1,'Campus Enrol Disaggregation'!$P$4:$AC$4,0))</f>
        <v>24150</v>
      </c>
      <c r="N33" s="32">
        <f>INDEX('Campus Enrol Disaggregation'!$P$5:$AC$75,MATCH(Export_ControlTot!$A33,'Campus Enrol Disaggregation'!$O$5:$O$75,0),MATCH(N$1,'Campus Enrol Disaggregation'!$P$4:$AC$4,0))</f>
        <v>4850</v>
      </c>
      <c r="O33" s="32">
        <f>INDEX('Campus Enrol Disaggregation'!$P$5:$AC$75,MATCH(Export_ControlTot!$A33,'Campus Enrol Disaggregation'!$O$5:$O$75,0),MATCH(O$1,'Campus Enrol Disaggregation'!$P$4:$AC$4,0))</f>
        <v>1550</v>
      </c>
    </row>
    <row r="34" spans="1:15">
      <c r="A34" s="3">
        <v>2022</v>
      </c>
      <c r="B34" s="32">
        <f>INDEX('Campus Enrol Disaggregation'!$P$5:$AC$75,MATCH(Export_ControlTot!$A34,'Campus Enrol Disaggregation'!$O$5:$O$75,0),MATCH(B$1,'Campus Enrol Disaggregation'!$P$4:$AC$4,0))</f>
        <v>34450</v>
      </c>
      <c r="C34" s="32">
        <f>INDEX('Campus Enrol Disaggregation'!$P$5:$AC$75,MATCH(Export_ControlTot!$A34,'Campus Enrol Disaggregation'!$O$5:$O$75,0),MATCH(C$1,'Campus Enrol Disaggregation'!$P$4:$AC$4,0))</f>
        <v>1600</v>
      </c>
      <c r="D34" s="32">
        <f>INDEX('Campus Enrol Disaggregation'!$P$5:$AC$75,MATCH(Export_ControlTot!$A34,'Campus Enrol Disaggregation'!$O$5:$O$75,0),MATCH(D$1,'Campus Enrol Disaggregation'!$P$4:$AC$4,0))</f>
        <v>18000</v>
      </c>
      <c r="E34" s="32">
        <f>INDEX('Campus Enrol Disaggregation'!$P$5:$AC$75,MATCH(Export_ControlTot!$A34,'Campus Enrol Disaggregation'!$O$5:$O$75,0),MATCH(E$1,'Campus Enrol Disaggregation'!$P$4:$AC$4,0))</f>
        <v>3500</v>
      </c>
      <c r="F34" s="32">
        <f>INDEX('Campus Enrol Disaggregation'!$P$5:$AC$75,MATCH(Export_ControlTot!$A34,'Campus Enrol Disaggregation'!$O$5:$O$75,0),MATCH(F$1,'Campus Enrol Disaggregation'!$P$4:$AC$4,0))</f>
        <v>450</v>
      </c>
      <c r="G34" s="32">
        <f>INDEX('Campus Enrol Disaggregation'!$P$5:$AC$75,MATCH(Export_ControlTot!$A34,'Campus Enrol Disaggregation'!$O$5:$O$75,0),MATCH(G$1,'Campus Enrol Disaggregation'!$P$4:$AC$4,0))</f>
        <v>2700</v>
      </c>
      <c r="H34" s="32">
        <f>INDEX('Campus Enrol Disaggregation'!$P$5:$AC$75,MATCH(Export_ControlTot!$A34,'Campus Enrol Disaggregation'!$O$5:$O$75,0),MATCH(H$1,'Campus Enrol Disaggregation'!$P$4:$AC$4,0))</f>
        <v>33650</v>
      </c>
      <c r="I34" s="32">
        <f>INDEX('Campus Enrol Disaggregation'!$P$5:$AC$75,MATCH(Export_ControlTot!$A34,'Campus Enrol Disaggregation'!$O$5:$O$75,0),MATCH(I$1,'Campus Enrol Disaggregation'!$P$4:$AC$4,0))</f>
        <v>41500</v>
      </c>
      <c r="J34" s="32">
        <f>INDEX('Campus Enrol Disaggregation'!$P$5:$AC$75,MATCH(Export_ControlTot!$A34,'Campus Enrol Disaggregation'!$O$5:$O$75,0),MATCH(J$1,'Campus Enrol Disaggregation'!$P$4:$AC$4,0))</f>
        <v>1450</v>
      </c>
      <c r="K34" s="32">
        <f>INDEX('Campus Enrol Disaggregation'!$P$5:$AC$75,MATCH(Export_ControlTot!$A34,'Campus Enrol Disaggregation'!$O$5:$O$75,0),MATCH(K$1,'Campus Enrol Disaggregation'!$P$4:$AC$4,0))</f>
        <v>0</v>
      </c>
      <c r="L34" s="32">
        <f>INDEX('Campus Enrol Disaggregation'!$P$5:$AC$75,MATCH(Export_ControlTot!$A34,'Campus Enrol Disaggregation'!$O$5:$O$75,0),MATCH(L$1,'Campus Enrol Disaggregation'!$P$4:$AC$4,0))</f>
        <v>0</v>
      </c>
      <c r="M34" s="32">
        <f>INDEX('Campus Enrol Disaggregation'!$P$5:$AC$75,MATCH(Export_ControlTot!$A34,'Campus Enrol Disaggregation'!$O$5:$O$75,0),MATCH(M$1,'Campus Enrol Disaggregation'!$P$4:$AC$4,0))</f>
        <v>24250</v>
      </c>
      <c r="N34" s="32">
        <f>INDEX('Campus Enrol Disaggregation'!$P$5:$AC$75,MATCH(Export_ControlTot!$A34,'Campus Enrol Disaggregation'!$O$5:$O$75,0),MATCH(N$1,'Campus Enrol Disaggregation'!$P$4:$AC$4,0))</f>
        <v>4850</v>
      </c>
      <c r="O34" s="32">
        <f>INDEX('Campus Enrol Disaggregation'!$P$5:$AC$75,MATCH(Export_ControlTot!$A34,'Campus Enrol Disaggregation'!$O$5:$O$75,0),MATCH(O$1,'Campus Enrol Disaggregation'!$P$4:$AC$4,0))</f>
        <v>1300</v>
      </c>
    </row>
    <row r="35" spans="1:15">
      <c r="A35" s="3">
        <v>2023</v>
      </c>
      <c r="B35" s="32">
        <f>INDEX('Campus Enrol Disaggregation'!$P$5:$AC$75,MATCH(Export_ControlTot!$A35,'Campus Enrol Disaggregation'!$O$5:$O$75,0),MATCH(B$1,'Campus Enrol Disaggregation'!$P$4:$AC$4,0))</f>
        <v>35050</v>
      </c>
      <c r="C35" s="32">
        <f>INDEX('Campus Enrol Disaggregation'!$P$5:$AC$75,MATCH(Export_ControlTot!$A35,'Campus Enrol Disaggregation'!$O$5:$O$75,0),MATCH(C$1,'Campus Enrol Disaggregation'!$P$4:$AC$4,0))</f>
        <v>1850</v>
      </c>
      <c r="D35" s="32">
        <f>INDEX('Campus Enrol Disaggregation'!$P$5:$AC$75,MATCH(Export_ControlTot!$A35,'Campus Enrol Disaggregation'!$O$5:$O$75,0),MATCH(D$1,'Campus Enrol Disaggregation'!$P$4:$AC$4,0))</f>
        <v>18300</v>
      </c>
      <c r="E35" s="32">
        <f>INDEX('Campus Enrol Disaggregation'!$P$5:$AC$75,MATCH(Export_ControlTot!$A35,'Campus Enrol Disaggregation'!$O$5:$O$75,0),MATCH(E$1,'Campus Enrol Disaggregation'!$P$4:$AC$4,0))</f>
        <v>3550</v>
      </c>
      <c r="F35" s="32">
        <f>INDEX('Campus Enrol Disaggregation'!$P$5:$AC$75,MATCH(Export_ControlTot!$A35,'Campus Enrol Disaggregation'!$O$5:$O$75,0),MATCH(F$1,'Campus Enrol Disaggregation'!$P$4:$AC$4,0))</f>
        <v>450</v>
      </c>
      <c r="G35" s="32">
        <f>INDEX('Campus Enrol Disaggregation'!$P$5:$AC$75,MATCH(Export_ControlTot!$A35,'Campus Enrol Disaggregation'!$O$5:$O$75,0),MATCH(G$1,'Campus Enrol Disaggregation'!$P$4:$AC$4,0))</f>
        <v>2700</v>
      </c>
      <c r="H35" s="32">
        <f>INDEX('Campus Enrol Disaggregation'!$P$5:$AC$75,MATCH(Export_ControlTot!$A35,'Campus Enrol Disaggregation'!$O$5:$O$75,0),MATCH(H$1,'Campus Enrol Disaggregation'!$P$4:$AC$4,0))</f>
        <v>34150</v>
      </c>
      <c r="I35" s="32">
        <f>INDEX('Campus Enrol Disaggregation'!$P$5:$AC$75,MATCH(Export_ControlTot!$A35,'Campus Enrol Disaggregation'!$O$5:$O$75,0),MATCH(I$1,'Campus Enrol Disaggregation'!$P$4:$AC$4,0))</f>
        <v>43100</v>
      </c>
      <c r="J35" s="32">
        <f>INDEX('Campus Enrol Disaggregation'!$P$5:$AC$75,MATCH(Export_ControlTot!$A35,'Campus Enrol Disaggregation'!$O$5:$O$75,0),MATCH(J$1,'Campus Enrol Disaggregation'!$P$4:$AC$4,0))</f>
        <v>1450</v>
      </c>
      <c r="K35" s="32">
        <f>INDEX('Campus Enrol Disaggregation'!$P$5:$AC$75,MATCH(Export_ControlTot!$A35,'Campus Enrol Disaggregation'!$O$5:$O$75,0),MATCH(K$1,'Campus Enrol Disaggregation'!$P$4:$AC$4,0))</f>
        <v>0</v>
      </c>
      <c r="L35" s="32">
        <f>INDEX('Campus Enrol Disaggregation'!$P$5:$AC$75,MATCH(Export_ControlTot!$A35,'Campus Enrol Disaggregation'!$O$5:$O$75,0),MATCH(L$1,'Campus Enrol Disaggregation'!$P$4:$AC$4,0))</f>
        <v>0</v>
      </c>
      <c r="M35" s="32">
        <f>INDEX('Campus Enrol Disaggregation'!$P$5:$AC$75,MATCH(Export_ControlTot!$A35,'Campus Enrol Disaggregation'!$O$5:$O$75,0),MATCH(M$1,'Campus Enrol Disaggregation'!$P$4:$AC$4,0))</f>
        <v>24800</v>
      </c>
      <c r="N35" s="32">
        <f>INDEX('Campus Enrol Disaggregation'!$P$5:$AC$75,MATCH(Export_ControlTot!$A35,'Campus Enrol Disaggregation'!$O$5:$O$75,0),MATCH(N$1,'Campus Enrol Disaggregation'!$P$4:$AC$4,0))</f>
        <v>4950</v>
      </c>
      <c r="O35" s="32">
        <f>INDEX('Campus Enrol Disaggregation'!$P$5:$AC$75,MATCH(Export_ControlTot!$A35,'Campus Enrol Disaggregation'!$O$5:$O$75,0),MATCH(O$1,'Campus Enrol Disaggregation'!$P$4:$AC$4,0))</f>
        <v>1200</v>
      </c>
    </row>
    <row r="36" spans="1:15">
      <c r="A36" s="3">
        <v>2024</v>
      </c>
      <c r="B36" s="32">
        <f>INDEX('Campus Enrol Disaggregation'!$P$5:$AC$75,MATCH(Export_ControlTot!$A36,'Campus Enrol Disaggregation'!$O$5:$O$75,0),MATCH(B$1,'Campus Enrol Disaggregation'!$P$4:$AC$4,0))</f>
        <v>36900</v>
      </c>
      <c r="C36" s="32">
        <f>INDEX('Campus Enrol Disaggregation'!$P$5:$AC$75,MATCH(Export_ControlTot!$A36,'Campus Enrol Disaggregation'!$O$5:$O$75,0),MATCH(C$1,'Campus Enrol Disaggregation'!$P$4:$AC$4,0))</f>
        <v>1950</v>
      </c>
      <c r="D36" s="32">
        <f>INDEX('Campus Enrol Disaggregation'!$P$5:$AC$75,MATCH(Export_ControlTot!$A36,'Campus Enrol Disaggregation'!$O$5:$O$75,0),MATCH(D$1,'Campus Enrol Disaggregation'!$P$4:$AC$4,0))</f>
        <v>22250</v>
      </c>
      <c r="E36" s="32">
        <f>INDEX('Campus Enrol Disaggregation'!$P$5:$AC$75,MATCH(Export_ControlTot!$A36,'Campus Enrol Disaggregation'!$O$5:$O$75,0),MATCH(E$1,'Campus Enrol Disaggregation'!$P$4:$AC$4,0))</f>
        <v>4350</v>
      </c>
      <c r="F36" s="32">
        <f>INDEX('Campus Enrol Disaggregation'!$P$5:$AC$75,MATCH(Export_ControlTot!$A36,'Campus Enrol Disaggregation'!$O$5:$O$75,0),MATCH(F$1,'Campus Enrol Disaggregation'!$P$4:$AC$4,0))</f>
        <v>550</v>
      </c>
      <c r="G36" s="32">
        <f>INDEX('Campus Enrol Disaggregation'!$P$5:$AC$75,MATCH(Export_ControlTot!$A36,'Campus Enrol Disaggregation'!$O$5:$O$75,0),MATCH(G$1,'Campus Enrol Disaggregation'!$P$4:$AC$4,0))</f>
        <v>3300</v>
      </c>
      <c r="H36" s="32">
        <f>INDEX('Campus Enrol Disaggregation'!$P$5:$AC$75,MATCH(Export_ControlTot!$A36,'Campus Enrol Disaggregation'!$O$5:$O$75,0),MATCH(H$1,'Campus Enrol Disaggregation'!$P$4:$AC$4,0))</f>
        <v>35400</v>
      </c>
      <c r="I36" s="32">
        <f>INDEX('Campus Enrol Disaggregation'!$P$5:$AC$75,MATCH(Export_ControlTot!$A36,'Campus Enrol Disaggregation'!$O$5:$O$75,0),MATCH(I$1,'Campus Enrol Disaggregation'!$P$4:$AC$4,0))</f>
        <v>44700</v>
      </c>
      <c r="J36" s="32">
        <f>INDEX('Campus Enrol Disaggregation'!$P$5:$AC$75,MATCH(Export_ControlTot!$A36,'Campus Enrol Disaggregation'!$O$5:$O$75,0),MATCH(J$1,'Campus Enrol Disaggregation'!$P$4:$AC$4,0))</f>
        <v>1500</v>
      </c>
      <c r="K36" s="32">
        <f>INDEX('Campus Enrol Disaggregation'!$P$5:$AC$75,MATCH(Export_ControlTot!$A36,'Campus Enrol Disaggregation'!$O$5:$O$75,0),MATCH(K$1,'Campus Enrol Disaggregation'!$P$4:$AC$4,0))</f>
        <v>0</v>
      </c>
      <c r="L36" s="32">
        <f>INDEX('Campus Enrol Disaggregation'!$P$5:$AC$75,MATCH(Export_ControlTot!$A36,'Campus Enrol Disaggregation'!$O$5:$O$75,0),MATCH(L$1,'Campus Enrol Disaggregation'!$P$4:$AC$4,0))</f>
        <v>0</v>
      </c>
      <c r="M36" s="32">
        <f>INDEX('Campus Enrol Disaggregation'!$P$5:$AC$75,MATCH(Export_ControlTot!$A36,'Campus Enrol Disaggregation'!$O$5:$O$75,0),MATCH(M$1,'Campus Enrol Disaggregation'!$P$4:$AC$4,0))</f>
        <v>25800</v>
      </c>
      <c r="N36" s="32">
        <f>INDEX('Campus Enrol Disaggregation'!$P$5:$AC$75,MATCH(Export_ControlTot!$A36,'Campus Enrol Disaggregation'!$O$5:$O$75,0),MATCH(N$1,'Campus Enrol Disaggregation'!$P$4:$AC$4,0))</f>
        <v>5200</v>
      </c>
      <c r="O36" s="32">
        <f>INDEX('Campus Enrol Disaggregation'!$P$5:$AC$75,MATCH(Export_ControlTot!$A36,'Campus Enrol Disaggregation'!$O$5:$O$75,0),MATCH(O$1,'Campus Enrol Disaggregation'!$P$4:$AC$4,0))</f>
        <v>1300</v>
      </c>
    </row>
    <row r="37" spans="1:15">
      <c r="A37" s="3">
        <v>2025</v>
      </c>
      <c r="B37" s="32">
        <f>INDEX('Campus Enrol Disaggregation'!$P$5:$AC$75,MATCH(Export_ControlTot!$A37,'Campus Enrol Disaggregation'!$O$5:$O$75,0),MATCH(B$1,'Campus Enrol Disaggregation'!$P$4:$AC$4,0))</f>
        <v>37500</v>
      </c>
      <c r="C37" s="32">
        <f>INDEX('Campus Enrol Disaggregation'!$P$5:$AC$75,MATCH(Export_ControlTot!$A37,'Campus Enrol Disaggregation'!$O$5:$O$75,0),MATCH(C$1,'Campus Enrol Disaggregation'!$P$4:$AC$4,0))</f>
        <v>1950</v>
      </c>
      <c r="D37" s="32">
        <f>INDEX('Campus Enrol Disaggregation'!$P$5:$AC$75,MATCH(Export_ControlTot!$A37,'Campus Enrol Disaggregation'!$O$5:$O$75,0),MATCH(D$1,'Campus Enrol Disaggregation'!$P$4:$AC$4,0))</f>
        <v>22250</v>
      </c>
      <c r="E37" s="32">
        <f>INDEX('Campus Enrol Disaggregation'!$P$5:$AC$75,MATCH(Export_ControlTot!$A37,'Campus Enrol Disaggregation'!$O$5:$O$75,0),MATCH(E$1,'Campus Enrol Disaggregation'!$P$4:$AC$4,0))</f>
        <v>4350</v>
      </c>
      <c r="F37" s="32">
        <f>INDEX('Campus Enrol Disaggregation'!$P$5:$AC$75,MATCH(Export_ControlTot!$A37,'Campus Enrol Disaggregation'!$O$5:$O$75,0),MATCH(F$1,'Campus Enrol Disaggregation'!$P$4:$AC$4,0))</f>
        <v>550</v>
      </c>
      <c r="G37" s="32">
        <f>INDEX('Campus Enrol Disaggregation'!$P$5:$AC$75,MATCH(Export_ControlTot!$A37,'Campus Enrol Disaggregation'!$O$5:$O$75,0),MATCH(G$1,'Campus Enrol Disaggregation'!$P$4:$AC$4,0))</f>
        <v>3300</v>
      </c>
      <c r="H37" s="32">
        <f>INDEX('Campus Enrol Disaggregation'!$P$5:$AC$75,MATCH(Export_ControlTot!$A37,'Campus Enrol Disaggregation'!$O$5:$O$75,0),MATCH(H$1,'Campus Enrol Disaggregation'!$P$4:$AC$4,0))</f>
        <v>35700</v>
      </c>
      <c r="I37" s="32">
        <f>INDEX('Campus Enrol Disaggregation'!$P$5:$AC$75,MATCH(Export_ControlTot!$A37,'Campus Enrol Disaggregation'!$O$5:$O$75,0),MATCH(I$1,'Campus Enrol Disaggregation'!$P$4:$AC$4,0))</f>
        <v>46400</v>
      </c>
      <c r="J37" s="32">
        <f>INDEX('Campus Enrol Disaggregation'!$P$5:$AC$75,MATCH(Export_ControlTot!$A37,'Campus Enrol Disaggregation'!$O$5:$O$75,0),MATCH(J$1,'Campus Enrol Disaggregation'!$P$4:$AC$4,0))</f>
        <v>1550</v>
      </c>
      <c r="K37" s="32">
        <f>INDEX('Campus Enrol Disaggregation'!$P$5:$AC$75,MATCH(Export_ControlTot!$A37,'Campus Enrol Disaggregation'!$O$5:$O$75,0),MATCH(K$1,'Campus Enrol Disaggregation'!$P$4:$AC$4,0))</f>
        <v>0</v>
      </c>
      <c r="L37" s="32">
        <f>INDEX('Campus Enrol Disaggregation'!$P$5:$AC$75,MATCH(Export_ControlTot!$A37,'Campus Enrol Disaggregation'!$O$5:$O$75,0),MATCH(L$1,'Campus Enrol Disaggregation'!$P$4:$AC$4,0))</f>
        <v>0</v>
      </c>
      <c r="M37" s="32">
        <f>INDEX('Campus Enrol Disaggregation'!$P$5:$AC$75,MATCH(Export_ControlTot!$A37,'Campus Enrol Disaggregation'!$O$5:$O$75,0),MATCH(M$1,'Campus Enrol Disaggregation'!$P$4:$AC$4,0))</f>
        <v>26000</v>
      </c>
      <c r="N37" s="32">
        <f>INDEX('Campus Enrol Disaggregation'!$P$5:$AC$75,MATCH(Export_ControlTot!$A37,'Campus Enrol Disaggregation'!$O$5:$O$75,0),MATCH(N$1,'Campus Enrol Disaggregation'!$P$4:$AC$4,0))</f>
        <v>5200</v>
      </c>
      <c r="O37" s="32">
        <f>INDEX('Campus Enrol Disaggregation'!$P$5:$AC$75,MATCH(Export_ControlTot!$A37,'Campus Enrol Disaggregation'!$O$5:$O$75,0),MATCH(O$1,'Campus Enrol Disaggregation'!$P$4:$AC$4,0))</f>
        <v>1350</v>
      </c>
    </row>
    <row r="38" spans="1:15">
      <c r="A38" s="3">
        <v>2026</v>
      </c>
      <c r="B38" s="32">
        <f>INDEX('Campus Enrol Disaggregation'!$P$5:$AC$75,MATCH(Export_ControlTot!$A38,'Campus Enrol Disaggregation'!$O$5:$O$75,0),MATCH(B$1,'Campus Enrol Disaggregation'!$P$4:$AC$4,0))</f>
        <v>37500</v>
      </c>
      <c r="C38" s="32">
        <f>INDEX('Campus Enrol Disaggregation'!$P$5:$AC$75,MATCH(Export_ControlTot!$A38,'Campus Enrol Disaggregation'!$O$5:$O$75,0),MATCH(C$1,'Campus Enrol Disaggregation'!$P$4:$AC$4,0))</f>
        <v>2000</v>
      </c>
      <c r="D38" s="32">
        <f>INDEX('Campus Enrol Disaggregation'!$P$5:$AC$75,MATCH(Export_ControlTot!$A38,'Campus Enrol Disaggregation'!$O$5:$O$75,0),MATCH(D$1,'Campus Enrol Disaggregation'!$P$4:$AC$4,0))</f>
        <v>22250</v>
      </c>
      <c r="E38" s="32">
        <f>INDEX('Campus Enrol Disaggregation'!$P$5:$AC$75,MATCH(Export_ControlTot!$A38,'Campus Enrol Disaggregation'!$O$5:$O$75,0),MATCH(E$1,'Campus Enrol Disaggregation'!$P$4:$AC$4,0))</f>
        <v>4350</v>
      </c>
      <c r="F38" s="32">
        <f>INDEX('Campus Enrol Disaggregation'!$P$5:$AC$75,MATCH(Export_ControlTot!$A38,'Campus Enrol Disaggregation'!$O$5:$O$75,0),MATCH(F$1,'Campus Enrol Disaggregation'!$P$4:$AC$4,0))</f>
        <v>550</v>
      </c>
      <c r="G38" s="32">
        <f>INDEX('Campus Enrol Disaggregation'!$P$5:$AC$75,MATCH(Export_ControlTot!$A38,'Campus Enrol Disaggregation'!$O$5:$O$75,0),MATCH(G$1,'Campus Enrol Disaggregation'!$P$4:$AC$4,0))</f>
        <v>3300</v>
      </c>
      <c r="H38" s="32">
        <f>INDEX('Campus Enrol Disaggregation'!$P$5:$AC$75,MATCH(Export_ControlTot!$A38,'Campus Enrol Disaggregation'!$O$5:$O$75,0),MATCH(H$1,'Campus Enrol Disaggregation'!$P$4:$AC$4,0))</f>
        <v>35900</v>
      </c>
      <c r="I38" s="32">
        <f>INDEX('Campus Enrol Disaggregation'!$P$5:$AC$75,MATCH(Export_ControlTot!$A38,'Campus Enrol Disaggregation'!$O$5:$O$75,0),MATCH(I$1,'Campus Enrol Disaggregation'!$P$4:$AC$4,0))</f>
        <v>47150</v>
      </c>
      <c r="J38" s="32">
        <f>INDEX('Campus Enrol Disaggregation'!$P$5:$AC$75,MATCH(Export_ControlTot!$A38,'Campus Enrol Disaggregation'!$O$5:$O$75,0),MATCH(J$1,'Campus Enrol Disaggregation'!$P$4:$AC$4,0))</f>
        <v>1600</v>
      </c>
      <c r="K38" s="32">
        <f>INDEX('Campus Enrol Disaggregation'!$P$5:$AC$75,MATCH(Export_ControlTot!$A38,'Campus Enrol Disaggregation'!$O$5:$O$75,0),MATCH(K$1,'Campus Enrol Disaggregation'!$P$4:$AC$4,0))</f>
        <v>0</v>
      </c>
      <c r="L38" s="32">
        <f>INDEX('Campus Enrol Disaggregation'!$P$5:$AC$75,MATCH(Export_ControlTot!$A38,'Campus Enrol Disaggregation'!$O$5:$O$75,0),MATCH(L$1,'Campus Enrol Disaggregation'!$P$4:$AC$4,0))</f>
        <v>550</v>
      </c>
      <c r="M38" s="32">
        <f>INDEX('Campus Enrol Disaggregation'!$P$5:$AC$75,MATCH(Export_ControlTot!$A38,'Campus Enrol Disaggregation'!$O$5:$O$75,0),MATCH(M$1,'Campus Enrol Disaggregation'!$P$4:$AC$4,0))</f>
        <v>26250</v>
      </c>
      <c r="N38" s="32">
        <f>INDEX('Campus Enrol Disaggregation'!$P$5:$AC$75,MATCH(Export_ControlTot!$A38,'Campus Enrol Disaggregation'!$O$5:$O$75,0),MATCH(N$1,'Campus Enrol Disaggregation'!$P$4:$AC$4,0))</f>
        <v>5250</v>
      </c>
      <c r="O38" s="32">
        <f>INDEX('Campus Enrol Disaggregation'!$P$5:$AC$75,MATCH(Export_ControlTot!$A38,'Campus Enrol Disaggregation'!$O$5:$O$75,0),MATCH(O$1,'Campus Enrol Disaggregation'!$P$4:$AC$4,0))</f>
        <v>1400</v>
      </c>
    </row>
    <row r="39" spans="1:15">
      <c r="A39" s="3">
        <v>2027</v>
      </c>
      <c r="B39" s="32">
        <f>INDEX('Campus Enrol Disaggregation'!$P$5:$AC$75,MATCH(Export_ControlTot!$A39,'Campus Enrol Disaggregation'!$O$5:$O$75,0),MATCH(B$1,'Campus Enrol Disaggregation'!$P$4:$AC$4,0))</f>
        <v>37550</v>
      </c>
      <c r="C39" s="32">
        <f>INDEX('Campus Enrol Disaggregation'!$P$5:$AC$75,MATCH(Export_ControlTot!$A39,'Campus Enrol Disaggregation'!$O$5:$O$75,0),MATCH(C$1,'Campus Enrol Disaggregation'!$P$4:$AC$4,0))</f>
        <v>2050</v>
      </c>
      <c r="D39" s="32">
        <f>INDEX('Campus Enrol Disaggregation'!$P$5:$AC$75,MATCH(Export_ControlTot!$A39,'Campus Enrol Disaggregation'!$O$5:$O$75,0),MATCH(D$1,'Campus Enrol Disaggregation'!$P$4:$AC$4,0))</f>
        <v>22150</v>
      </c>
      <c r="E39" s="32">
        <f>INDEX('Campus Enrol Disaggregation'!$P$5:$AC$75,MATCH(Export_ControlTot!$A39,'Campus Enrol Disaggregation'!$O$5:$O$75,0),MATCH(E$1,'Campus Enrol Disaggregation'!$P$4:$AC$4,0))</f>
        <v>4300</v>
      </c>
      <c r="F39" s="32">
        <f>INDEX('Campus Enrol Disaggregation'!$P$5:$AC$75,MATCH(Export_ControlTot!$A39,'Campus Enrol Disaggregation'!$O$5:$O$75,0),MATCH(F$1,'Campus Enrol Disaggregation'!$P$4:$AC$4,0))</f>
        <v>500</v>
      </c>
      <c r="G39" s="32">
        <f>INDEX('Campus Enrol Disaggregation'!$P$5:$AC$75,MATCH(Export_ControlTot!$A39,'Campus Enrol Disaggregation'!$O$5:$O$75,0),MATCH(G$1,'Campus Enrol Disaggregation'!$P$4:$AC$4,0))</f>
        <v>3300</v>
      </c>
      <c r="H39" s="32">
        <f>INDEX('Campus Enrol Disaggregation'!$P$5:$AC$75,MATCH(Export_ControlTot!$A39,'Campus Enrol Disaggregation'!$O$5:$O$75,0),MATCH(H$1,'Campus Enrol Disaggregation'!$P$4:$AC$4,0))</f>
        <v>36100</v>
      </c>
      <c r="I39" s="32">
        <f>INDEX('Campus Enrol Disaggregation'!$P$5:$AC$75,MATCH(Export_ControlTot!$A39,'Campus Enrol Disaggregation'!$O$5:$O$75,0),MATCH(I$1,'Campus Enrol Disaggregation'!$P$4:$AC$4,0))</f>
        <v>48100</v>
      </c>
      <c r="J39" s="32">
        <f>INDEX('Campus Enrol Disaggregation'!$P$5:$AC$75,MATCH(Export_ControlTot!$A39,'Campus Enrol Disaggregation'!$O$5:$O$75,0),MATCH(J$1,'Campus Enrol Disaggregation'!$P$4:$AC$4,0))</f>
        <v>1650</v>
      </c>
      <c r="K39" s="32">
        <f>INDEX('Campus Enrol Disaggregation'!$P$5:$AC$75,MATCH(Export_ControlTot!$A39,'Campus Enrol Disaggregation'!$O$5:$O$75,0),MATCH(K$1,'Campus Enrol Disaggregation'!$P$4:$AC$4,0))</f>
        <v>0</v>
      </c>
      <c r="L39" s="32">
        <f>INDEX('Campus Enrol Disaggregation'!$P$5:$AC$75,MATCH(Export_ControlTot!$A39,'Campus Enrol Disaggregation'!$O$5:$O$75,0),MATCH(L$1,'Campus Enrol Disaggregation'!$P$4:$AC$4,0))</f>
        <v>750</v>
      </c>
      <c r="M39" s="32">
        <f>INDEX('Campus Enrol Disaggregation'!$P$5:$AC$75,MATCH(Export_ControlTot!$A39,'Campus Enrol Disaggregation'!$O$5:$O$75,0),MATCH(M$1,'Campus Enrol Disaggregation'!$P$4:$AC$4,0))</f>
        <v>26550</v>
      </c>
      <c r="N39" s="32">
        <f>INDEX('Campus Enrol Disaggregation'!$P$5:$AC$75,MATCH(Export_ControlTot!$A39,'Campus Enrol Disaggregation'!$O$5:$O$75,0),MATCH(N$1,'Campus Enrol Disaggregation'!$P$4:$AC$4,0))</f>
        <v>5350</v>
      </c>
      <c r="O39" s="32">
        <f>INDEX('Campus Enrol Disaggregation'!$P$5:$AC$75,MATCH(Export_ControlTot!$A39,'Campus Enrol Disaggregation'!$O$5:$O$75,0),MATCH(O$1,'Campus Enrol Disaggregation'!$P$4:$AC$4,0))</f>
        <v>1450</v>
      </c>
    </row>
    <row r="40" spans="1:15">
      <c r="A40" s="3">
        <v>2028</v>
      </c>
      <c r="B40" s="32">
        <f>INDEX('Campus Enrol Disaggregation'!$P$5:$AC$75,MATCH(Export_ControlTot!$A40,'Campus Enrol Disaggregation'!$O$5:$O$75,0),MATCH(B$1,'Campus Enrol Disaggregation'!$P$4:$AC$4,0))</f>
        <v>37600</v>
      </c>
      <c r="C40" s="32">
        <f>INDEX('Campus Enrol Disaggregation'!$P$5:$AC$75,MATCH(Export_ControlTot!$A40,'Campus Enrol Disaggregation'!$O$5:$O$75,0),MATCH(C$1,'Campus Enrol Disaggregation'!$P$4:$AC$4,0))</f>
        <v>2100</v>
      </c>
      <c r="D40" s="32">
        <f>INDEX('Campus Enrol Disaggregation'!$P$5:$AC$75,MATCH(Export_ControlTot!$A40,'Campus Enrol Disaggregation'!$O$5:$O$75,0),MATCH(D$1,'Campus Enrol Disaggregation'!$P$4:$AC$4,0))</f>
        <v>22050</v>
      </c>
      <c r="E40" s="32">
        <f>INDEX('Campus Enrol Disaggregation'!$P$5:$AC$75,MATCH(Export_ControlTot!$A40,'Campus Enrol Disaggregation'!$O$5:$O$75,0),MATCH(E$1,'Campus Enrol Disaggregation'!$P$4:$AC$4,0))</f>
        <v>4300</v>
      </c>
      <c r="F40" s="32">
        <f>INDEX('Campus Enrol Disaggregation'!$P$5:$AC$75,MATCH(Export_ControlTot!$A40,'Campus Enrol Disaggregation'!$O$5:$O$75,0),MATCH(F$1,'Campus Enrol Disaggregation'!$P$4:$AC$4,0))</f>
        <v>500</v>
      </c>
      <c r="G40" s="32">
        <f>INDEX('Campus Enrol Disaggregation'!$P$5:$AC$75,MATCH(Export_ControlTot!$A40,'Campus Enrol Disaggregation'!$O$5:$O$75,0),MATCH(G$1,'Campus Enrol Disaggregation'!$P$4:$AC$4,0))</f>
        <v>3300</v>
      </c>
      <c r="H40" s="32">
        <f>INDEX('Campus Enrol Disaggregation'!$P$5:$AC$75,MATCH(Export_ControlTot!$A40,'Campus Enrol Disaggregation'!$O$5:$O$75,0),MATCH(H$1,'Campus Enrol Disaggregation'!$P$4:$AC$4,0))</f>
        <v>36150</v>
      </c>
      <c r="I40" s="32">
        <f>INDEX('Campus Enrol Disaggregation'!$P$5:$AC$75,MATCH(Export_ControlTot!$A40,'Campus Enrol Disaggregation'!$O$5:$O$75,0),MATCH(I$1,'Campus Enrol Disaggregation'!$P$4:$AC$4,0))</f>
        <v>48850</v>
      </c>
      <c r="J40" s="32">
        <f>INDEX('Campus Enrol Disaggregation'!$P$5:$AC$75,MATCH(Export_ControlTot!$A40,'Campus Enrol Disaggregation'!$O$5:$O$75,0),MATCH(J$1,'Campus Enrol Disaggregation'!$P$4:$AC$4,0))</f>
        <v>1700</v>
      </c>
      <c r="K40" s="32">
        <f>INDEX('Campus Enrol Disaggregation'!$P$5:$AC$75,MATCH(Export_ControlTot!$A40,'Campus Enrol Disaggregation'!$O$5:$O$75,0),MATCH(K$1,'Campus Enrol Disaggregation'!$P$4:$AC$4,0))</f>
        <v>0</v>
      </c>
      <c r="L40" s="32">
        <f>INDEX('Campus Enrol Disaggregation'!$P$5:$AC$75,MATCH(Export_ControlTot!$A40,'Campus Enrol Disaggregation'!$O$5:$O$75,0),MATCH(L$1,'Campus Enrol Disaggregation'!$P$4:$AC$4,0))</f>
        <v>900</v>
      </c>
      <c r="M40" s="32">
        <f>INDEX('Campus Enrol Disaggregation'!$P$5:$AC$75,MATCH(Export_ControlTot!$A40,'Campus Enrol Disaggregation'!$O$5:$O$75,0),MATCH(M$1,'Campus Enrol Disaggregation'!$P$4:$AC$4,0))</f>
        <v>26850</v>
      </c>
      <c r="N40" s="32">
        <f>INDEX('Campus Enrol Disaggregation'!$P$5:$AC$75,MATCH(Export_ControlTot!$A40,'Campus Enrol Disaggregation'!$O$5:$O$75,0),MATCH(N$1,'Campus Enrol Disaggregation'!$P$4:$AC$4,0))</f>
        <v>5400</v>
      </c>
      <c r="O40" s="32">
        <f>INDEX('Campus Enrol Disaggregation'!$P$5:$AC$75,MATCH(Export_ControlTot!$A40,'Campus Enrol Disaggregation'!$O$5:$O$75,0),MATCH(O$1,'Campus Enrol Disaggregation'!$P$4:$AC$4,0))</f>
        <v>1500</v>
      </c>
    </row>
    <row r="41" spans="1:15">
      <c r="A41" s="3">
        <v>2029</v>
      </c>
      <c r="B41" s="32">
        <f>INDEX('Campus Enrol Disaggregation'!$P$5:$AC$75,MATCH(Export_ControlTot!$A41,'Campus Enrol Disaggregation'!$O$5:$O$75,0),MATCH(B$1,'Campus Enrol Disaggregation'!$P$4:$AC$4,0))</f>
        <v>37650</v>
      </c>
      <c r="C41" s="32">
        <f>INDEX('Campus Enrol Disaggregation'!$P$5:$AC$75,MATCH(Export_ControlTot!$A41,'Campus Enrol Disaggregation'!$O$5:$O$75,0),MATCH(C$1,'Campus Enrol Disaggregation'!$P$4:$AC$4,0))</f>
        <v>2100</v>
      </c>
      <c r="D41" s="32">
        <f>INDEX('Campus Enrol Disaggregation'!$P$5:$AC$75,MATCH(Export_ControlTot!$A41,'Campus Enrol Disaggregation'!$O$5:$O$75,0),MATCH(D$1,'Campus Enrol Disaggregation'!$P$4:$AC$4,0))</f>
        <v>22250</v>
      </c>
      <c r="E41" s="32">
        <f>INDEX('Campus Enrol Disaggregation'!$P$5:$AC$75,MATCH(Export_ControlTot!$A41,'Campus Enrol Disaggregation'!$O$5:$O$75,0),MATCH(E$1,'Campus Enrol Disaggregation'!$P$4:$AC$4,0))</f>
        <v>4350</v>
      </c>
      <c r="F41" s="32">
        <f>INDEX('Campus Enrol Disaggregation'!$P$5:$AC$75,MATCH(Export_ControlTot!$A41,'Campus Enrol Disaggregation'!$O$5:$O$75,0),MATCH(F$1,'Campus Enrol Disaggregation'!$P$4:$AC$4,0))</f>
        <v>550</v>
      </c>
      <c r="G41" s="32">
        <f>INDEX('Campus Enrol Disaggregation'!$P$5:$AC$75,MATCH(Export_ControlTot!$A41,'Campus Enrol Disaggregation'!$O$5:$O$75,0),MATCH(G$1,'Campus Enrol Disaggregation'!$P$4:$AC$4,0))</f>
        <v>3300</v>
      </c>
      <c r="H41" s="32">
        <f>INDEX('Campus Enrol Disaggregation'!$P$5:$AC$75,MATCH(Export_ControlTot!$A41,'Campus Enrol Disaggregation'!$O$5:$O$75,0),MATCH(H$1,'Campus Enrol Disaggregation'!$P$4:$AC$4,0))</f>
        <v>36450</v>
      </c>
      <c r="I41" s="32">
        <f>INDEX('Campus Enrol Disaggregation'!$P$5:$AC$75,MATCH(Export_ControlTot!$A41,'Campus Enrol Disaggregation'!$O$5:$O$75,0),MATCH(I$1,'Campus Enrol Disaggregation'!$P$4:$AC$4,0))</f>
        <v>48850</v>
      </c>
      <c r="J41" s="32">
        <f>INDEX('Campus Enrol Disaggregation'!$P$5:$AC$75,MATCH(Export_ControlTot!$A41,'Campus Enrol Disaggregation'!$O$5:$O$75,0),MATCH(J$1,'Campus Enrol Disaggregation'!$P$4:$AC$4,0))</f>
        <v>1700</v>
      </c>
      <c r="K41" s="32">
        <f>INDEX('Campus Enrol Disaggregation'!$P$5:$AC$75,MATCH(Export_ControlTot!$A41,'Campus Enrol Disaggregation'!$O$5:$O$75,0),MATCH(K$1,'Campus Enrol Disaggregation'!$P$4:$AC$4,0))</f>
        <v>650</v>
      </c>
      <c r="L41" s="32">
        <f>INDEX('Campus Enrol Disaggregation'!$P$5:$AC$75,MATCH(Export_ControlTot!$A41,'Campus Enrol Disaggregation'!$O$5:$O$75,0),MATCH(L$1,'Campus Enrol Disaggregation'!$P$4:$AC$4,0))</f>
        <v>1050</v>
      </c>
      <c r="M41" s="32">
        <f>INDEX('Campus Enrol Disaggregation'!$P$5:$AC$75,MATCH(Export_ControlTot!$A41,'Campus Enrol Disaggregation'!$O$5:$O$75,0),MATCH(M$1,'Campus Enrol Disaggregation'!$P$4:$AC$4,0))</f>
        <v>27200</v>
      </c>
      <c r="N41" s="32">
        <f>INDEX('Campus Enrol Disaggregation'!$P$5:$AC$75,MATCH(Export_ControlTot!$A41,'Campus Enrol Disaggregation'!$O$5:$O$75,0),MATCH(N$1,'Campus Enrol Disaggregation'!$P$4:$AC$4,0))</f>
        <v>5450</v>
      </c>
      <c r="O41" s="32">
        <f>INDEX('Campus Enrol Disaggregation'!$P$5:$AC$75,MATCH(Export_ControlTot!$A41,'Campus Enrol Disaggregation'!$O$5:$O$75,0),MATCH(O$1,'Campus Enrol Disaggregation'!$P$4:$AC$4,0))</f>
        <v>1600</v>
      </c>
    </row>
    <row r="42" spans="1:15">
      <c r="A42" s="3">
        <v>2030</v>
      </c>
      <c r="B42" s="32">
        <f>INDEX('Campus Enrol Disaggregation'!$P$5:$AC$75,MATCH(Export_ControlTot!$A42,'Campus Enrol Disaggregation'!$O$5:$O$75,0),MATCH(B$1,'Campus Enrol Disaggregation'!$P$4:$AC$4,0))</f>
        <v>37650</v>
      </c>
      <c r="C42" s="32">
        <f>INDEX('Campus Enrol Disaggregation'!$P$5:$AC$75,MATCH(Export_ControlTot!$A42,'Campus Enrol Disaggregation'!$O$5:$O$75,0),MATCH(C$1,'Campus Enrol Disaggregation'!$P$4:$AC$4,0))</f>
        <v>2150</v>
      </c>
      <c r="D42" s="32">
        <f>INDEX('Campus Enrol Disaggregation'!$P$5:$AC$75,MATCH(Export_ControlTot!$A42,'Campus Enrol Disaggregation'!$O$5:$O$75,0),MATCH(D$1,'Campus Enrol Disaggregation'!$P$4:$AC$4,0))</f>
        <v>22500</v>
      </c>
      <c r="E42" s="32">
        <f>INDEX('Campus Enrol Disaggregation'!$P$5:$AC$75,MATCH(Export_ControlTot!$A42,'Campus Enrol Disaggregation'!$O$5:$O$75,0),MATCH(E$1,'Campus Enrol Disaggregation'!$P$4:$AC$4,0))</f>
        <v>4400</v>
      </c>
      <c r="F42" s="32">
        <f>INDEX('Campus Enrol Disaggregation'!$P$5:$AC$75,MATCH(Export_ControlTot!$A42,'Campus Enrol Disaggregation'!$O$5:$O$75,0),MATCH(F$1,'Campus Enrol Disaggregation'!$P$4:$AC$4,0))</f>
        <v>550</v>
      </c>
      <c r="G42" s="32">
        <f>INDEX('Campus Enrol Disaggregation'!$P$5:$AC$75,MATCH(Export_ControlTot!$A42,'Campus Enrol Disaggregation'!$O$5:$O$75,0),MATCH(G$1,'Campus Enrol Disaggregation'!$P$4:$AC$4,0))</f>
        <v>3350</v>
      </c>
      <c r="H42" s="32">
        <f>INDEX('Campus Enrol Disaggregation'!$P$5:$AC$75,MATCH(Export_ControlTot!$A42,'Campus Enrol Disaggregation'!$O$5:$O$75,0),MATCH(H$1,'Campus Enrol Disaggregation'!$P$4:$AC$4,0))</f>
        <v>36700</v>
      </c>
      <c r="I42" s="32">
        <f>INDEX('Campus Enrol Disaggregation'!$P$5:$AC$75,MATCH(Export_ControlTot!$A42,'Campus Enrol Disaggregation'!$O$5:$O$75,0),MATCH(I$1,'Campus Enrol Disaggregation'!$P$4:$AC$4,0))</f>
        <v>49750</v>
      </c>
      <c r="J42" s="32">
        <f>INDEX('Campus Enrol Disaggregation'!$P$5:$AC$75,MATCH(Export_ControlTot!$A42,'Campus Enrol Disaggregation'!$O$5:$O$75,0),MATCH(J$1,'Campus Enrol Disaggregation'!$P$4:$AC$4,0))</f>
        <v>1750</v>
      </c>
      <c r="K42" s="32">
        <f>INDEX('Campus Enrol Disaggregation'!$P$5:$AC$75,MATCH(Export_ControlTot!$A42,'Campus Enrol Disaggregation'!$O$5:$O$75,0),MATCH(K$1,'Campus Enrol Disaggregation'!$P$4:$AC$4,0))</f>
        <v>750</v>
      </c>
      <c r="L42" s="32">
        <f>INDEX('Campus Enrol Disaggregation'!$P$5:$AC$75,MATCH(Export_ControlTot!$A42,'Campus Enrol Disaggregation'!$O$5:$O$75,0),MATCH(L$1,'Campus Enrol Disaggregation'!$P$4:$AC$4,0))</f>
        <v>1200</v>
      </c>
      <c r="M42" s="32">
        <f>INDEX('Campus Enrol Disaggregation'!$P$5:$AC$75,MATCH(Export_ControlTot!$A42,'Campus Enrol Disaggregation'!$O$5:$O$75,0),MATCH(M$1,'Campus Enrol Disaggregation'!$P$4:$AC$4,0))</f>
        <v>27600</v>
      </c>
      <c r="N42" s="32">
        <f>INDEX('Campus Enrol Disaggregation'!$P$5:$AC$75,MATCH(Export_ControlTot!$A42,'Campus Enrol Disaggregation'!$O$5:$O$75,0),MATCH(N$1,'Campus Enrol Disaggregation'!$P$4:$AC$4,0))</f>
        <v>5550</v>
      </c>
      <c r="O42" s="32">
        <f>INDEX('Campus Enrol Disaggregation'!$P$5:$AC$75,MATCH(Export_ControlTot!$A42,'Campus Enrol Disaggregation'!$O$5:$O$75,0),MATCH(O$1,'Campus Enrol Disaggregation'!$P$4:$AC$4,0))</f>
        <v>1650</v>
      </c>
    </row>
    <row r="43" spans="1:15">
      <c r="A43" s="3">
        <v>2031</v>
      </c>
      <c r="B43" s="32">
        <f>INDEX('Campus Enrol Disaggregation'!$P$5:$AC$75,MATCH(Export_ControlTot!$A43,'Campus Enrol Disaggregation'!$O$5:$O$75,0),MATCH(B$1,'Campus Enrol Disaggregation'!$P$4:$AC$4,0))</f>
        <v>37700</v>
      </c>
      <c r="C43" s="32">
        <f>INDEX('Campus Enrol Disaggregation'!$P$5:$AC$75,MATCH(Export_ControlTot!$A43,'Campus Enrol Disaggregation'!$O$5:$O$75,0),MATCH(C$1,'Campus Enrol Disaggregation'!$P$4:$AC$4,0))</f>
        <v>2200</v>
      </c>
      <c r="D43" s="32">
        <f>INDEX('Campus Enrol Disaggregation'!$P$5:$AC$75,MATCH(Export_ControlTot!$A43,'Campus Enrol Disaggregation'!$O$5:$O$75,0),MATCH(D$1,'Campus Enrol Disaggregation'!$P$4:$AC$4,0))</f>
        <v>22750</v>
      </c>
      <c r="E43" s="32">
        <f>INDEX('Campus Enrol Disaggregation'!$P$5:$AC$75,MATCH(Export_ControlTot!$A43,'Campus Enrol Disaggregation'!$O$5:$O$75,0),MATCH(E$1,'Campus Enrol Disaggregation'!$P$4:$AC$4,0))</f>
        <v>4450</v>
      </c>
      <c r="F43" s="32">
        <f>INDEX('Campus Enrol Disaggregation'!$P$5:$AC$75,MATCH(Export_ControlTot!$A43,'Campus Enrol Disaggregation'!$O$5:$O$75,0),MATCH(F$1,'Campus Enrol Disaggregation'!$P$4:$AC$4,0))</f>
        <v>550</v>
      </c>
      <c r="G43" s="32">
        <f>INDEX('Campus Enrol Disaggregation'!$P$5:$AC$75,MATCH(Export_ControlTot!$A43,'Campus Enrol Disaggregation'!$O$5:$O$75,0),MATCH(G$1,'Campus Enrol Disaggregation'!$P$4:$AC$4,0))</f>
        <v>3400</v>
      </c>
      <c r="H43" s="32">
        <f>INDEX('Campus Enrol Disaggregation'!$P$5:$AC$75,MATCH(Export_ControlTot!$A43,'Campus Enrol Disaggregation'!$O$5:$O$75,0),MATCH(H$1,'Campus Enrol Disaggregation'!$P$4:$AC$4,0))</f>
        <v>37000</v>
      </c>
      <c r="I43" s="32">
        <f>INDEX('Campus Enrol Disaggregation'!$P$5:$AC$75,MATCH(Export_ControlTot!$A43,'Campus Enrol Disaggregation'!$O$5:$O$75,0),MATCH(I$1,'Campus Enrol Disaggregation'!$P$4:$AC$4,0))</f>
        <v>50650</v>
      </c>
      <c r="J43" s="32">
        <f>INDEX('Campus Enrol Disaggregation'!$P$5:$AC$75,MATCH(Export_ControlTot!$A43,'Campus Enrol Disaggregation'!$O$5:$O$75,0),MATCH(J$1,'Campus Enrol Disaggregation'!$P$4:$AC$4,0))</f>
        <v>1800</v>
      </c>
      <c r="K43" s="32">
        <f>INDEX('Campus Enrol Disaggregation'!$P$5:$AC$75,MATCH(Export_ControlTot!$A43,'Campus Enrol Disaggregation'!$O$5:$O$75,0),MATCH(K$1,'Campus Enrol Disaggregation'!$P$4:$AC$4,0))</f>
        <v>850</v>
      </c>
      <c r="L43" s="32">
        <f>INDEX('Campus Enrol Disaggregation'!$P$5:$AC$75,MATCH(Export_ControlTot!$A43,'Campus Enrol Disaggregation'!$O$5:$O$75,0),MATCH(L$1,'Campus Enrol Disaggregation'!$P$4:$AC$4,0))</f>
        <v>1350</v>
      </c>
      <c r="M43" s="32">
        <f>INDEX('Campus Enrol Disaggregation'!$P$5:$AC$75,MATCH(Export_ControlTot!$A43,'Campus Enrol Disaggregation'!$O$5:$O$75,0),MATCH(M$1,'Campus Enrol Disaggregation'!$P$4:$AC$4,0))</f>
        <v>27950</v>
      </c>
      <c r="N43" s="32">
        <f>INDEX('Campus Enrol Disaggregation'!$P$5:$AC$75,MATCH(Export_ControlTot!$A43,'Campus Enrol Disaggregation'!$O$5:$O$75,0),MATCH(N$1,'Campus Enrol Disaggregation'!$P$4:$AC$4,0))</f>
        <v>5600</v>
      </c>
      <c r="O43" s="32">
        <f>INDEX('Campus Enrol Disaggregation'!$P$5:$AC$75,MATCH(Export_ControlTot!$A43,'Campus Enrol Disaggregation'!$O$5:$O$75,0),MATCH(O$1,'Campus Enrol Disaggregation'!$P$4:$AC$4,0))</f>
        <v>1700</v>
      </c>
    </row>
    <row r="44" spans="1:15">
      <c r="A44" s="3">
        <v>2032</v>
      </c>
      <c r="B44" s="32">
        <f>INDEX('Campus Enrol Disaggregation'!$P$5:$AC$75,MATCH(Export_ControlTot!$A44,'Campus Enrol Disaggregation'!$O$5:$O$75,0),MATCH(B$1,'Campus Enrol Disaggregation'!$P$4:$AC$4,0))</f>
        <v>37750</v>
      </c>
      <c r="C44" s="32">
        <f>INDEX('Campus Enrol Disaggregation'!$P$5:$AC$75,MATCH(Export_ControlTot!$A44,'Campus Enrol Disaggregation'!$O$5:$O$75,0),MATCH(C$1,'Campus Enrol Disaggregation'!$P$4:$AC$4,0))</f>
        <v>2200</v>
      </c>
      <c r="D44" s="32">
        <f>INDEX('Campus Enrol Disaggregation'!$P$5:$AC$75,MATCH(Export_ControlTot!$A44,'Campus Enrol Disaggregation'!$O$5:$O$75,0),MATCH(D$1,'Campus Enrol Disaggregation'!$P$4:$AC$4,0))</f>
        <v>22950</v>
      </c>
      <c r="E44" s="32">
        <f>INDEX('Campus Enrol Disaggregation'!$P$5:$AC$75,MATCH(Export_ControlTot!$A44,'Campus Enrol Disaggregation'!$O$5:$O$75,0),MATCH(E$1,'Campus Enrol Disaggregation'!$P$4:$AC$4,0))</f>
        <v>4500</v>
      </c>
      <c r="F44" s="32">
        <f>INDEX('Campus Enrol Disaggregation'!$P$5:$AC$75,MATCH(Export_ControlTot!$A44,'Campus Enrol Disaggregation'!$O$5:$O$75,0),MATCH(F$1,'Campus Enrol Disaggregation'!$P$4:$AC$4,0))</f>
        <v>550</v>
      </c>
      <c r="G44" s="32">
        <f>INDEX('Campus Enrol Disaggregation'!$P$5:$AC$75,MATCH(Export_ControlTot!$A44,'Campus Enrol Disaggregation'!$O$5:$O$75,0),MATCH(G$1,'Campus Enrol Disaggregation'!$P$4:$AC$4,0))</f>
        <v>3400</v>
      </c>
      <c r="H44" s="32">
        <f>INDEX('Campus Enrol Disaggregation'!$P$5:$AC$75,MATCH(Export_ControlTot!$A44,'Campus Enrol Disaggregation'!$O$5:$O$75,0),MATCH(H$1,'Campus Enrol Disaggregation'!$P$4:$AC$4,0))</f>
        <v>37300</v>
      </c>
      <c r="I44" s="32">
        <f>INDEX('Campus Enrol Disaggregation'!$P$5:$AC$75,MATCH(Export_ControlTot!$A44,'Campus Enrol Disaggregation'!$O$5:$O$75,0),MATCH(I$1,'Campus Enrol Disaggregation'!$P$4:$AC$4,0))</f>
        <v>51600</v>
      </c>
      <c r="J44" s="32">
        <f>INDEX('Campus Enrol Disaggregation'!$P$5:$AC$75,MATCH(Export_ControlTot!$A44,'Campus Enrol Disaggregation'!$O$5:$O$75,0),MATCH(J$1,'Campus Enrol Disaggregation'!$P$4:$AC$4,0))</f>
        <v>1850</v>
      </c>
      <c r="K44" s="32">
        <f>INDEX('Campus Enrol Disaggregation'!$P$5:$AC$75,MATCH(Export_ControlTot!$A44,'Campus Enrol Disaggregation'!$O$5:$O$75,0),MATCH(K$1,'Campus Enrol Disaggregation'!$P$4:$AC$4,0))</f>
        <v>1000</v>
      </c>
      <c r="L44" s="32">
        <f>INDEX('Campus Enrol Disaggregation'!$P$5:$AC$75,MATCH(Export_ControlTot!$A44,'Campus Enrol Disaggregation'!$O$5:$O$75,0),MATCH(L$1,'Campus Enrol Disaggregation'!$P$4:$AC$4,0))</f>
        <v>1500</v>
      </c>
      <c r="M44" s="32">
        <f>INDEX('Campus Enrol Disaggregation'!$P$5:$AC$75,MATCH(Export_ControlTot!$A44,'Campus Enrol Disaggregation'!$O$5:$O$75,0),MATCH(M$1,'Campus Enrol Disaggregation'!$P$4:$AC$4,0))</f>
        <v>28350</v>
      </c>
      <c r="N44" s="32">
        <f>INDEX('Campus Enrol Disaggregation'!$P$5:$AC$75,MATCH(Export_ControlTot!$A44,'Campus Enrol Disaggregation'!$O$5:$O$75,0),MATCH(N$1,'Campus Enrol Disaggregation'!$P$4:$AC$4,0))</f>
        <v>5700</v>
      </c>
      <c r="O44" s="32">
        <f>INDEX('Campus Enrol Disaggregation'!$P$5:$AC$75,MATCH(Export_ControlTot!$A44,'Campus Enrol Disaggregation'!$O$5:$O$75,0),MATCH(O$1,'Campus Enrol Disaggregation'!$P$4:$AC$4,0))</f>
        <v>1750</v>
      </c>
    </row>
    <row r="45" spans="1:15">
      <c r="A45" s="3">
        <v>2033</v>
      </c>
      <c r="B45" s="32">
        <f>INDEX('Campus Enrol Disaggregation'!$P$5:$AC$75,MATCH(Export_ControlTot!$A45,'Campus Enrol Disaggregation'!$O$5:$O$75,0),MATCH(B$1,'Campus Enrol Disaggregation'!$P$4:$AC$4,0))</f>
        <v>37750</v>
      </c>
      <c r="C45" s="32">
        <f>INDEX('Campus Enrol Disaggregation'!$P$5:$AC$75,MATCH(Export_ControlTot!$A45,'Campus Enrol Disaggregation'!$O$5:$O$75,0),MATCH(C$1,'Campus Enrol Disaggregation'!$P$4:$AC$4,0))</f>
        <v>2250</v>
      </c>
      <c r="D45" s="32">
        <f>INDEX('Campus Enrol Disaggregation'!$P$5:$AC$75,MATCH(Export_ControlTot!$A45,'Campus Enrol Disaggregation'!$O$5:$O$75,0),MATCH(D$1,'Campus Enrol Disaggregation'!$P$4:$AC$4,0))</f>
        <v>23200</v>
      </c>
      <c r="E45" s="32">
        <f>INDEX('Campus Enrol Disaggregation'!$P$5:$AC$75,MATCH(Export_ControlTot!$A45,'Campus Enrol Disaggregation'!$O$5:$O$75,0),MATCH(E$1,'Campus Enrol Disaggregation'!$P$4:$AC$4,0))</f>
        <v>4500</v>
      </c>
      <c r="F45" s="32">
        <f>INDEX('Campus Enrol Disaggregation'!$P$5:$AC$75,MATCH(Export_ControlTot!$A45,'Campus Enrol Disaggregation'!$O$5:$O$75,0),MATCH(F$1,'Campus Enrol Disaggregation'!$P$4:$AC$4,0))</f>
        <v>550</v>
      </c>
      <c r="G45" s="32">
        <f>INDEX('Campus Enrol Disaggregation'!$P$5:$AC$75,MATCH(Export_ControlTot!$A45,'Campus Enrol Disaggregation'!$O$5:$O$75,0),MATCH(G$1,'Campus Enrol Disaggregation'!$P$4:$AC$4,0))</f>
        <v>3450</v>
      </c>
      <c r="H45" s="32">
        <f>INDEX('Campus Enrol Disaggregation'!$P$5:$AC$75,MATCH(Export_ControlTot!$A45,'Campus Enrol Disaggregation'!$O$5:$O$75,0),MATCH(H$1,'Campus Enrol Disaggregation'!$P$4:$AC$4,0))</f>
        <v>37600</v>
      </c>
      <c r="I45" s="32">
        <f>INDEX('Campus Enrol Disaggregation'!$P$5:$AC$75,MATCH(Export_ControlTot!$A45,'Campus Enrol Disaggregation'!$O$5:$O$75,0),MATCH(I$1,'Campus Enrol Disaggregation'!$P$4:$AC$4,0))</f>
        <v>52500</v>
      </c>
      <c r="J45" s="32">
        <f>INDEX('Campus Enrol Disaggregation'!$P$5:$AC$75,MATCH(Export_ControlTot!$A45,'Campus Enrol Disaggregation'!$O$5:$O$75,0),MATCH(J$1,'Campus Enrol Disaggregation'!$P$4:$AC$4,0))</f>
        <v>1900</v>
      </c>
      <c r="K45" s="32">
        <f>INDEX('Campus Enrol Disaggregation'!$P$5:$AC$75,MATCH(Export_ControlTot!$A45,'Campus Enrol Disaggregation'!$O$5:$O$75,0),MATCH(K$1,'Campus Enrol Disaggregation'!$P$4:$AC$4,0))</f>
        <v>1100</v>
      </c>
      <c r="L45" s="32">
        <f>INDEX('Campus Enrol Disaggregation'!$P$5:$AC$75,MATCH(Export_ControlTot!$A45,'Campus Enrol Disaggregation'!$O$5:$O$75,0),MATCH(L$1,'Campus Enrol Disaggregation'!$P$4:$AC$4,0))</f>
        <v>1650</v>
      </c>
      <c r="M45" s="32">
        <f>INDEX('Campus Enrol Disaggregation'!$P$5:$AC$75,MATCH(Export_ControlTot!$A45,'Campus Enrol Disaggregation'!$O$5:$O$75,0),MATCH(M$1,'Campus Enrol Disaggregation'!$P$4:$AC$4,0))</f>
        <v>28750</v>
      </c>
      <c r="N45" s="32">
        <f>INDEX('Campus Enrol Disaggregation'!$P$5:$AC$75,MATCH(Export_ControlTot!$A45,'Campus Enrol Disaggregation'!$O$5:$O$75,0),MATCH(N$1,'Campus Enrol Disaggregation'!$P$4:$AC$4,0))</f>
        <v>5750</v>
      </c>
      <c r="O45" s="32">
        <f>INDEX('Campus Enrol Disaggregation'!$P$5:$AC$75,MATCH(Export_ControlTot!$A45,'Campus Enrol Disaggregation'!$O$5:$O$75,0),MATCH(O$1,'Campus Enrol Disaggregation'!$P$4:$AC$4,0))</f>
        <v>1850</v>
      </c>
    </row>
    <row r="46" spans="1:15">
      <c r="A46" s="3">
        <v>2034</v>
      </c>
      <c r="B46" s="32">
        <f>INDEX('Campus Enrol Disaggregation'!$P$5:$AC$75,MATCH(Export_ControlTot!$A46,'Campus Enrol Disaggregation'!$O$5:$O$75,0),MATCH(B$1,'Campus Enrol Disaggregation'!$P$4:$AC$4,0))</f>
        <v>37800</v>
      </c>
      <c r="C46" s="32">
        <f>INDEX('Campus Enrol Disaggregation'!$P$5:$AC$75,MATCH(Export_ControlTot!$A46,'Campus Enrol Disaggregation'!$O$5:$O$75,0),MATCH(C$1,'Campus Enrol Disaggregation'!$P$4:$AC$4,0))</f>
        <v>2300</v>
      </c>
      <c r="D46" s="32">
        <f>INDEX('Campus Enrol Disaggregation'!$P$5:$AC$75,MATCH(Export_ControlTot!$A46,'Campus Enrol Disaggregation'!$O$5:$O$75,0),MATCH(D$1,'Campus Enrol Disaggregation'!$P$4:$AC$4,0))</f>
        <v>23400</v>
      </c>
      <c r="E46" s="32">
        <f>INDEX('Campus Enrol Disaggregation'!$P$5:$AC$75,MATCH(Export_ControlTot!$A46,'Campus Enrol Disaggregation'!$O$5:$O$75,0),MATCH(E$1,'Campus Enrol Disaggregation'!$P$4:$AC$4,0))</f>
        <v>4550</v>
      </c>
      <c r="F46" s="32">
        <f>INDEX('Campus Enrol Disaggregation'!$P$5:$AC$75,MATCH(Export_ControlTot!$A46,'Campus Enrol Disaggregation'!$O$5:$O$75,0),MATCH(F$1,'Campus Enrol Disaggregation'!$P$4:$AC$4,0))</f>
        <v>550</v>
      </c>
      <c r="G46" s="32">
        <f>INDEX('Campus Enrol Disaggregation'!$P$5:$AC$75,MATCH(Export_ControlTot!$A46,'Campus Enrol Disaggregation'!$O$5:$O$75,0),MATCH(G$1,'Campus Enrol Disaggregation'!$P$4:$AC$4,0))</f>
        <v>3500</v>
      </c>
      <c r="H46" s="32">
        <f>INDEX('Campus Enrol Disaggregation'!$P$5:$AC$75,MATCH(Export_ControlTot!$A46,'Campus Enrol Disaggregation'!$O$5:$O$75,0),MATCH(H$1,'Campus Enrol Disaggregation'!$P$4:$AC$4,0))</f>
        <v>37900</v>
      </c>
      <c r="I46" s="32">
        <f>INDEX('Campus Enrol Disaggregation'!$P$5:$AC$75,MATCH(Export_ControlTot!$A46,'Campus Enrol Disaggregation'!$O$5:$O$75,0),MATCH(I$1,'Campus Enrol Disaggregation'!$P$4:$AC$4,0))</f>
        <v>53400</v>
      </c>
      <c r="J46" s="32">
        <f>INDEX('Campus Enrol Disaggregation'!$P$5:$AC$75,MATCH(Export_ControlTot!$A46,'Campus Enrol Disaggregation'!$O$5:$O$75,0),MATCH(J$1,'Campus Enrol Disaggregation'!$P$4:$AC$4,0))</f>
        <v>1950</v>
      </c>
      <c r="K46" s="32">
        <f>INDEX('Campus Enrol Disaggregation'!$P$5:$AC$75,MATCH(Export_ControlTot!$A46,'Campus Enrol Disaggregation'!$O$5:$O$75,0),MATCH(K$1,'Campus Enrol Disaggregation'!$P$4:$AC$4,0))</f>
        <v>1200</v>
      </c>
      <c r="L46" s="32">
        <f>INDEX('Campus Enrol Disaggregation'!$P$5:$AC$75,MATCH(Export_ControlTot!$A46,'Campus Enrol Disaggregation'!$O$5:$O$75,0),MATCH(L$1,'Campus Enrol Disaggregation'!$P$4:$AC$4,0))</f>
        <v>1800</v>
      </c>
      <c r="M46" s="32">
        <f>INDEX('Campus Enrol Disaggregation'!$P$5:$AC$75,MATCH(Export_ControlTot!$A46,'Campus Enrol Disaggregation'!$O$5:$O$75,0),MATCH(M$1,'Campus Enrol Disaggregation'!$P$4:$AC$4,0))</f>
        <v>29100</v>
      </c>
      <c r="N46" s="32">
        <f>INDEX('Campus Enrol Disaggregation'!$P$5:$AC$75,MATCH(Export_ControlTot!$A46,'Campus Enrol Disaggregation'!$O$5:$O$75,0),MATCH(N$1,'Campus Enrol Disaggregation'!$P$4:$AC$4,0))</f>
        <v>5850</v>
      </c>
      <c r="O46" s="32">
        <f>INDEX('Campus Enrol Disaggregation'!$P$5:$AC$75,MATCH(Export_ControlTot!$A46,'Campus Enrol Disaggregation'!$O$5:$O$75,0),MATCH(O$1,'Campus Enrol Disaggregation'!$P$4:$AC$4,0))</f>
        <v>1900</v>
      </c>
    </row>
    <row r="47" spans="1:15">
      <c r="A47" s="3">
        <v>2035</v>
      </c>
      <c r="B47" s="32">
        <f>INDEX('Campus Enrol Disaggregation'!$P$5:$AC$75,MATCH(Export_ControlTot!$A47,'Campus Enrol Disaggregation'!$O$5:$O$75,0),MATCH(B$1,'Campus Enrol Disaggregation'!$P$4:$AC$4,0))</f>
        <v>37850</v>
      </c>
      <c r="C47" s="32">
        <f>INDEX('Campus Enrol Disaggregation'!$P$5:$AC$75,MATCH(Export_ControlTot!$A47,'Campus Enrol Disaggregation'!$O$5:$O$75,0),MATCH(C$1,'Campus Enrol Disaggregation'!$P$4:$AC$4,0))</f>
        <v>2300</v>
      </c>
      <c r="D47" s="32">
        <f>INDEX('Campus Enrol Disaggregation'!$P$5:$AC$75,MATCH(Export_ControlTot!$A47,'Campus Enrol Disaggregation'!$O$5:$O$75,0),MATCH(D$1,'Campus Enrol Disaggregation'!$P$4:$AC$4,0))</f>
        <v>23650</v>
      </c>
      <c r="E47" s="32">
        <f>INDEX('Campus Enrol Disaggregation'!$P$5:$AC$75,MATCH(Export_ControlTot!$A47,'Campus Enrol Disaggregation'!$O$5:$O$75,0),MATCH(E$1,'Campus Enrol Disaggregation'!$P$4:$AC$4,0))</f>
        <v>4600</v>
      </c>
      <c r="F47" s="32">
        <f>INDEX('Campus Enrol Disaggregation'!$P$5:$AC$75,MATCH(Export_ControlTot!$A47,'Campus Enrol Disaggregation'!$O$5:$O$75,0),MATCH(F$1,'Campus Enrol Disaggregation'!$P$4:$AC$4,0))</f>
        <v>550</v>
      </c>
      <c r="G47" s="32">
        <f>INDEX('Campus Enrol Disaggregation'!$P$5:$AC$75,MATCH(Export_ControlTot!$A47,'Campus Enrol Disaggregation'!$O$5:$O$75,0),MATCH(G$1,'Campus Enrol Disaggregation'!$P$4:$AC$4,0))</f>
        <v>3500</v>
      </c>
      <c r="H47" s="32">
        <f>INDEX('Campus Enrol Disaggregation'!$P$5:$AC$75,MATCH(Export_ControlTot!$A47,'Campus Enrol Disaggregation'!$O$5:$O$75,0),MATCH(H$1,'Campus Enrol Disaggregation'!$P$4:$AC$4,0))</f>
        <v>38200</v>
      </c>
      <c r="I47" s="32">
        <f>INDEX('Campus Enrol Disaggregation'!$P$5:$AC$75,MATCH(Export_ControlTot!$A47,'Campus Enrol Disaggregation'!$O$5:$O$75,0),MATCH(I$1,'Campus Enrol Disaggregation'!$P$4:$AC$4,0))</f>
        <v>54300</v>
      </c>
      <c r="J47" s="32">
        <f>INDEX('Campus Enrol Disaggregation'!$P$5:$AC$75,MATCH(Export_ControlTot!$A47,'Campus Enrol Disaggregation'!$O$5:$O$75,0),MATCH(J$1,'Campus Enrol Disaggregation'!$P$4:$AC$4,0))</f>
        <v>1950</v>
      </c>
      <c r="K47" s="32">
        <f>INDEX('Campus Enrol Disaggregation'!$P$5:$AC$75,MATCH(Export_ControlTot!$A47,'Campus Enrol Disaggregation'!$O$5:$O$75,0),MATCH(K$1,'Campus Enrol Disaggregation'!$P$4:$AC$4,0))</f>
        <v>1300</v>
      </c>
      <c r="L47" s="32">
        <f>INDEX('Campus Enrol Disaggregation'!$P$5:$AC$75,MATCH(Export_ControlTot!$A47,'Campus Enrol Disaggregation'!$O$5:$O$75,0),MATCH(L$1,'Campus Enrol Disaggregation'!$P$4:$AC$4,0))</f>
        <v>1950</v>
      </c>
      <c r="M47" s="32">
        <f>INDEX('Campus Enrol Disaggregation'!$P$5:$AC$75,MATCH(Export_ControlTot!$A47,'Campus Enrol Disaggregation'!$O$5:$O$75,0),MATCH(M$1,'Campus Enrol Disaggregation'!$P$4:$AC$4,0))</f>
        <v>29500</v>
      </c>
      <c r="N47" s="32">
        <f>INDEX('Campus Enrol Disaggregation'!$P$5:$AC$75,MATCH(Export_ControlTot!$A47,'Campus Enrol Disaggregation'!$O$5:$O$75,0),MATCH(N$1,'Campus Enrol Disaggregation'!$P$4:$AC$4,0))</f>
        <v>5900</v>
      </c>
      <c r="O47" s="32">
        <f>INDEX('Campus Enrol Disaggregation'!$P$5:$AC$75,MATCH(Export_ControlTot!$A47,'Campus Enrol Disaggregation'!$O$5:$O$75,0),MATCH(O$1,'Campus Enrol Disaggregation'!$P$4:$AC$4,0))</f>
        <v>1950</v>
      </c>
    </row>
    <row r="48" spans="1:15">
      <c r="A48" s="3">
        <v>2036</v>
      </c>
      <c r="B48" s="32">
        <f>INDEX('Campus Enrol Disaggregation'!$P$5:$AC$75,MATCH(Export_ControlTot!$A48,'Campus Enrol Disaggregation'!$O$5:$O$75,0),MATCH(B$1,'Campus Enrol Disaggregation'!$P$4:$AC$4,0))</f>
        <v>37900</v>
      </c>
      <c r="C48" s="32">
        <f>INDEX('Campus Enrol Disaggregation'!$P$5:$AC$75,MATCH(Export_ControlTot!$A48,'Campus Enrol Disaggregation'!$O$5:$O$75,0),MATCH(C$1,'Campus Enrol Disaggregation'!$P$4:$AC$4,0))</f>
        <v>2350</v>
      </c>
      <c r="D48" s="32">
        <f>INDEX('Campus Enrol Disaggregation'!$P$5:$AC$75,MATCH(Export_ControlTot!$A48,'Campus Enrol Disaggregation'!$O$5:$O$75,0),MATCH(D$1,'Campus Enrol Disaggregation'!$P$4:$AC$4,0))</f>
        <v>23900</v>
      </c>
      <c r="E48" s="32">
        <f>INDEX('Campus Enrol Disaggregation'!$P$5:$AC$75,MATCH(Export_ControlTot!$A48,'Campus Enrol Disaggregation'!$O$5:$O$75,0),MATCH(E$1,'Campus Enrol Disaggregation'!$P$4:$AC$4,0))</f>
        <v>4650</v>
      </c>
      <c r="F48" s="32">
        <f>INDEX('Campus Enrol Disaggregation'!$P$5:$AC$75,MATCH(Export_ControlTot!$A48,'Campus Enrol Disaggregation'!$O$5:$O$75,0),MATCH(F$1,'Campus Enrol Disaggregation'!$P$4:$AC$4,0))</f>
        <v>550</v>
      </c>
      <c r="G48" s="32">
        <f>INDEX('Campus Enrol Disaggregation'!$P$5:$AC$75,MATCH(Export_ControlTot!$A48,'Campus Enrol Disaggregation'!$O$5:$O$75,0),MATCH(G$1,'Campus Enrol Disaggregation'!$P$4:$AC$4,0))</f>
        <v>3550</v>
      </c>
      <c r="H48" s="32">
        <f>INDEX('Campus Enrol Disaggregation'!$P$5:$AC$75,MATCH(Export_ControlTot!$A48,'Campus Enrol Disaggregation'!$O$5:$O$75,0),MATCH(H$1,'Campus Enrol Disaggregation'!$P$4:$AC$4,0))</f>
        <v>38500</v>
      </c>
      <c r="I48" s="32">
        <f>INDEX('Campus Enrol Disaggregation'!$P$5:$AC$75,MATCH(Export_ControlTot!$A48,'Campus Enrol Disaggregation'!$O$5:$O$75,0),MATCH(I$1,'Campus Enrol Disaggregation'!$P$4:$AC$4,0))</f>
        <v>55250</v>
      </c>
      <c r="J48" s="32">
        <f>INDEX('Campus Enrol Disaggregation'!$P$5:$AC$75,MATCH(Export_ControlTot!$A48,'Campus Enrol Disaggregation'!$O$5:$O$75,0),MATCH(J$1,'Campus Enrol Disaggregation'!$P$4:$AC$4,0))</f>
        <v>2000</v>
      </c>
      <c r="K48" s="32">
        <f>INDEX('Campus Enrol Disaggregation'!$P$5:$AC$75,MATCH(Export_ControlTot!$A48,'Campus Enrol Disaggregation'!$O$5:$O$75,0),MATCH(K$1,'Campus Enrol Disaggregation'!$P$4:$AC$4,0))</f>
        <v>1450</v>
      </c>
      <c r="L48" s="32">
        <f>INDEX('Campus Enrol Disaggregation'!$P$5:$AC$75,MATCH(Export_ControlTot!$A48,'Campus Enrol Disaggregation'!$O$5:$O$75,0),MATCH(L$1,'Campus Enrol Disaggregation'!$P$4:$AC$4,0))</f>
        <v>2100</v>
      </c>
      <c r="M48" s="32">
        <f>INDEX('Campus Enrol Disaggregation'!$P$5:$AC$75,MATCH(Export_ControlTot!$A48,'Campus Enrol Disaggregation'!$O$5:$O$75,0),MATCH(M$1,'Campus Enrol Disaggregation'!$P$4:$AC$4,0))</f>
        <v>29850</v>
      </c>
      <c r="N48" s="32">
        <f>INDEX('Campus Enrol Disaggregation'!$P$5:$AC$75,MATCH(Export_ControlTot!$A48,'Campus Enrol Disaggregation'!$O$5:$O$75,0),MATCH(N$1,'Campus Enrol Disaggregation'!$P$4:$AC$4,0))</f>
        <v>6000</v>
      </c>
      <c r="O48" s="32">
        <f>INDEX('Campus Enrol Disaggregation'!$P$5:$AC$75,MATCH(Export_ControlTot!$A48,'Campus Enrol Disaggregation'!$O$5:$O$75,0),MATCH(O$1,'Campus Enrol Disaggregation'!$P$4:$AC$4,0))</f>
        <v>2000</v>
      </c>
    </row>
    <row r="49" spans="1:15">
      <c r="A49" s="3">
        <v>2037</v>
      </c>
      <c r="B49" s="32">
        <f>INDEX('Campus Enrol Disaggregation'!$P$5:$AC$75,MATCH(Export_ControlTot!$A49,'Campus Enrol Disaggregation'!$O$5:$O$75,0),MATCH(B$1,'Campus Enrol Disaggregation'!$P$4:$AC$4,0))</f>
        <v>37900</v>
      </c>
      <c r="C49" s="32">
        <f>INDEX('Campus Enrol Disaggregation'!$P$5:$AC$75,MATCH(Export_ControlTot!$A49,'Campus Enrol Disaggregation'!$O$5:$O$75,0),MATCH(C$1,'Campus Enrol Disaggregation'!$P$4:$AC$4,0))</f>
        <v>2400</v>
      </c>
      <c r="D49" s="32">
        <f>INDEX('Campus Enrol Disaggregation'!$P$5:$AC$75,MATCH(Export_ControlTot!$A49,'Campus Enrol Disaggregation'!$O$5:$O$75,0),MATCH(D$1,'Campus Enrol Disaggregation'!$P$4:$AC$4,0))</f>
        <v>24100</v>
      </c>
      <c r="E49" s="32">
        <f>INDEX('Campus Enrol Disaggregation'!$P$5:$AC$75,MATCH(Export_ControlTot!$A49,'Campus Enrol Disaggregation'!$O$5:$O$75,0),MATCH(E$1,'Campus Enrol Disaggregation'!$P$4:$AC$4,0))</f>
        <v>4700</v>
      </c>
      <c r="F49" s="32">
        <f>INDEX('Campus Enrol Disaggregation'!$P$5:$AC$75,MATCH(Export_ControlTot!$A49,'Campus Enrol Disaggregation'!$O$5:$O$75,0),MATCH(F$1,'Campus Enrol Disaggregation'!$P$4:$AC$4,0))</f>
        <v>550</v>
      </c>
      <c r="G49" s="32">
        <f>INDEX('Campus Enrol Disaggregation'!$P$5:$AC$75,MATCH(Export_ControlTot!$A49,'Campus Enrol Disaggregation'!$O$5:$O$75,0),MATCH(G$1,'Campus Enrol Disaggregation'!$P$4:$AC$4,0))</f>
        <v>3600</v>
      </c>
      <c r="H49" s="32">
        <f>INDEX('Campus Enrol Disaggregation'!$P$5:$AC$75,MATCH(Export_ControlTot!$A49,'Campus Enrol Disaggregation'!$O$5:$O$75,0),MATCH(H$1,'Campus Enrol Disaggregation'!$P$4:$AC$4,0))</f>
        <v>38750</v>
      </c>
      <c r="I49" s="32">
        <f>INDEX('Campus Enrol Disaggregation'!$P$5:$AC$75,MATCH(Export_ControlTot!$A49,'Campus Enrol Disaggregation'!$O$5:$O$75,0),MATCH(I$1,'Campus Enrol Disaggregation'!$P$4:$AC$4,0))</f>
        <v>56150</v>
      </c>
      <c r="J49" s="32">
        <f>INDEX('Campus Enrol Disaggregation'!$P$5:$AC$75,MATCH(Export_ControlTot!$A49,'Campus Enrol Disaggregation'!$O$5:$O$75,0),MATCH(J$1,'Campus Enrol Disaggregation'!$P$4:$AC$4,0))</f>
        <v>2050</v>
      </c>
      <c r="K49" s="32">
        <f>INDEX('Campus Enrol Disaggregation'!$P$5:$AC$75,MATCH(Export_ControlTot!$A49,'Campus Enrol Disaggregation'!$O$5:$O$75,0),MATCH(K$1,'Campus Enrol Disaggregation'!$P$4:$AC$4,0))</f>
        <v>1550</v>
      </c>
      <c r="L49" s="32">
        <f>INDEX('Campus Enrol Disaggregation'!$P$5:$AC$75,MATCH(Export_ControlTot!$A49,'Campus Enrol Disaggregation'!$O$5:$O$75,0),MATCH(L$1,'Campus Enrol Disaggregation'!$P$4:$AC$4,0))</f>
        <v>2250</v>
      </c>
      <c r="M49" s="32">
        <f>INDEX('Campus Enrol Disaggregation'!$P$5:$AC$75,MATCH(Export_ControlTot!$A49,'Campus Enrol Disaggregation'!$O$5:$O$75,0),MATCH(M$1,'Campus Enrol Disaggregation'!$P$4:$AC$4,0))</f>
        <v>30250</v>
      </c>
      <c r="N49" s="32">
        <f>INDEX('Campus Enrol Disaggregation'!$P$5:$AC$75,MATCH(Export_ControlTot!$A49,'Campus Enrol Disaggregation'!$O$5:$O$75,0),MATCH(N$1,'Campus Enrol Disaggregation'!$P$4:$AC$4,0))</f>
        <v>6050</v>
      </c>
      <c r="O49" s="32">
        <f>INDEX('Campus Enrol Disaggregation'!$P$5:$AC$75,MATCH(Export_ControlTot!$A49,'Campus Enrol Disaggregation'!$O$5:$O$75,0),MATCH(O$1,'Campus Enrol Disaggregation'!$P$4:$AC$4,0))</f>
        <v>2100</v>
      </c>
    </row>
    <row r="50" spans="1:15">
      <c r="A50" s="3">
        <v>2038</v>
      </c>
      <c r="B50" s="32">
        <f>INDEX('Campus Enrol Disaggregation'!$P$5:$AC$75,MATCH(Export_ControlTot!$A50,'Campus Enrol Disaggregation'!$O$5:$O$75,0),MATCH(B$1,'Campus Enrol Disaggregation'!$P$4:$AC$4,0))</f>
        <v>37950</v>
      </c>
      <c r="C50" s="32">
        <f>INDEX('Campus Enrol Disaggregation'!$P$5:$AC$75,MATCH(Export_ControlTot!$A50,'Campus Enrol Disaggregation'!$O$5:$O$75,0),MATCH(C$1,'Campus Enrol Disaggregation'!$P$4:$AC$4,0))</f>
        <v>2450</v>
      </c>
      <c r="D50" s="32">
        <f>INDEX('Campus Enrol Disaggregation'!$P$5:$AC$75,MATCH(Export_ControlTot!$A50,'Campus Enrol Disaggregation'!$O$5:$O$75,0),MATCH(D$1,'Campus Enrol Disaggregation'!$P$4:$AC$4,0))</f>
        <v>24350</v>
      </c>
      <c r="E50" s="32">
        <f>INDEX('Campus Enrol Disaggregation'!$P$5:$AC$75,MATCH(Export_ControlTot!$A50,'Campus Enrol Disaggregation'!$O$5:$O$75,0),MATCH(E$1,'Campus Enrol Disaggregation'!$P$4:$AC$4,0))</f>
        <v>4750</v>
      </c>
      <c r="F50" s="32">
        <f>INDEX('Campus Enrol Disaggregation'!$P$5:$AC$75,MATCH(Export_ControlTot!$A50,'Campus Enrol Disaggregation'!$O$5:$O$75,0),MATCH(F$1,'Campus Enrol Disaggregation'!$P$4:$AC$4,0))</f>
        <v>600</v>
      </c>
      <c r="G50" s="32">
        <f>INDEX('Campus Enrol Disaggregation'!$P$5:$AC$75,MATCH(Export_ControlTot!$A50,'Campus Enrol Disaggregation'!$O$5:$O$75,0),MATCH(G$1,'Campus Enrol Disaggregation'!$P$4:$AC$4,0))</f>
        <v>3600</v>
      </c>
      <c r="H50" s="32">
        <f>INDEX('Campus Enrol Disaggregation'!$P$5:$AC$75,MATCH(Export_ControlTot!$A50,'Campus Enrol Disaggregation'!$O$5:$O$75,0),MATCH(H$1,'Campus Enrol Disaggregation'!$P$4:$AC$4,0))</f>
        <v>39050</v>
      </c>
      <c r="I50" s="32">
        <f>INDEX('Campus Enrol Disaggregation'!$P$5:$AC$75,MATCH(Export_ControlTot!$A50,'Campus Enrol Disaggregation'!$O$5:$O$75,0),MATCH(I$1,'Campus Enrol Disaggregation'!$P$4:$AC$4,0))</f>
        <v>57050</v>
      </c>
      <c r="J50" s="32">
        <f>INDEX('Campus Enrol Disaggregation'!$P$5:$AC$75,MATCH(Export_ControlTot!$A50,'Campus Enrol Disaggregation'!$O$5:$O$75,0),MATCH(J$1,'Campus Enrol Disaggregation'!$P$4:$AC$4,0))</f>
        <v>2100</v>
      </c>
      <c r="K50" s="32">
        <f>INDEX('Campus Enrol Disaggregation'!$P$5:$AC$75,MATCH(Export_ControlTot!$A50,'Campus Enrol Disaggregation'!$O$5:$O$75,0),MATCH(K$1,'Campus Enrol Disaggregation'!$P$4:$AC$4,0))</f>
        <v>1650</v>
      </c>
      <c r="L50" s="32">
        <f>INDEX('Campus Enrol Disaggregation'!$P$5:$AC$75,MATCH(Export_ControlTot!$A50,'Campus Enrol Disaggregation'!$O$5:$O$75,0),MATCH(L$1,'Campus Enrol Disaggregation'!$P$4:$AC$4,0))</f>
        <v>2400</v>
      </c>
      <c r="M50" s="32">
        <f>INDEX('Campus Enrol Disaggregation'!$P$5:$AC$75,MATCH(Export_ControlTot!$A50,'Campus Enrol Disaggregation'!$O$5:$O$75,0),MATCH(M$1,'Campus Enrol Disaggregation'!$P$4:$AC$4,0))</f>
        <v>30600</v>
      </c>
      <c r="N50" s="32">
        <f>INDEX('Campus Enrol Disaggregation'!$P$5:$AC$75,MATCH(Export_ControlTot!$A50,'Campus Enrol Disaggregation'!$O$5:$O$75,0),MATCH(N$1,'Campus Enrol Disaggregation'!$P$4:$AC$4,0))</f>
        <v>6150</v>
      </c>
      <c r="O50" s="32">
        <f>INDEX('Campus Enrol Disaggregation'!$P$5:$AC$75,MATCH(Export_ControlTot!$A50,'Campus Enrol Disaggregation'!$O$5:$O$75,0),MATCH(O$1,'Campus Enrol Disaggregation'!$P$4:$AC$4,0))</f>
        <v>2150</v>
      </c>
    </row>
    <row r="51" spans="1:15">
      <c r="A51" s="3">
        <v>2039</v>
      </c>
      <c r="B51" s="32">
        <f>INDEX('Campus Enrol Disaggregation'!$P$5:$AC$75,MATCH(Export_ControlTot!$A51,'Campus Enrol Disaggregation'!$O$5:$O$75,0),MATCH(B$1,'Campus Enrol Disaggregation'!$P$4:$AC$4,0))</f>
        <v>38000</v>
      </c>
      <c r="C51" s="32">
        <f>INDEX('Campus Enrol Disaggregation'!$P$5:$AC$75,MATCH(Export_ControlTot!$A51,'Campus Enrol Disaggregation'!$O$5:$O$75,0),MATCH(C$1,'Campus Enrol Disaggregation'!$P$4:$AC$4,0))</f>
        <v>2450</v>
      </c>
      <c r="D51" s="32">
        <f>INDEX('Campus Enrol Disaggregation'!$P$5:$AC$75,MATCH(Export_ControlTot!$A51,'Campus Enrol Disaggregation'!$O$5:$O$75,0),MATCH(D$1,'Campus Enrol Disaggregation'!$P$4:$AC$4,0))</f>
        <v>24600</v>
      </c>
      <c r="E51" s="32">
        <f>INDEX('Campus Enrol Disaggregation'!$P$5:$AC$75,MATCH(Export_ControlTot!$A51,'Campus Enrol Disaggregation'!$O$5:$O$75,0),MATCH(E$1,'Campus Enrol Disaggregation'!$P$4:$AC$4,0))</f>
        <v>4800</v>
      </c>
      <c r="F51" s="32">
        <f>INDEX('Campus Enrol Disaggregation'!$P$5:$AC$75,MATCH(Export_ControlTot!$A51,'Campus Enrol Disaggregation'!$O$5:$O$75,0),MATCH(F$1,'Campus Enrol Disaggregation'!$P$4:$AC$4,0))</f>
        <v>600</v>
      </c>
      <c r="G51" s="32">
        <f>INDEX('Campus Enrol Disaggregation'!$P$5:$AC$75,MATCH(Export_ControlTot!$A51,'Campus Enrol Disaggregation'!$O$5:$O$75,0),MATCH(G$1,'Campus Enrol Disaggregation'!$P$4:$AC$4,0))</f>
        <v>3650</v>
      </c>
      <c r="H51" s="32">
        <f>INDEX('Campus Enrol Disaggregation'!$P$5:$AC$75,MATCH(Export_ControlTot!$A51,'Campus Enrol Disaggregation'!$O$5:$O$75,0),MATCH(H$1,'Campus Enrol Disaggregation'!$P$4:$AC$4,0))</f>
        <v>39350</v>
      </c>
      <c r="I51" s="32">
        <f>INDEX('Campus Enrol Disaggregation'!$P$5:$AC$75,MATCH(Export_ControlTot!$A51,'Campus Enrol Disaggregation'!$O$5:$O$75,0),MATCH(I$1,'Campus Enrol Disaggregation'!$P$4:$AC$4,0))</f>
        <v>57950</v>
      </c>
      <c r="J51" s="32">
        <f>INDEX('Campus Enrol Disaggregation'!$P$5:$AC$75,MATCH(Export_ControlTot!$A51,'Campus Enrol Disaggregation'!$O$5:$O$75,0),MATCH(J$1,'Campus Enrol Disaggregation'!$P$4:$AC$4,0))</f>
        <v>2150</v>
      </c>
      <c r="K51" s="32">
        <f>INDEX('Campus Enrol Disaggregation'!$P$5:$AC$75,MATCH(Export_ControlTot!$A51,'Campus Enrol Disaggregation'!$O$5:$O$75,0),MATCH(K$1,'Campus Enrol Disaggregation'!$P$4:$AC$4,0))</f>
        <v>1750</v>
      </c>
      <c r="L51" s="32">
        <f>INDEX('Campus Enrol Disaggregation'!$P$5:$AC$75,MATCH(Export_ControlTot!$A51,'Campus Enrol Disaggregation'!$O$5:$O$75,0),MATCH(L$1,'Campus Enrol Disaggregation'!$P$4:$AC$4,0))</f>
        <v>2600</v>
      </c>
      <c r="M51" s="32">
        <f>INDEX('Campus Enrol Disaggregation'!$P$5:$AC$75,MATCH(Export_ControlTot!$A51,'Campus Enrol Disaggregation'!$O$5:$O$75,0),MATCH(M$1,'Campus Enrol Disaggregation'!$P$4:$AC$4,0))</f>
        <v>31000</v>
      </c>
      <c r="N51" s="32">
        <f>INDEX('Campus Enrol Disaggregation'!$P$5:$AC$75,MATCH(Export_ControlTot!$A51,'Campus Enrol Disaggregation'!$O$5:$O$75,0),MATCH(N$1,'Campus Enrol Disaggregation'!$P$4:$AC$4,0))</f>
        <v>6200</v>
      </c>
      <c r="O51" s="32">
        <f>INDEX('Campus Enrol Disaggregation'!$P$5:$AC$75,MATCH(Export_ControlTot!$A51,'Campus Enrol Disaggregation'!$O$5:$O$75,0),MATCH(O$1,'Campus Enrol Disaggregation'!$P$4:$AC$4,0))</f>
        <v>2200</v>
      </c>
    </row>
    <row r="52" spans="1:15">
      <c r="A52" s="3">
        <v>2040</v>
      </c>
      <c r="B52" s="32">
        <f>INDEX('Campus Enrol Disaggregation'!$P$5:$AC$75,MATCH(Export_ControlTot!$A52,'Campus Enrol Disaggregation'!$O$5:$O$75,0),MATCH(B$1,'Campus Enrol Disaggregation'!$P$4:$AC$4,0))</f>
        <v>38050</v>
      </c>
      <c r="C52" s="32">
        <f>INDEX('Campus Enrol Disaggregation'!$P$5:$AC$75,MATCH(Export_ControlTot!$A52,'Campus Enrol Disaggregation'!$O$5:$O$75,0),MATCH(C$1,'Campus Enrol Disaggregation'!$P$4:$AC$4,0))</f>
        <v>2500</v>
      </c>
      <c r="D52" s="32">
        <f>INDEX('Campus Enrol Disaggregation'!$P$5:$AC$75,MATCH(Export_ControlTot!$A52,'Campus Enrol Disaggregation'!$O$5:$O$75,0),MATCH(D$1,'Campus Enrol Disaggregation'!$P$4:$AC$4,0))</f>
        <v>24800</v>
      </c>
      <c r="E52" s="32">
        <f>INDEX('Campus Enrol Disaggregation'!$P$5:$AC$75,MATCH(Export_ControlTot!$A52,'Campus Enrol Disaggregation'!$O$5:$O$75,0),MATCH(E$1,'Campus Enrol Disaggregation'!$P$4:$AC$4,0))</f>
        <v>4850</v>
      </c>
      <c r="F52" s="32">
        <f>INDEX('Campus Enrol Disaggregation'!$P$5:$AC$75,MATCH(Export_ControlTot!$A52,'Campus Enrol Disaggregation'!$O$5:$O$75,0),MATCH(F$1,'Campus Enrol Disaggregation'!$P$4:$AC$4,0))</f>
        <v>600</v>
      </c>
      <c r="G52" s="32">
        <f>INDEX('Campus Enrol Disaggregation'!$P$5:$AC$75,MATCH(Export_ControlTot!$A52,'Campus Enrol Disaggregation'!$O$5:$O$75,0),MATCH(G$1,'Campus Enrol Disaggregation'!$P$4:$AC$4,0))</f>
        <v>3700</v>
      </c>
      <c r="H52" s="32">
        <f>INDEX('Campus Enrol Disaggregation'!$P$5:$AC$75,MATCH(Export_ControlTot!$A52,'Campus Enrol Disaggregation'!$O$5:$O$75,0),MATCH(H$1,'Campus Enrol Disaggregation'!$P$4:$AC$4,0))</f>
        <v>39650</v>
      </c>
      <c r="I52" s="32">
        <f>INDEX('Campus Enrol Disaggregation'!$P$5:$AC$75,MATCH(Export_ControlTot!$A52,'Campus Enrol Disaggregation'!$O$5:$O$75,0),MATCH(I$1,'Campus Enrol Disaggregation'!$P$4:$AC$4,0))</f>
        <v>58850</v>
      </c>
      <c r="J52" s="32">
        <f>INDEX('Campus Enrol Disaggregation'!$P$5:$AC$75,MATCH(Export_ControlTot!$A52,'Campus Enrol Disaggregation'!$O$5:$O$75,0),MATCH(J$1,'Campus Enrol Disaggregation'!$P$4:$AC$4,0))</f>
        <v>2200</v>
      </c>
      <c r="K52" s="32">
        <f>INDEX('Campus Enrol Disaggregation'!$P$5:$AC$75,MATCH(Export_ControlTot!$A52,'Campus Enrol Disaggregation'!$O$5:$O$75,0),MATCH(K$1,'Campus Enrol Disaggregation'!$P$4:$AC$4,0))</f>
        <v>1900</v>
      </c>
      <c r="L52" s="32">
        <f>INDEX('Campus Enrol Disaggregation'!$P$5:$AC$75,MATCH(Export_ControlTot!$A52,'Campus Enrol Disaggregation'!$O$5:$O$75,0),MATCH(L$1,'Campus Enrol Disaggregation'!$P$4:$AC$4,0))</f>
        <v>2750</v>
      </c>
      <c r="M52" s="32">
        <f>INDEX('Campus Enrol Disaggregation'!$P$5:$AC$75,MATCH(Export_ControlTot!$A52,'Campus Enrol Disaggregation'!$O$5:$O$75,0),MATCH(M$1,'Campus Enrol Disaggregation'!$P$4:$AC$4,0))</f>
        <v>31400</v>
      </c>
      <c r="N52" s="32">
        <f>INDEX('Campus Enrol Disaggregation'!$P$5:$AC$75,MATCH(Export_ControlTot!$A52,'Campus Enrol Disaggregation'!$O$5:$O$75,0),MATCH(N$1,'Campus Enrol Disaggregation'!$P$4:$AC$4,0))</f>
        <v>6300</v>
      </c>
      <c r="O52" s="32">
        <f>INDEX('Campus Enrol Disaggregation'!$P$5:$AC$75,MATCH(Export_ControlTot!$A52,'Campus Enrol Disaggregation'!$O$5:$O$75,0),MATCH(O$1,'Campus Enrol Disaggregation'!$P$4:$AC$4,0))</f>
        <v>2250</v>
      </c>
    </row>
    <row r="53" spans="1:15">
      <c r="A53" s="3">
        <v>2041</v>
      </c>
      <c r="B53" s="32">
        <f>INDEX('Campus Enrol Disaggregation'!$P$5:$AC$75,MATCH(Export_ControlTot!$A53,'Campus Enrol Disaggregation'!$O$5:$O$75,0),MATCH(B$1,'Campus Enrol Disaggregation'!$P$4:$AC$4,0))</f>
        <v>38050</v>
      </c>
      <c r="C53" s="32">
        <f>INDEX('Campus Enrol Disaggregation'!$P$5:$AC$75,MATCH(Export_ControlTot!$A53,'Campus Enrol Disaggregation'!$O$5:$O$75,0),MATCH(C$1,'Campus Enrol Disaggregation'!$P$4:$AC$4,0))</f>
        <v>2550</v>
      </c>
      <c r="D53" s="32">
        <f>INDEX('Campus Enrol Disaggregation'!$P$5:$AC$75,MATCH(Export_ControlTot!$A53,'Campus Enrol Disaggregation'!$O$5:$O$75,0),MATCH(D$1,'Campus Enrol Disaggregation'!$P$4:$AC$4,0))</f>
        <v>25050</v>
      </c>
      <c r="E53" s="32">
        <f>INDEX('Campus Enrol Disaggregation'!$P$5:$AC$75,MATCH(Export_ControlTot!$A53,'Campus Enrol Disaggregation'!$O$5:$O$75,0),MATCH(E$1,'Campus Enrol Disaggregation'!$P$4:$AC$4,0))</f>
        <v>4900</v>
      </c>
      <c r="F53" s="32">
        <f>INDEX('Campus Enrol Disaggregation'!$P$5:$AC$75,MATCH(Export_ControlTot!$A53,'Campus Enrol Disaggregation'!$O$5:$O$75,0),MATCH(F$1,'Campus Enrol Disaggregation'!$P$4:$AC$4,0))</f>
        <v>600</v>
      </c>
      <c r="G53" s="32">
        <f>INDEX('Campus Enrol Disaggregation'!$P$5:$AC$75,MATCH(Export_ControlTot!$A53,'Campus Enrol Disaggregation'!$O$5:$O$75,0),MATCH(G$1,'Campus Enrol Disaggregation'!$P$4:$AC$4,0))</f>
        <v>3700</v>
      </c>
      <c r="H53" s="32">
        <f>INDEX('Campus Enrol Disaggregation'!$P$5:$AC$75,MATCH(Export_ControlTot!$A53,'Campus Enrol Disaggregation'!$O$5:$O$75,0),MATCH(H$1,'Campus Enrol Disaggregation'!$P$4:$AC$4,0))</f>
        <v>39950</v>
      </c>
      <c r="I53" s="32">
        <f>INDEX('Campus Enrol Disaggregation'!$P$5:$AC$75,MATCH(Export_ControlTot!$A53,'Campus Enrol Disaggregation'!$O$5:$O$75,0),MATCH(I$1,'Campus Enrol Disaggregation'!$P$4:$AC$4,0))</f>
        <v>59800</v>
      </c>
      <c r="J53" s="32">
        <f>INDEX('Campus Enrol Disaggregation'!$P$5:$AC$75,MATCH(Export_ControlTot!$A53,'Campus Enrol Disaggregation'!$O$5:$O$75,0),MATCH(J$1,'Campus Enrol Disaggregation'!$P$4:$AC$4,0))</f>
        <v>2200</v>
      </c>
      <c r="K53" s="32">
        <f>INDEX('Campus Enrol Disaggregation'!$P$5:$AC$75,MATCH(Export_ControlTot!$A53,'Campus Enrol Disaggregation'!$O$5:$O$75,0),MATCH(K$1,'Campus Enrol Disaggregation'!$P$4:$AC$4,0))</f>
        <v>2000</v>
      </c>
      <c r="L53" s="32">
        <f>INDEX('Campus Enrol Disaggregation'!$P$5:$AC$75,MATCH(Export_ControlTot!$A53,'Campus Enrol Disaggregation'!$O$5:$O$75,0),MATCH(L$1,'Campus Enrol Disaggregation'!$P$4:$AC$4,0))</f>
        <v>2900</v>
      </c>
      <c r="M53" s="32">
        <f>INDEX('Campus Enrol Disaggregation'!$P$5:$AC$75,MATCH(Export_ControlTot!$A53,'Campus Enrol Disaggregation'!$O$5:$O$75,0),MATCH(M$1,'Campus Enrol Disaggregation'!$P$4:$AC$4,0))</f>
        <v>31750</v>
      </c>
      <c r="N53" s="32">
        <f>INDEX('Campus Enrol Disaggregation'!$P$5:$AC$75,MATCH(Export_ControlTot!$A53,'Campus Enrol Disaggregation'!$O$5:$O$75,0),MATCH(N$1,'Campus Enrol Disaggregation'!$P$4:$AC$4,0))</f>
        <v>6350</v>
      </c>
      <c r="O53" s="32">
        <f>INDEX('Campus Enrol Disaggregation'!$P$5:$AC$75,MATCH(Export_ControlTot!$A53,'Campus Enrol Disaggregation'!$O$5:$O$75,0),MATCH(O$1,'Campus Enrol Disaggregation'!$P$4:$AC$4,0))</f>
        <v>2350</v>
      </c>
    </row>
    <row r="54" spans="1:15">
      <c r="A54" s="3">
        <v>2042</v>
      </c>
      <c r="B54" s="32">
        <f>INDEX('Campus Enrol Disaggregation'!$P$5:$AC$75,MATCH(Export_ControlTot!$A54,'Campus Enrol Disaggregation'!$O$5:$O$75,0),MATCH(B$1,'Campus Enrol Disaggregation'!$P$4:$AC$4,0))</f>
        <v>38100</v>
      </c>
      <c r="C54" s="32">
        <f>INDEX('Campus Enrol Disaggregation'!$P$5:$AC$75,MATCH(Export_ControlTot!$A54,'Campus Enrol Disaggregation'!$O$5:$O$75,0),MATCH(C$1,'Campus Enrol Disaggregation'!$P$4:$AC$4,0))</f>
        <v>2550</v>
      </c>
      <c r="D54" s="32">
        <f>INDEX('Campus Enrol Disaggregation'!$P$5:$AC$75,MATCH(Export_ControlTot!$A54,'Campus Enrol Disaggregation'!$O$5:$O$75,0),MATCH(D$1,'Campus Enrol Disaggregation'!$P$4:$AC$4,0))</f>
        <v>25250</v>
      </c>
      <c r="E54" s="32">
        <f>INDEX('Campus Enrol Disaggregation'!$P$5:$AC$75,MATCH(Export_ControlTot!$A54,'Campus Enrol Disaggregation'!$O$5:$O$75,0),MATCH(E$1,'Campus Enrol Disaggregation'!$P$4:$AC$4,0))</f>
        <v>4950</v>
      </c>
      <c r="F54" s="32">
        <f>INDEX('Campus Enrol Disaggregation'!$P$5:$AC$75,MATCH(Export_ControlTot!$A54,'Campus Enrol Disaggregation'!$O$5:$O$75,0),MATCH(F$1,'Campus Enrol Disaggregation'!$P$4:$AC$4,0))</f>
        <v>600</v>
      </c>
      <c r="G54" s="32">
        <f>INDEX('Campus Enrol Disaggregation'!$P$5:$AC$75,MATCH(Export_ControlTot!$A54,'Campus Enrol Disaggregation'!$O$5:$O$75,0),MATCH(G$1,'Campus Enrol Disaggregation'!$P$4:$AC$4,0))</f>
        <v>3750</v>
      </c>
      <c r="H54" s="32">
        <f>INDEX('Campus Enrol Disaggregation'!$P$5:$AC$75,MATCH(Export_ControlTot!$A54,'Campus Enrol Disaggregation'!$O$5:$O$75,0),MATCH(H$1,'Campus Enrol Disaggregation'!$P$4:$AC$4,0))</f>
        <v>40250</v>
      </c>
      <c r="I54" s="32">
        <f>INDEX('Campus Enrol Disaggregation'!$P$5:$AC$75,MATCH(Export_ControlTot!$A54,'Campus Enrol Disaggregation'!$O$5:$O$75,0),MATCH(I$1,'Campus Enrol Disaggregation'!$P$4:$AC$4,0))</f>
        <v>60700</v>
      </c>
      <c r="J54" s="32">
        <f>INDEX('Campus Enrol Disaggregation'!$P$5:$AC$75,MATCH(Export_ControlTot!$A54,'Campus Enrol Disaggregation'!$O$5:$O$75,0),MATCH(J$1,'Campus Enrol Disaggregation'!$P$4:$AC$4,0))</f>
        <v>2250</v>
      </c>
      <c r="K54" s="32">
        <f>INDEX('Campus Enrol Disaggregation'!$P$5:$AC$75,MATCH(Export_ControlTot!$A54,'Campus Enrol Disaggregation'!$O$5:$O$75,0),MATCH(K$1,'Campus Enrol Disaggregation'!$P$4:$AC$4,0))</f>
        <v>2100</v>
      </c>
      <c r="L54" s="32">
        <f>INDEX('Campus Enrol Disaggregation'!$P$5:$AC$75,MATCH(Export_ControlTot!$A54,'Campus Enrol Disaggregation'!$O$5:$O$75,0),MATCH(L$1,'Campus Enrol Disaggregation'!$P$4:$AC$4,0))</f>
        <v>3050</v>
      </c>
      <c r="M54" s="32">
        <f>INDEX('Campus Enrol Disaggregation'!$P$5:$AC$75,MATCH(Export_ControlTot!$A54,'Campus Enrol Disaggregation'!$O$5:$O$75,0),MATCH(M$1,'Campus Enrol Disaggregation'!$P$4:$AC$4,0))</f>
        <v>32150</v>
      </c>
      <c r="N54" s="32">
        <f>INDEX('Campus Enrol Disaggregation'!$P$5:$AC$75,MATCH(Export_ControlTot!$A54,'Campus Enrol Disaggregation'!$O$5:$O$75,0),MATCH(N$1,'Campus Enrol Disaggregation'!$P$4:$AC$4,0))</f>
        <v>6450</v>
      </c>
      <c r="O54" s="32">
        <f>INDEX('Campus Enrol Disaggregation'!$P$5:$AC$75,MATCH(Export_ControlTot!$A54,'Campus Enrol Disaggregation'!$O$5:$O$75,0),MATCH(O$1,'Campus Enrol Disaggregation'!$P$4:$AC$4,0))</f>
        <v>2400</v>
      </c>
    </row>
    <row r="55" spans="1:15">
      <c r="A55" s="3">
        <v>2043</v>
      </c>
      <c r="B55" s="32">
        <f>INDEX('Campus Enrol Disaggregation'!$P$5:$AC$75,MATCH(Export_ControlTot!$A55,'Campus Enrol Disaggregation'!$O$5:$O$75,0),MATCH(B$1,'Campus Enrol Disaggregation'!$P$4:$AC$4,0))</f>
        <v>38150</v>
      </c>
      <c r="C55" s="32">
        <f>INDEX('Campus Enrol Disaggregation'!$P$5:$AC$75,MATCH(Export_ControlTot!$A55,'Campus Enrol Disaggregation'!$O$5:$O$75,0),MATCH(C$1,'Campus Enrol Disaggregation'!$P$4:$AC$4,0))</f>
        <v>2600</v>
      </c>
      <c r="D55" s="32">
        <f>INDEX('Campus Enrol Disaggregation'!$P$5:$AC$75,MATCH(Export_ControlTot!$A55,'Campus Enrol Disaggregation'!$O$5:$O$75,0),MATCH(D$1,'Campus Enrol Disaggregation'!$P$4:$AC$4,0))</f>
        <v>25500</v>
      </c>
      <c r="E55" s="32">
        <f>INDEX('Campus Enrol Disaggregation'!$P$5:$AC$75,MATCH(Export_ControlTot!$A55,'Campus Enrol Disaggregation'!$O$5:$O$75,0),MATCH(E$1,'Campus Enrol Disaggregation'!$P$4:$AC$4,0))</f>
        <v>4950</v>
      </c>
      <c r="F55" s="32">
        <f>INDEX('Campus Enrol Disaggregation'!$P$5:$AC$75,MATCH(Export_ControlTot!$A55,'Campus Enrol Disaggregation'!$O$5:$O$75,0),MATCH(F$1,'Campus Enrol Disaggregation'!$P$4:$AC$4,0))</f>
        <v>600</v>
      </c>
      <c r="G55" s="32">
        <f>INDEX('Campus Enrol Disaggregation'!$P$5:$AC$75,MATCH(Export_ControlTot!$A55,'Campus Enrol Disaggregation'!$O$5:$O$75,0),MATCH(G$1,'Campus Enrol Disaggregation'!$P$4:$AC$4,0))</f>
        <v>3800</v>
      </c>
      <c r="H55" s="32">
        <f>INDEX('Campus Enrol Disaggregation'!$P$5:$AC$75,MATCH(Export_ControlTot!$A55,'Campus Enrol Disaggregation'!$O$5:$O$75,0),MATCH(H$1,'Campus Enrol Disaggregation'!$P$4:$AC$4,0))</f>
        <v>40550</v>
      </c>
      <c r="I55" s="32">
        <f>INDEX('Campus Enrol Disaggregation'!$P$5:$AC$75,MATCH(Export_ControlTot!$A55,'Campus Enrol Disaggregation'!$O$5:$O$75,0),MATCH(I$1,'Campus Enrol Disaggregation'!$P$4:$AC$4,0))</f>
        <v>61600</v>
      </c>
      <c r="J55" s="32">
        <f>INDEX('Campus Enrol Disaggregation'!$P$5:$AC$75,MATCH(Export_ControlTot!$A55,'Campus Enrol Disaggregation'!$O$5:$O$75,0),MATCH(J$1,'Campus Enrol Disaggregation'!$P$4:$AC$4,0))</f>
        <v>2300</v>
      </c>
      <c r="K55" s="32">
        <f>INDEX('Campus Enrol Disaggregation'!$P$5:$AC$75,MATCH(Export_ControlTot!$A55,'Campus Enrol Disaggregation'!$O$5:$O$75,0),MATCH(K$1,'Campus Enrol Disaggregation'!$P$4:$AC$4,0))</f>
        <v>2200</v>
      </c>
      <c r="L55" s="32">
        <f>INDEX('Campus Enrol Disaggregation'!$P$5:$AC$75,MATCH(Export_ControlTot!$A55,'Campus Enrol Disaggregation'!$O$5:$O$75,0),MATCH(L$1,'Campus Enrol Disaggregation'!$P$4:$AC$4,0))</f>
        <v>3200</v>
      </c>
      <c r="M55" s="32">
        <f>INDEX('Campus Enrol Disaggregation'!$P$5:$AC$75,MATCH(Export_ControlTot!$A55,'Campus Enrol Disaggregation'!$O$5:$O$75,0),MATCH(M$1,'Campus Enrol Disaggregation'!$P$4:$AC$4,0))</f>
        <v>32500</v>
      </c>
      <c r="N55" s="32">
        <f>INDEX('Campus Enrol Disaggregation'!$P$5:$AC$75,MATCH(Export_ControlTot!$A55,'Campus Enrol Disaggregation'!$O$5:$O$75,0),MATCH(N$1,'Campus Enrol Disaggregation'!$P$4:$AC$4,0))</f>
        <v>6500</v>
      </c>
      <c r="O55" s="32">
        <f>INDEX('Campus Enrol Disaggregation'!$P$5:$AC$75,MATCH(Export_ControlTot!$A55,'Campus Enrol Disaggregation'!$O$5:$O$75,0),MATCH(O$1,'Campus Enrol Disaggregation'!$P$4:$AC$4,0))</f>
        <v>2450</v>
      </c>
    </row>
    <row r="56" spans="1:15">
      <c r="A56" s="3">
        <v>2044</v>
      </c>
      <c r="B56" s="32">
        <f>INDEX('Campus Enrol Disaggregation'!$P$5:$AC$75,MATCH(Export_ControlTot!$A56,'Campus Enrol Disaggregation'!$O$5:$O$75,0),MATCH(B$1,'Campus Enrol Disaggregation'!$P$4:$AC$4,0))</f>
        <v>38500</v>
      </c>
      <c r="C56" s="32">
        <f>INDEX('Campus Enrol Disaggregation'!$P$5:$AC$75,MATCH(Export_ControlTot!$A56,'Campus Enrol Disaggregation'!$O$5:$O$75,0),MATCH(C$1,'Campus Enrol Disaggregation'!$P$4:$AC$4,0))</f>
        <v>2650</v>
      </c>
      <c r="D56" s="32">
        <f>INDEX('Campus Enrol Disaggregation'!$P$5:$AC$75,MATCH(Export_ControlTot!$A56,'Campus Enrol Disaggregation'!$O$5:$O$75,0),MATCH(D$1,'Campus Enrol Disaggregation'!$P$4:$AC$4,0))</f>
        <v>25750</v>
      </c>
      <c r="E56" s="32">
        <f>INDEX('Campus Enrol Disaggregation'!$P$5:$AC$75,MATCH(Export_ControlTot!$A56,'Campus Enrol Disaggregation'!$O$5:$O$75,0),MATCH(E$1,'Campus Enrol Disaggregation'!$P$4:$AC$4,0))</f>
        <v>5000</v>
      </c>
      <c r="F56" s="32">
        <f>INDEX('Campus Enrol Disaggregation'!$P$5:$AC$75,MATCH(Export_ControlTot!$A56,'Campus Enrol Disaggregation'!$O$5:$O$75,0),MATCH(F$1,'Campus Enrol Disaggregation'!$P$4:$AC$4,0))</f>
        <v>600</v>
      </c>
      <c r="G56" s="32">
        <f>INDEX('Campus Enrol Disaggregation'!$P$5:$AC$75,MATCH(Export_ControlTot!$A56,'Campus Enrol Disaggregation'!$O$5:$O$75,0),MATCH(G$1,'Campus Enrol Disaggregation'!$P$4:$AC$4,0))</f>
        <v>3850</v>
      </c>
      <c r="H56" s="32">
        <f>INDEX('Campus Enrol Disaggregation'!$P$5:$AC$75,MATCH(Export_ControlTot!$A56,'Campus Enrol Disaggregation'!$O$5:$O$75,0),MATCH(H$1,'Campus Enrol Disaggregation'!$P$4:$AC$4,0))</f>
        <v>40800</v>
      </c>
      <c r="I56" s="32">
        <f>INDEX('Campus Enrol Disaggregation'!$P$5:$AC$75,MATCH(Export_ControlTot!$A56,'Campus Enrol Disaggregation'!$O$5:$O$75,0),MATCH(I$1,'Campus Enrol Disaggregation'!$P$4:$AC$4,0))</f>
        <v>62500</v>
      </c>
      <c r="J56" s="32">
        <f>INDEX('Campus Enrol Disaggregation'!$P$5:$AC$75,MATCH(Export_ControlTot!$A56,'Campus Enrol Disaggregation'!$O$5:$O$75,0),MATCH(J$1,'Campus Enrol Disaggregation'!$P$4:$AC$4,0))</f>
        <v>2350</v>
      </c>
      <c r="K56" s="32">
        <f>INDEX('Campus Enrol Disaggregation'!$P$5:$AC$75,MATCH(Export_ControlTot!$A56,'Campus Enrol Disaggregation'!$O$5:$O$75,0),MATCH(K$1,'Campus Enrol Disaggregation'!$P$4:$AC$4,0))</f>
        <v>2350</v>
      </c>
      <c r="L56" s="32">
        <f>INDEX('Campus Enrol Disaggregation'!$P$5:$AC$75,MATCH(Export_ControlTot!$A56,'Campus Enrol Disaggregation'!$O$5:$O$75,0),MATCH(L$1,'Campus Enrol Disaggregation'!$P$4:$AC$4,0))</f>
        <v>3350</v>
      </c>
      <c r="M56" s="32">
        <f>INDEX('Campus Enrol Disaggregation'!$P$5:$AC$75,MATCH(Export_ControlTot!$A56,'Campus Enrol Disaggregation'!$O$5:$O$75,0),MATCH(M$1,'Campus Enrol Disaggregation'!$P$4:$AC$4,0))</f>
        <v>32900</v>
      </c>
      <c r="N56" s="32">
        <f>INDEX('Campus Enrol Disaggregation'!$P$5:$AC$75,MATCH(Export_ControlTot!$A56,'Campus Enrol Disaggregation'!$O$5:$O$75,0),MATCH(N$1,'Campus Enrol Disaggregation'!$P$4:$AC$4,0))</f>
        <v>6600</v>
      </c>
      <c r="O56" s="32">
        <f>INDEX('Campus Enrol Disaggregation'!$P$5:$AC$75,MATCH(Export_ControlTot!$A56,'Campus Enrol Disaggregation'!$O$5:$O$75,0),MATCH(O$1,'Campus Enrol Disaggregation'!$P$4:$AC$4,0))</f>
        <v>2500</v>
      </c>
    </row>
    <row r="57" spans="1:15">
      <c r="A57" s="3">
        <v>2045</v>
      </c>
      <c r="B57" s="32">
        <f>INDEX('Campus Enrol Disaggregation'!$P$5:$AC$75,MATCH(Export_ControlTot!$A57,'Campus Enrol Disaggregation'!$O$5:$O$75,0),MATCH(B$1,'Campus Enrol Disaggregation'!$P$4:$AC$4,0))</f>
        <v>38900</v>
      </c>
      <c r="C57" s="32">
        <f>INDEX('Campus Enrol Disaggregation'!$P$5:$AC$75,MATCH(Export_ControlTot!$A57,'Campus Enrol Disaggregation'!$O$5:$O$75,0),MATCH(C$1,'Campus Enrol Disaggregation'!$P$4:$AC$4,0))</f>
        <v>2650</v>
      </c>
      <c r="D57" s="32">
        <f>INDEX('Campus Enrol Disaggregation'!$P$5:$AC$75,MATCH(Export_ControlTot!$A57,'Campus Enrol Disaggregation'!$O$5:$O$75,0),MATCH(D$1,'Campus Enrol Disaggregation'!$P$4:$AC$4,0))</f>
        <v>25950</v>
      </c>
      <c r="E57" s="32">
        <f>INDEX('Campus Enrol Disaggregation'!$P$5:$AC$75,MATCH(Export_ControlTot!$A57,'Campus Enrol Disaggregation'!$O$5:$O$75,0),MATCH(E$1,'Campus Enrol Disaggregation'!$P$4:$AC$4,0))</f>
        <v>5050</v>
      </c>
      <c r="F57" s="32">
        <f>INDEX('Campus Enrol Disaggregation'!$P$5:$AC$75,MATCH(Export_ControlTot!$A57,'Campus Enrol Disaggregation'!$O$5:$O$75,0),MATCH(F$1,'Campus Enrol Disaggregation'!$P$4:$AC$4,0))</f>
        <v>600</v>
      </c>
      <c r="G57" s="32">
        <f>INDEX('Campus Enrol Disaggregation'!$P$5:$AC$75,MATCH(Export_ControlTot!$A57,'Campus Enrol Disaggregation'!$O$5:$O$75,0),MATCH(G$1,'Campus Enrol Disaggregation'!$P$4:$AC$4,0))</f>
        <v>3850</v>
      </c>
      <c r="H57" s="32">
        <f>INDEX('Campus Enrol Disaggregation'!$P$5:$AC$75,MATCH(Export_ControlTot!$A57,'Campus Enrol Disaggregation'!$O$5:$O$75,0),MATCH(H$1,'Campus Enrol Disaggregation'!$P$4:$AC$4,0))</f>
        <v>41100</v>
      </c>
      <c r="I57" s="32">
        <f>INDEX('Campus Enrol Disaggregation'!$P$5:$AC$75,MATCH(Export_ControlTot!$A57,'Campus Enrol Disaggregation'!$O$5:$O$75,0),MATCH(I$1,'Campus Enrol Disaggregation'!$P$4:$AC$4,0))</f>
        <v>63450</v>
      </c>
      <c r="J57" s="32">
        <f>INDEX('Campus Enrol Disaggregation'!$P$5:$AC$75,MATCH(Export_ControlTot!$A57,'Campus Enrol Disaggregation'!$O$5:$O$75,0),MATCH(J$1,'Campus Enrol Disaggregation'!$P$4:$AC$4,0))</f>
        <v>2400</v>
      </c>
      <c r="K57" s="32">
        <f>INDEX('Campus Enrol Disaggregation'!$P$5:$AC$75,MATCH(Export_ControlTot!$A57,'Campus Enrol Disaggregation'!$O$5:$O$75,0),MATCH(K$1,'Campus Enrol Disaggregation'!$P$4:$AC$4,0))</f>
        <v>2450</v>
      </c>
      <c r="L57" s="32">
        <f>INDEX('Campus Enrol Disaggregation'!$P$5:$AC$75,MATCH(Export_ControlTot!$A57,'Campus Enrol Disaggregation'!$O$5:$O$75,0),MATCH(L$1,'Campus Enrol Disaggregation'!$P$4:$AC$4,0))</f>
        <v>3500</v>
      </c>
      <c r="M57" s="32">
        <f>INDEX('Campus Enrol Disaggregation'!$P$5:$AC$75,MATCH(Export_ControlTot!$A57,'Campus Enrol Disaggregation'!$O$5:$O$75,0),MATCH(M$1,'Campus Enrol Disaggregation'!$P$4:$AC$4,0))</f>
        <v>33250</v>
      </c>
      <c r="N57" s="32">
        <f>INDEX('Campus Enrol Disaggregation'!$P$5:$AC$75,MATCH(Export_ControlTot!$A57,'Campus Enrol Disaggregation'!$O$5:$O$75,0),MATCH(N$1,'Campus Enrol Disaggregation'!$P$4:$AC$4,0))</f>
        <v>6700</v>
      </c>
      <c r="O57" s="32">
        <f>INDEX('Campus Enrol Disaggregation'!$P$5:$AC$75,MATCH(Export_ControlTot!$A57,'Campus Enrol Disaggregation'!$O$5:$O$75,0),MATCH(O$1,'Campus Enrol Disaggregation'!$P$4:$AC$4,0))</f>
        <v>2600</v>
      </c>
    </row>
    <row r="58" spans="1:15">
      <c r="A58" s="3">
        <v>2046</v>
      </c>
      <c r="B58" s="32">
        <f>INDEX('Campus Enrol Disaggregation'!$P$5:$AC$75,MATCH(Export_ControlTot!$A58,'Campus Enrol Disaggregation'!$O$5:$O$75,0),MATCH(B$1,'Campus Enrol Disaggregation'!$P$4:$AC$4,0))</f>
        <v>39300</v>
      </c>
      <c r="C58" s="32">
        <f>INDEX('Campus Enrol Disaggregation'!$P$5:$AC$75,MATCH(Export_ControlTot!$A58,'Campus Enrol Disaggregation'!$O$5:$O$75,0),MATCH(C$1,'Campus Enrol Disaggregation'!$P$4:$AC$4,0))</f>
        <v>2700</v>
      </c>
      <c r="D58" s="32">
        <f>INDEX('Campus Enrol Disaggregation'!$P$5:$AC$75,MATCH(Export_ControlTot!$A58,'Campus Enrol Disaggregation'!$O$5:$O$75,0),MATCH(D$1,'Campus Enrol Disaggregation'!$P$4:$AC$4,0))</f>
        <v>26200</v>
      </c>
      <c r="E58" s="32">
        <f>INDEX('Campus Enrol Disaggregation'!$P$5:$AC$75,MATCH(Export_ControlTot!$A58,'Campus Enrol Disaggregation'!$O$5:$O$75,0),MATCH(E$1,'Campus Enrol Disaggregation'!$P$4:$AC$4,0))</f>
        <v>5100</v>
      </c>
      <c r="F58" s="32">
        <f>INDEX('Campus Enrol Disaggregation'!$P$5:$AC$75,MATCH(Export_ControlTot!$A58,'Campus Enrol Disaggregation'!$O$5:$O$75,0),MATCH(F$1,'Campus Enrol Disaggregation'!$P$4:$AC$4,0))</f>
        <v>600</v>
      </c>
      <c r="G58" s="32">
        <f>INDEX('Campus Enrol Disaggregation'!$P$5:$AC$75,MATCH(Export_ControlTot!$A58,'Campus Enrol Disaggregation'!$O$5:$O$75,0),MATCH(G$1,'Campus Enrol Disaggregation'!$P$4:$AC$4,0))</f>
        <v>3900</v>
      </c>
      <c r="H58" s="32">
        <f>INDEX('Campus Enrol Disaggregation'!$P$5:$AC$75,MATCH(Export_ControlTot!$A58,'Campus Enrol Disaggregation'!$O$5:$O$75,0),MATCH(H$1,'Campus Enrol Disaggregation'!$P$4:$AC$4,0))</f>
        <v>41400</v>
      </c>
      <c r="I58" s="32">
        <f>INDEX('Campus Enrol Disaggregation'!$P$5:$AC$75,MATCH(Export_ControlTot!$A58,'Campus Enrol Disaggregation'!$O$5:$O$75,0),MATCH(I$1,'Campus Enrol Disaggregation'!$P$4:$AC$4,0))</f>
        <v>64350</v>
      </c>
      <c r="J58" s="32">
        <f>INDEX('Campus Enrol Disaggregation'!$P$5:$AC$75,MATCH(Export_ControlTot!$A58,'Campus Enrol Disaggregation'!$O$5:$O$75,0),MATCH(J$1,'Campus Enrol Disaggregation'!$P$4:$AC$4,0))</f>
        <v>2450</v>
      </c>
      <c r="K58" s="32">
        <f>INDEX('Campus Enrol Disaggregation'!$P$5:$AC$75,MATCH(Export_ControlTot!$A58,'Campus Enrol Disaggregation'!$O$5:$O$75,0),MATCH(K$1,'Campus Enrol Disaggregation'!$P$4:$AC$4,0))</f>
        <v>2550</v>
      </c>
      <c r="L58" s="32">
        <f>INDEX('Campus Enrol Disaggregation'!$P$5:$AC$75,MATCH(Export_ControlTot!$A58,'Campus Enrol Disaggregation'!$O$5:$O$75,0),MATCH(L$1,'Campus Enrol Disaggregation'!$P$4:$AC$4,0))</f>
        <v>3650</v>
      </c>
      <c r="M58" s="32">
        <f>INDEX('Campus Enrol Disaggregation'!$P$5:$AC$75,MATCH(Export_ControlTot!$A58,'Campus Enrol Disaggregation'!$O$5:$O$75,0),MATCH(M$1,'Campus Enrol Disaggregation'!$P$4:$AC$4,0))</f>
        <v>33650</v>
      </c>
      <c r="N58" s="32">
        <f>INDEX('Campus Enrol Disaggregation'!$P$5:$AC$75,MATCH(Export_ControlTot!$A58,'Campus Enrol Disaggregation'!$O$5:$O$75,0),MATCH(N$1,'Campus Enrol Disaggregation'!$P$4:$AC$4,0))</f>
        <v>6750</v>
      </c>
      <c r="O58" s="32">
        <f>INDEX('Campus Enrol Disaggregation'!$P$5:$AC$75,MATCH(Export_ControlTot!$A58,'Campus Enrol Disaggregation'!$O$5:$O$75,0),MATCH(O$1,'Campus Enrol Disaggregation'!$P$4:$AC$4,0))</f>
        <v>2650</v>
      </c>
    </row>
    <row r="59" spans="1:15">
      <c r="A59" s="3">
        <v>2047</v>
      </c>
      <c r="B59" s="32">
        <f>INDEX('Campus Enrol Disaggregation'!$P$5:$AC$75,MATCH(Export_ControlTot!$A59,'Campus Enrol Disaggregation'!$O$5:$O$75,0),MATCH(B$1,'Campus Enrol Disaggregation'!$P$4:$AC$4,0))</f>
        <v>39300</v>
      </c>
      <c r="C59" s="32">
        <f>INDEX('Campus Enrol Disaggregation'!$P$5:$AC$75,MATCH(Export_ControlTot!$A59,'Campus Enrol Disaggregation'!$O$5:$O$75,0),MATCH(C$1,'Campus Enrol Disaggregation'!$P$4:$AC$4,0))</f>
        <v>2750</v>
      </c>
      <c r="D59" s="32">
        <f>INDEX('Campus Enrol Disaggregation'!$P$5:$AC$75,MATCH(Export_ControlTot!$A59,'Campus Enrol Disaggregation'!$O$5:$O$75,0),MATCH(D$1,'Campus Enrol Disaggregation'!$P$4:$AC$4,0))</f>
        <v>26400</v>
      </c>
      <c r="E59" s="32">
        <f>INDEX('Campus Enrol Disaggregation'!$P$5:$AC$75,MATCH(Export_ControlTot!$A59,'Campus Enrol Disaggregation'!$O$5:$O$75,0),MATCH(E$1,'Campus Enrol Disaggregation'!$P$4:$AC$4,0))</f>
        <v>5150</v>
      </c>
      <c r="F59" s="32">
        <f>INDEX('Campus Enrol Disaggregation'!$P$5:$AC$75,MATCH(Export_ControlTot!$A59,'Campus Enrol Disaggregation'!$O$5:$O$75,0),MATCH(F$1,'Campus Enrol Disaggregation'!$P$4:$AC$4,0))</f>
        <v>600</v>
      </c>
      <c r="G59" s="32">
        <f>INDEX('Campus Enrol Disaggregation'!$P$5:$AC$75,MATCH(Export_ControlTot!$A59,'Campus Enrol Disaggregation'!$O$5:$O$75,0),MATCH(G$1,'Campus Enrol Disaggregation'!$P$4:$AC$4,0))</f>
        <v>3950</v>
      </c>
      <c r="H59" s="32">
        <f>INDEX('Campus Enrol Disaggregation'!$P$5:$AC$75,MATCH(Export_ControlTot!$A59,'Campus Enrol Disaggregation'!$O$5:$O$75,0),MATCH(H$1,'Campus Enrol Disaggregation'!$P$4:$AC$4,0))</f>
        <v>41700</v>
      </c>
      <c r="I59" s="32">
        <f>INDEX('Campus Enrol Disaggregation'!$P$5:$AC$75,MATCH(Export_ControlTot!$A59,'Campus Enrol Disaggregation'!$O$5:$O$75,0),MATCH(I$1,'Campus Enrol Disaggregation'!$P$4:$AC$4,0))</f>
        <v>65250</v>
      </c>
      <c r="J59" s="32">
        <f>INDEX('Campus Enrol Disaggregation'!$P$5:$AC$75,MATCH(Export_ControlTot!$A59,'Campus Enrol Disaggregation'!$O$5:$O$75,0),MATCH(J$1,'Campus Enrol Disaggregation'!$P$4:$AC$4,0))</f>
        <v>2450</v>
      </c>
      <c r="K59" s="32">
        <f>INDEX('Campus Enrol Disaggregation'!$P$5:$AC$75,MATCH(Export_ControlTot!$A59,'Campus Enrol Disaggregation'!$O$5:$O$75,0),MATCH(K$1,'Campus Enrol Disaggregation'!$P$4:$AC$4,0))</f>
        <v>2650</v>
      </c>
      <c r="L59" s="32">
        <f>INDEX('Campus Enrol Disaggregation'!$P$5:$AC$75,MATCH(Export_ControlTot!$A59,'Campus Enrol Disaggregation'!$O$5:$O$75,0),MATCH(L$1,'Campus Enrol Disaggregation'!$P$4:$AC$4,0))</f>
        <v>3800</v>
      </c>
      <c r="M59" s="32">
        <f>INDEX('Campus Enrol Disaggregation'!$P$5:$AC$75,MATCH(Export_ControlTot!$A59,'Campus Enrol Disaggregation'!$O$5:$O$75,0),MATCH(M$1,'Campus Enrol Disaggregation'!$P$4:$AC$4,0))</f>
        <v>34050</v>
      </c>
      <c r="N59" s="32">
        <f>INDEX('Campus Enrol Disaggregation'!$P$5:$AC$75,MATCH(Export_ControlTot!$A59,'Campus Enrol Disaggregation'!$O$5:$O$75,0),MATCH(N$1,'Campus Enrol Disaggregation'!$P$4:$AC$4,0))</f>
        <v>6850</v>
      </c>
      <c r="O59" s="32">
        <f>INDEX('Campus Enrol Disaggregation'!$P$5:$AC$75,MATCH(Export_ControlTot!$A59,'Campus Enrol Disaggregation'!$O$5:$O$75,0),MATCH(O$1,'Campus Enrol Disaggregation'!$P$4:$AC$4,0))</f>
        <v>2700</v>
      </c>
    </row>
    <row r="60" spans="1:15">
      <c r="A60" s="3">
        <v>2048</v>
      </c>
      <c r="B60" s="32">
        <f>INDEX('Campus Enrol Disaggregation'!$P$5:$AC$75,MATCH(Export_ControlTot!$A60,'Campus Enrol Disaggregation'!$O$5:$O$75,0),MATCH(B$1,'Campus Enrol Disaggregation'!$P$4:$AC$4,0))</f>
        <v>39300</v>
      </c>
      <c r="C60" s="32">
        <f>INDEX('Campus Enrol Disaggregation'!$P$5:$AC$75,MATCH(Export_ControlTot!$A60,'Campus Enrol Disaggregation'!$O$5:$O$75,0),MATCH(C$1,'Campus Enrol Disaggregation'!$P$4:$AC$4,0))</f>
        <v>2800</v>
      </c>
      <c r="D60" s="32">
        <f>INDEX('Campus Enrol Disaggregation'!$P$5:$AC$75,MATCH(Export_ControlTot!$A60,'Campus Enrol Disaggregation'!$O$5:$O$75,0),MATCH(D$1,'Campus Enrol Disaggregation'!$P$4:$AC$4,0))</f>
        <v>26650</v>
      </c>
      <c r="E60" s="32">
        <f>INDEX('Campus Enrol Disaggregation'!$P$5:$AC$75,MATCH(Export_ControlTot!$A60,'Campus Enrol Disaggregation'!$O$5:$O$75,0),MATCH(E$1,'Campus Enrol Disaggregation'!$P$4:$AC$4,0))</f>
        <v>5200</v>
      </c>
      <c r="F60" s="32">
        <f>INDEX('Campus Enrol Disaggregation'!$P$5:$AC$75,MATCH(Export_ControlTot!$A60,'Campus Enrol Disaggregation'!$O$5:$O$75,0),MATCH(F$1,'Campus Enrol Disaggregation'!$P$4:$AC$4,0))</f>
        <v>650</v>
      </c>
      <c r="G60" s="32">
        <f>INDEX('Campus Enrol Disaggregation'!$P$5:$AC$75,MATCH(Export_ControlTot!$A60,'Campus Enrol Disaggregation'!$O$5:$O$75,0),MATCH(G$1,'Campus Enrol Disaggregation'!$P$4:$AC$4,0))</f>
        <v>3950</v>
      </c>
      <c r="H60" s="32">
        <f>INDEX('Campus Enrol Disaggregation'!$P$5:$AC$75,MATCH(Export_ControlTot!$A60,'Campus Enrol Disaggregation'!$O$5:$O$75,0),MATCH(H$1,'Campus Enrol Disaggregation'!$P$4:$AC$4,0))</f>
        <v>42000</v>
      </c>
      <c r="I60" s="32">
        <f>INDEX('Campus Enrol Disaggregation'!$P$5:$AC$75,MATCH(Export_ControlTot!$A60,'Campus Enrol Disaggregation'!$O$5:$O$75,0),MATCH(I$1,'Campus Enrol Disaggregation'!$P$4:$AC$4,0))</f>
        <v>66150</v>
      </c>
      <c r="J60" s="32">
        <f>INDEX('Campus Enrol Disaggregation'!$P$5:$AC$75,MATCH(Export_ControlTot!$A60,'Campus Enrol Disaggregation'!$O$5:$O$75,0),MATCH(J$1,'Campus Enrol Disaggregation'!$P$4:$AC$4,0))</f>
        <v>2500</v>
      </c>
      <c r="K60" s="32">
        <f>INDEX('Campus Enrol Disaggregation'!$P$5:$AC$75,MATCH(Export_ControlTot!$A60,'Campus Enrol Disaggregation'!$O$5:$O$75,0),MATCH(K$1,'Campus Enrol Disaggregation'!$P$4:$AC$4,0))</f>
        <v>2800</v>
      </c>
      <c r="L60" s="32">
        <f>INDEX('Campus Enrol Disaggregation'!$P$5:$AC$75,MATCH(Export_ControlTot!$A60,'Campus Enrol Disaggregation'!$O$5:$O$75,0),MATCH(L$1,'Campus Enrol Disaggregation'!$P$4:$AC$4,0))</f>
        <v>3950</v>
      </c>
      <c r="M60" s="32">
        <f>INDEX('Campus Enrol Disaggregation'!$P$5:$AC$75,MATCH(Export_ControlTot!$A60,'Campus Enrol Disaggregation'!$O$5:$O$75,0),MATCH(M$1,'Campus Enrol Disaggregation'!$P$4:$AC$4,0))</f>
        <v>34400</v>
      </c>
      <c r="N60" s="32">
        <f>INDEX('Campus Enrol Disaggregation'!$P$5:$AC$75,MATCH(Export_ControlTot!$A60,'Campus Enrol Disaggregation'!$O$5:$O$75,0),MATCH(N$1,'Campus Enrol Disaggregation'!$P$4:$AC$4,0))</f>
        <v>6900</v>
      </c>
      <c r="O60" s="32">
        <f>INDEX('Campus Enrol Disaggregation'!$P$5:$AC$75,MATCH(Export_ControlTot!$A60,'Campus Enrol Disaggregation'!$O$5:$O$75,0),MATCH(O$1,'Campus Enrol Disaggregation'!$P$4:$AC$4,0))</f>
        <v>2750</v>
      </c>
    </row>
    <row r="61" spans="1:15">
      <c r="A61" s="3">
        <v>2049</v>
      </c>
      <c r="B61" s="32">
        <f>INDEX('Campus Enrol Disaggregation'!$P$5:$AC$75,MATCH(Export_ControlTot!$A61,'Campus Enrol Disaggregation'!$O$5:$O$75,0),MATCH(B$1,'Campus Enrol Disaggregation'!$P$4:$AC$4,0))</f>
        <v>39300</v>
      </c>
      <c r="C61" s="32">
        <f>INDEX('Campus Enrol Disaggregation'!$P$5:$AC$75,MATCH(Export_ControlTot!$A61,'Campus Enrol Disaggregation'!$O$5:$O$75,0),MATCH(C$1,'Campus Enrol Disaggregation'!$P$4:$AC$4,0))</f>
        <v>2800</v>
      </c>
      <c r="D61" s="32">
        <f>INDEX('Campus Enrol Disaggregation'!$P$5:$AC$75,MATCH(Export_ControlTot!$A61,'Campus Enrol Disaggregation'!$O$5:$O$75,0),MATCH(D$1,'Campus Enrol Disaggregation'!$P$4:$AC$4,0))</f>
        <v>26900</v>
      </c>
      <c r="E61" s="32">
        <f>INDEX('Campus Enrol Disaggregation'!$P$5:$AC$75,MATCH(Export_ControlTot!$A61,'Campus Enrol Disaggregation'!$O$5:$O$75,0),MATCH(E$1,'Campus Enrol Disaggregation'!$P$4:$AC$4,0))</f>
        <v>5250</v>
      </c>
      <c r="F61" s="32">
        <f>INDEX('Campus Enrol Disaggregation'!$P$5:$AC$75,MATCH(Export_ControlTot!$A61,'Campus Enrol Disaggregation'!$O$5:$O$75,0),MATCH(F$1,'Campus Enrol Disaggregation'!$P$4:$AC$4,0))</f>
        <v>650</v>
      </c>
      <c r="G61" s="32">
        <f>INDEX('Campus Enrol Disaggregation'!$P$5:$AC$75,MATCH(Export_ControlTot!$A61,'Campus Enrol Disaggregation'!$O$5:$O$75,0),MATCH(G$1,'Campus Enrol Disaggregation'!$P$4:$AC$4,0))</f>
        <v>4000</v>
      </c>
      <c r="H61" s="32">
        <f>INDEX('Campus Enrol Disaggregation'!$P$5:$AC$75,MATCH(Export_ControlTot!$A61,'Campus Enrol Disaggregation'!$O$5:$O$75,0),MATCH(H$1,'Campus Enrol Disaggregation'!$P$4:$AC$4,0))</f>
        <v>42300</v>
      </c>
      <c r="I61" s="32">
        <f>INDEX('Campus Enrol Disaggregation'!$P$5:$AC$75,MATCH(Export_ControlTot!$A61,'Campus Enrol Disaggregation'!$O$5:$O$75,0),MATCH(I$1,'Campus Enrol Disaggregation'!$P$4:$AC$4,0))</f>
        <v>67050</v>
      </c>
      <c r="J61" s="32">
        <f>INDEX('Campus Enrol Disaggregation'!$P$5:$AC$75,MATCH(Export_ControlTot!$A61,'Campus Enrol Disaggregation'!$O$5:$O$75,0),MATCH(J$1,'Campus Enrol Disaggregation'!$P$4:$AC$4,0))</f>
        <v>2550</v>
      </c>
      <c r="K61" s="32">
        <f>INDEX('Campus Enrol Disaggregation'!$P$5:$AC$75,MATCH(Export_ControlTot!$A61,'Campus Enrol Disaggregation'!$O$5:$O$75,0),MATCH(K$1,'Campus Enrol Disaggregation'!$P$4:$AC$4,0))</f>
        <v>2900</v>
      </c>
      <c r="L61" s="32">
        <f>INDEX('Campus Enrol Disaggregation'!$P$5:$AC$75,MATCH(Export_ControlTot!$A61,'Campus Enrol Disaggregation'!$O$5:$O$75,0),MATCH(L$1,'Campus Enrol Disaggregation'!$P$4:$AC$4,0))</f>
        <v>4100</v>
      </c>
      <c r="M61" s="32">
        <f>INDEX('Campus Enrol Disaggregation'!$P$5:$AC$75,MATCH(Export_ControlTot!$A61,'Campus Enrol Disaggregation'!$O$5:$O$75,0),MATCH(M$1,'Campus Enrol Disaggregation'!$P$4:$AC$4,0))</f>
        <v>34800</v>
      </c>
      <c r="N61" s="32">
        <f>INDEX('Campus Enrol Disaggregation'!$P$5:$AC$75,MATCH(Export_ControlTot!$A61,'Campus Enrol Disaggregation'!$O$5:$O$75,0),MATCH(N$1,'Campus Enrol Disaggregation'!$P$4:$AC$4,0))</f>
        <v>7000</v>
      </c>
      <c r="O61" s="32">
        <f>INDEX('Campus Enrol Disaggregation'!$P$5:$AC$75,MATCH(Export_ControlTot!$A61,'Campus Enrol Disaggregation'!$O$5:$O$75,0),MATCH(O$1,'Campus Enrol Disaggregation'!$P$4:$AC$4,0))</f>
        <v>2800</v>
      </c>
    </row>
    <row r="62" spans="1:15">
      <c r="A62" s="3">
        <v>2050</v>
      </c>
      <c r="B62" s="32">
        <f>INDEX('Campus Enrol Disaggregation'!$P$5:$AC$75,MATCH(Export_ControlTot!$A62,'Campus Enrol Disaggregation'!$O$5:$O$75,0),MATCH(B$1,'Campus Enrol Disaggregation'!$P$4:$AC$4,0))</f>
        <v>39300</v>
      </c>
      <c r="C62" s="32">
        <f>INDEX('Campus Enrol Disaggregation'!$P$5:$AC$75,MATCH(Export_ControlTot!$A62,'Campus Enrol Disaggregation'!$O$5:$O$75,0),MATCH(C$1,'Campus Enrol Disaggregation'!$P$4:$AC$4,0))</f>
        <v>2850</v>
      </c>
      <c r="D62" s="32">
        <f>INDEX('Campus Enrol Disaggregation'!$P$5:$AC$75,MATCH(Export_ControlTot!$A62,'Campus Enrol Disaggregation'!$O$5:$O$75,0),MATCH(D$1,'Campus Enrol Disaggregation'!$P$4:$AC$4,0))</f>
        <v>27100</v>
      </c>
      <c r="E62" s="32">
        <f>INDEX('Campus Enrol Disaggregation'!$P$5:$AC$75,MATCH(Export_ControlTot!$A62,'Campus Enrol Disaggregation'!$O$5:$O$75,0),MATCH(E$1,'Campus Enrol Disaggregation'!$P$4:$AC$4,0))</f>
        <v>5300</v>
      </c>
      <c r="F62" s="32">
        <f>INDEX('Campus Enrol Disaggregation'!$P$5:$AC$75,MATCH(Export_ControlTot!$A62,'Campus Enrol Disaggregation'!$O$5:$O$75,0),MATCH(F$1,'Campus Enrol Disaggregation'!$P$4:$AC$4,0))</f>
        <v>650</v>
      </c>
      <c r="G62" s="32">
        <f>INDEX('Campus Enrol Disaggregation'!$P$5:$AC$75,MATCH(Export_ControlTot!$A62,'Campus Enrol Disaggregation'!$O$5:$O$75,0),MATCH(G$1,'Campus Enrol Disaggregation'!$P$4:$AC$4,0))</f>
        <v>4050</v>
      </c>
      <c r="H62" s="32">
        <f>INDEX('Campus Enrol Disaggregation'!$P$5:$AC$75,MATCH(Export_ControlTot!$A62,'Campus Enrol Disaggregation'!$O$5:$O$75,0),MATCH(H$1,'Campus Enrol Disaggregation'!$P$4:$AC$4,0))</f>
        <v>42600</v>
      </c>
      <c r="I62" s="32">
        <f>INDEX('Campus Enrol Disaggregation'!$P$5:$AC$75,MATCH(Export_ControlTot!$A62,'Campus Enrol Disaggregation'!$O$5:$O$75,0),MATCH(I$1,'Campus Enrol Disaggregation'!$P$4:$AC$4,0))</f>
        <v>68000</v>
      </c>
      <c r="J62" s="32">
        <f>INDEX('Campus Enrol Disaggregation'!$P$5:$AC$75,MATCH(Export_ControlTot!$A62,'Campus Enrol Disaggregation'!$O$5:$O$75,0),MATCH(J$1,'Campus Enrol Disaggregation'!$P$4:$AC$4,0))</f>
        <v>2600</v>
      </c>
      <c r="K62" s="32">
        <f>INDEX('Campus Enrol Disaggregation'!$P$5:$AC$75,MATCH(Export_ControlTot!$A62,'Campus Enrol Disaggregation'!$O$5:$O$75,0),MATCH(K$1,'Campus Enrol Disaggregation'!$P$4:$AC$4,0))</f>
        <v>3000</v>
      </c>
      <c r="L62" s="32">
        <f>INDEX('Campus Enrol Disaggregation'!$P$5:$AC$75,MATCH(Export_ControlTot!$A62,'Campus Enrol Disaggregation'!$O$5:$O$75,0),MATCH(L$1,'Campus Enrol Disaggregation'!$P$4:$AC$4,0))</f>
        <v>4300</v>
      </c>
      <c r="M62" s="32">
        <f>INDEX('Campus Enrol Disaggregation'!$P$5:$AC$75,MATCH(Export_ControlTot!$A62,'Campus Enrol Disaggregation'!$O$5:$O$75,0),MATCH(M$1,'Campus Enrol Disaggregation'!$P$4:$AC$4,0))</f>
        <v>35150</v>
      </c>
      <c r="N62" s="32">
        <f>INDEX('Campus Enrol Disaggregation'!$P$5:$AC$75,MATCH(Export_ControlTot!$A62,'Campus Enrol Disaggregation'!$O$5:$O$75,0),MATCH(N$1,'Campus Enrol Disaggregation'!$P$4:$AC$4,0))</f>
        <v>7050</v>
      </c>
      <c r="O62" s="32">
        <f>INDEX('Campus Enrol Disaggregation'!$P$5:$AC$75,MATCH(Export_ControlTot!$A62,'Campus Enrol Disaggregation'!$O$5:$O$75,0),MATCH(O$1,'Campus Enrol Disaggregation'!$P$4:$AC$4,0))</f>
        <v>2900</v>
      </c>
    </row>
    <row r="63" spans="1:15">
      <c r="A63" s="3">
        <v>2051</v>
      </c>
      <c r="B63" s="32">
        <f>INDEX('Campus Enrol Disaggregation'!$P$5:$AC$75,MATCH(Export_ControlTot!$A63,'Campus Enrol Disaggregation'!$O$5:$O$75,0),MATCH(B$1,'Campus Enrol Disaggregation'!$P$4:$AC$4,0))</f>
        <v>39300</v>
      </c>
      <c r="C63" s="32">
        <f>INDEX('Campus Enrol Disaggregation'!$P$5:$AC$75,MATCH(Export_ControlTot!$A63,'Campus Enrol Disaggregation'!$O$5:$O$75,0),MATCH(C$1,'Campus Enrol Disaggregation'!$P$4:$AC$4,0))</f>
        <v>2900</v>
      </c>
      <c r="D63" s="32">
        <f>INDEX('Campus Enrol Disaggregation'!$P$5:$AC$75,MATCH(Export_ControlTot!$A63,'Campus Enrol Disaggregation'!$O$5:$O$75,0),MATCH(D$1,'Campus Enrol Disaggregation'!$P$4:$AC$4,0))</f>
        <v>27350</v>
      </c>
      <c r="E63" s="32">
        <f>INDEX('Campus Enrol Disaggregation'!$P$5:$AC$75,MATCH(Export_ControlTot!$A63,'Campus Enrol Disaggregation'!$O$5:$O$75,0),MATCH(E$1,'Campus Enrol Disaggregation'!$P$4:$AC$4,0))</f>
        <v>5350</v>
      </c>
      <c r="F63" s="32">
        <f>INDEX('Campus Enrol Disaggregation'!$P$5:$AC$75,MATCH(Export_ControlTot!$A63,'Campus Enrol Disaggregation'!$O$5:$O$75,0),MATCH(F$1,'Campus Enrol Disaggregation'!$P$4:$AC$4,0))</f>
        <v>650</v>
      </c>
      <c r="G63" s="32">
        <f>INDEX('Campus Enrol Disaggregation'!$P$5:$AC$75,MATCH(Export_ControlTot!$A63,'Campus Enrol Disaggregation'!$O$5:$O$75,0),MATCH(G$1,'Campus Enrol Disaggregation'!$P$4:$AC$4,0))</f>
        <v>4050</v>
      </c>
      <c r="H63" s="32">
        <f>INDEX('Campus Enrol Disaggregation'!$P$5:$AC$75,MATCH(Export_ControlTot!$A63,'Campus Enrol Disaggregation'!$O$5:$O$75,0),MATCH(H$1,'Campus Enrol Disaggregation'!$P$4:$AC$4,0))</f>
        <v>42850</v>
      </c>
      <c r="I63" s="32">
        <f>INDEX('Campus Enrol Disaggregation'!$P$5:$AC$75,MATCH(Export_ControlTot!$A63,'Campus Enrol Disaggregation'!$O$5:$O$75,0),MATCH(I$1,'Campus Enrol Disaggregation'!$P$4:$AC$4,0))</f>
        <v>68000</v>
      </c>
      <c r="J63" s="32">
        <f>INDEX('Campus Enrol Disaggregation'!$P$5:$AC$75,MATCH(Export_ControlTot!$A63,'Campus Enrol Disaggregation'!$O$5:$O$75,0),MATCH(J$1,'Campus Enrol Disaggregation'!$P$4:$AC$4,0))</f>
        <v>2600</v>
      </c>
      <c r="K63" s="32">
        <f>INDEX('Campus Enrol Disaggregation'!$P$5:$AC$75,MATCH(Export_ControlTot!$A63,'Campus Enrol Disaggregation'!$O$5:$O$75,0),MATCH(K$1,'Campus Enrol Disaggregation'!$P$4:$AC$4,0))</f>
        <v>3000</v>
      </c>
      <c r="L63" s="32">
        <f>INDEX('Campus Enrol Disaggregation'!$P$5:$AC$75,MATCH(Export_ControlTot!$A63,'Campus Enrol Disaggregation'!$O$5:$O$75,0),MATCH(L$1,'Campus Enrol Disaggregation'!$P$4:$AC$4,0))</f>
        <v>4300</v>
      </c>
      <c r="M63" s="32">
        <f>INDEX('Campus Enrol Disaggregation'!$P$5:$AC$75,MATCH(Export_ControlTot!$A63,'Campus Enrol Disaggregation'!$O$5:$O$75,0),MATCH(M$1,'Campus Enrol Disaggregation'!$P$4:$AC$4,0))</f>
        <v>35550</v>
      </c>
      <c r="N63" s="32">
        <f>INDEX('Campus Enrol Disaggregation'!$P$5:$AC$75,MATCH(Export_ControlTot!$A63,'Campus Enrol Disaggregation'!$O$5:$O$75,0),MATCH(N$1,'Campus Enrol Disaggregation'!$P$4:$AC$4,0))</f>
        <v>7150</v>
      </c>
      <c r="O63" s="32">
        <f>INDEX('Campus Enrol Disaggregation'!$P$5:$AC$75,MATCH(Export_ControlTot!$A63,'Campus Enrol Disaggregation'!$O$5:$O$75,0),MATCH(O$1,'Campus Enrol Disaggregation'!$P$4:$AC$4,0))</f>
        <v>2950</v>
      </c>
    </row>
    <row r="64" spans="1:15">
      <c r="A64" s="3">
        <v>2052</v>
      </c>
      <c r="B64" s="32">
        <f>INDEX('Campus Enrol Disaggregation'!$P$5:$AC$75,MATCH(Export_ControlTot!$A64,'Campus Enrol Disaggregation'!$O$5:$O$75,0),MATCH(B$1,'Campus Enrol Disaggregation'!$P$4:$AC$4,0))</f>
        <v>39300</v>
      </c>
      <c r="C64" s="32">
        <f>INDEX('Campus Enrol Disaggregation'!$P$5:$AC$75,MATCH(Export_ControlTot!$A64,'Campus Enrol Disaggregation'!$O$5:$O$75,0),MATCH(C$1,'Campus Enrol Disaggregation'!$P$4:$AC$4,0))</f>
        <v>2900</v>
      </c>
      <c r="D64" s="32">
        <f>INDEX('Campus Enrol Disaggregation'!$P$5:$AC$75,MATCH(Export_ControlTot!$A64,'Campus Enrol Disaggregation'!$O$5:$O$75,0),MATCH(D$1,'Campus Enrol Disaggregation'!$P$4:$AC$4,0))</f>
        <v>27550</v>
      </c>
      <c r="E64" s="32">
        <f>INDEX('Campus Enrol Disaggregation'!$P$5:$AC$75,MATCH(Export_ControlTot!$A64,'Campus Enrol Disaggregation'!$O$5:$O$75,0),MATCH(E$1,'Campus Enrol Disaggregation'!$P$4:$AC$4,0))</f>
        <v>5400</v>
      </c>
      <c r="F64" s="32">
        <f>INDEX('Campus Enrol Disaggregation'!$P$5:$AC$75,MATCH(Export_ControlTot!$A64,'Campus Enrol Disaggregation'!$O$5:$O$75,0),MATCH(F$1,'Campus Enrol Disaggregation'!$P$4:$AC$4,0))</f>
        <v>650</v>
      </c>
      <c r="G64" s="32">
        <f>INDEX('Campus Enrol Disaggregation'!$P$5:$AC$75,MATCH(Export_ControlTot!$A64,'Campus Enrol Disaggregation'!$O$5:$O$75,0),MATCH(G$1,'Campus Enrol Disaggregation'!$P$4:$AC$4,0))</f>
        <v>4100</v>
      </c>
      <c r="H64" s="32">
        <f>INDEX('Campus Enrol Disaggregation'!$P$5:$AC$75,MATCH(Export_ControlTot!$A64,'Campus Enrol Disaggregation'!$O$5:$O$75,0),MATCH(H$1,'Campus Enrol Disaggregation'!$P$4:$AC$4,0))</f>
        <v>43150</v>
      </c>
      <c r="I64" s="32">
        <f>INDEX('Campus Enrol Disaggregation'!$P$5:$AC$75,MATCH(Export_ControlTot!$A64,'Campus Enrol Disaggregation'!$O$5:$O$75,0),MATCH(I$1,'Campus Enrol Disaggregation'!$P$4:$AC$4,0))</f>
        <v>68000</v>
      </c>
      <c r="J64" s="32">
        <f>INDEX('Campus Enrol Disaggregation'!$P$5:$AC$75,MATCH(Export_ControlTot!$A64,'Campus Enrol Disaggregation'!$O$5:$O$75,0),MATCH(J$1,'Campus Enrol Disaggregation'!$P$4:$AC$4,0))</f>
        <v>2600</v>
      </c>
      <c r="K64" s="32">
        <f>INDEX('Campus Enrol Disaggregation'!$P$5:$AC$75,MATCH(Export_ControlTot!$A64,'Campus Enrol Disaggregation'!$O$5:$O$75,0),MATCH(K$1,'Campus Enrol Disaggregation'!$P$4:$AC$4,0))</f>
        <v>3000</v>
      </c>
      <c r="L64" s="32">
        <f>INDEX('Campus Enrol Disaggregation'!$P$5:$AC$75,MATCH(Export_ControlTot!$A64,'Campus Enrol Disaggregation'!$O$5:$O$75,0),MATCH(L$1,'Campus Enrol Disaggregation'!$P$4:$AC$4,0))</f>
        <v>4300</v>
      </c>
      <c r="M64" s="32">
        <f>INDEX('Campus Enrol Disaggregation'!$P$5:$AC$75,MATCH(Export_ControlTot!$A64,'Campus Enrol Disaggregation'!$O$5:$O$75,0),MATCH(M$1,'Campus Enrol Disaggregation'!$P$4:$AC$4,0))</f>
        <v>35900</v>
      </c>
      <c r="N64" s="32">
        <f>INDEX('Campus Enrol Disaggregation'!$P$5:$AC$75,MATCH(Export_ControlTot!$A64,'Campus Enrol Disaggregation'!$O$5:$O$75,0),MATCH(N$1,'Campus Enrol Disaggregation'!$P$4:$AC$4,0))</f>
        <v>7200</v>
      </c>
      <c r="O64" s="32">
        <f>INDEX('Campus Enrol Disaggregation'!$P$5:$AC$75,MATCH(Export_ControlTot!$A64,'Campus Enrol Disaggregation'!$O$5:$O$75,0),MATCH(O$1,'Campus Enrol Disaggregation'!$P$4:$AC$4,0))</f>
        <v>3000</v>
      </c>
    </row>
    <row r="65" spans="1:15">
      <c r="A65" s="3">
        <v>2053</v>
      </c>
      <c r="B65" s="32">
        <f>INDEX('Campus Enrol Disaggregation'!$P$5:$AC$75,MATCH(Export_ControlTot!$A65,'Campus Enrol Disaggregation'!$O$5:$O$75,0),MATCH(B$1,'Campus Enrol Disaggregation'!$P$4:$AC$4,0))</f>
        <v>39300</v>
      </c>
      <c r="C65" s="32">
        <f>INDEX('Campus Enrol Disaggregation'!$P$5:$AC$75,MATCH(Export_ControlTot!$A65,'Campus Enrol Disaggregation'!$O$5:$O$75,0),MATCH(C$1,'Campus Enrol Disaggregation'!$P$4:$AC$4,0))</f>
        <v>2950</v>
      </c>
      <c r="D65" s="32">
        <f>INDEX('Campus Enrol Disaggregation'!$P$5:$AC$75,MATCH(Export_ControlTot!$A65,'Campus Enrol Disaggregation'!$O$5:$O$75,0),MATCH(D$1,'Campus Enrol Disaggregation'!$P$4:$AC$4,0))</f>
        <v>27800</v>
      </c>
      <c r="E65" s="32">
        <f>INDEX('Campus Enrol Disaggregation'!$P$5:$AC$75,MATCH(Export_ControlTot!$A65,'Campus Enrol Disaggregation'!$O$5:$O$75,0),MATCH(E$1,'Campus Enrol Disaggregation'!$P$4:$AC$4,0))</f>
        <v>5400</v>
      </c>
      <c r="F65" s="32">
        <f>INDEX('Campus Enrol Disaggregation'!$P$5:$AC$75,MATCH(Export_ControlTot!$A65,'Campus Enrol Disaggregation'!$O$5:$O$75,0),MATCH(F$1,'Campus Enrol Disaggregation'!$P$4:$AC$4,0))</f>
        <v>650</v>
      </c>
      <c r="G65" s="32">
        <f>INDEX('Campus Enrol Disaggregation'!$P$5:$AC$75,MATCH(Export_ControlTot!$A65,'Campus Enrol Disaggregation'!$O$5:$O$75,0),MATCH(G$1,'Campus Enrol Disaggregation'!$P$4:$AC$4,0))</f>
        <v>4150</v>
      </c>
      <c r="H65" s="32">
        <f>INDEX('Campus Enrol Disaggregation'!$P$5:$AC$75,MATCH(Export_ControlTot!$A65,'Campus Enrol Disaggregation'!$O$5:$O$75,0),MATCH(H$1,'Campus Enrol Disaggregation'!$P$4:$AC$4,0))</f>
        <v>43450</v>
      </c>
      <c r="I65" s="32">
        <f>INDEX('Campus Enrol Disaggregation'!$P$5:$AC$75,MATCH(Export_ControlTot!$A65,'Campus Enrol Disaggregation'!$O$5:$O$75,0),MATCH(I$1,'Campus Enrol Disaggregation'!$P$4:$AC$4,0))</f>
        <v>68000</v>
      </c>
      <c r="J65" s="32">
        <f>INDEX('Campus Enrol Disaggregation'!$P$5:$AC$75,MATCH(Export_ControlTot!$A65,'Campus Enrol Disaggregation'!$O$5:$O$75,0),MATCH(J$1,'Campus Enrol Disaggregation'!$P$4:$AC$4,0))</f>
        <v>2600</v>
      </c>
      <c r="K65" s="32">
        <f>INDEX('Campus Enrol Disaggregation'!$P$5:$AC$75,MATCH(Export_ControlTot!$A65,'Campus Enrol Disaggregation'!$O$5:$O$75,0),MATCH(K$1,'Campus Enrol Disaggregation'!$P$4:$AC$4,0))</f>
        <v>3000</v>
      </c>
      <c r="L65" s="32">
        <f>INDEX('Campus Enrol Disaggregation'!$P$5:$AC$75,MATCH(Export_ControlTot!$A65,'Campus Enrol Disaggregation'!$O$5:$O$75,0),MATCH(L$1,'Campus Enrol Disaggregation'!$P$4:$AC$4,0))</f>
        <v>4300</v>
      </c>
      <c r="M65" s="32">
        <f>INDEX('Campus Enrol Disaggregation'!$P$5:$AC$75,MATCH(Export_ControlTot!$A65,'Campus Enrol Disaggregation'!$O$5:$O$75,0),MATCH(M$1,'Campus Enrol Disaggregation'!$P$4:$AC$4,0))</f>
        <v>36300</v>
      </c>
      <c r="N65" s="32">
        <f>INDEX('Campus Enrol Disaggregation'!$P$5:$AC$75,MATCH(Export_ControlTot!$A65,'Campus Enrol Disaggregation'!$O$5:$O$75,0),MATCH(N$1,'Campus Enrol Disaggregation'!$P$4:$AC$4,0))</f>
        <v>7300</v>
      </c>
      <c r="O65" s="32">
        <f>INDEX('Campus Enrol Disaggregation'!$P$5:$AC$75,MATCH(Export_ControlTot!$A65,'Campus Enrol Disaggregation'!$O$5:$O$75,0),MATCH(O$1,'Campus Enrol Disaggregation'!$P$4:$AC$4,0))</f>
        <v>3050</v>
      </c>
    </row>
    <row r="66" spans="1:15">
      <c r="A66" s="3">
        <v>2054</v>
      </c>
      <c r="B66" s="32">
        <f>INDEX('Campus Enrol Disaggregation'!$P$5:$AC$75,MATCH(Export_ControlTot!$A66,'Campus Enrol Disaggregation'!$O$5:$O$75,0),MATCH(B$1,'Campus Enrol Disaggregation'!$P$4:$AC$4,0))</f>
        <v>39300</v>
      </c>
      <c r="C66" s="32">
        <f>INDEX('Campus Enrol Disaggregation'!$P$5:$AC$75,MATCH(Export_ControlTot!$A66,'Campus Enrol Disaggregation'!$O$5:$O$75,0),MATCH(C$1,'Campus Enrol Disaggregation'!$P$4:$AC$4,0))</f>
        <v>3000</v>
      </c>
      <c r="D66" s="32">
        <f>INDEX('Campus Enrol Disaggregation'!$P$5:$AC$75,MATCH(Export_ControlTot!$A66,'Campus Enrol Disaggregation'!$O$5:$O$75,0),MATCH(D$1,'Campus Enrol Disaggregation'!$P$4:$AC$4,0))</f>
        <v>28050</v>
      </c>
      <c r="E66" s="32">
        <f>INDEX('Campus Enrol Disaggregation'!$P$5:$AC$75,MATCH(Export_ControlTot!$A66,'Campus Enrol Disaggregation'!$O$5:$O$75,0),MATCH(E$1,'Campus Enrol Disaggregation'!$P$4:$AC$4,0))</f>
        <v>5450</v>
      </c>
      <c r="F66" s="32">
        <f>INDEX('Campus Enrol Disaggregation'!$P$5:$AC$75,MATCH(Export_ControlTot!$A66,'Campus Enrol Disaggregation'!$O$5:$O$75,0),MATCH(F$1,'Campus Enrol Disaggregation'!$P$4:$AC$4,0))</f>
        <v>650</v>
      </c>
      <c r="G66" s="32">
        <f>INDEX('Campus Enrol Disaggregation'!$P$5:$AC$75,MATCH(Export_ControlTot!$A66,'Campus Enrol Disaggregation'!$O$5:$O$75,0),MATCH(G$1,'Campus Enrol Disaggregation'!$P$4:$AC$4,0))</f>
        <v>4150</v>
      </c>
      <c r="H66" s="32">
        <f>INDEX('Campus Enrol Disaggregation'!$P$5:$AC$75,MATCH(Export_ControlTot!$A66,'Campus Enrol Disaggregation'!$O$5:$O$75,0),MATCH(H$1,'Campus Enrol Disaggregation'!$P$4:$AC$4,0))</f>
        <v>43750</v>
      </c>
      <c r="I66" s="32">
        <f>INDEX('Campus Enrol Disaggregation'!$P$5:$AC$75,MATCH(Export_ControlTot!$A66,'Campus Enrol Disaggregation'!$O$5:$O$75,0),MATCH(I$1,'Campus Enrol Disaggregation'!$P$4:$AC$4,0))</f>
        <v>68000</v>
      </c>
      <c r="J66" s="32">
        <f>INDEX('Campus Enrol Disaggregation'!$P$5:$AC$75,MATCH(Export_ControlTot!$A66,'Campus Enrol Disaggregation'!$O$5:$O$75,0),MATCH(J$1,'Campus Enrol Disaggregation'!$P$4:$AC$4,0))</f>
        <v>2600</v>
      </c>
      <c r="K66" s="32">
        <f>INDEX('Campus Enrol Disaggregation'!$P$5:$AC$75,MATCH(Export_ControlTot!$A66,'Campus Enrol Disaggregation'!$O$5:$O$75,0),MATCH(K$1,'Campus Enrol Disaggregation'!$P$4:$AC$4,0))</f>
        <v>3000</v>
      </c>
      <c r="L66" s="32">
        <f>INDEX('Campus Enrol Disaggregation'!$P$5:$AC$75,MATCH(Export_ControlTot!$A66,'Campus Enrol Disaggregation'!$O$5:$O$75,0),MATCH(L$1,'Campus Enrol Disaggregation'!$P$4:$AC$4,0))</f>
        <v>4300</v>
      </c>
      <c r="M66" s="32">
        <f>INDEX('Campus Enrol Disaggregation'!$P$5:$AC$75,MATCH(Export_ControlTot!$A66,'Campus Enrol Disaggregation'!$O$5:$O$75,0),MATCH(M$1,'Campus Enrol Disaggregation'!$P$4:$AC$4,0))</f>
        <v>36700</v>
      </c>
      <c r="N66" s="32">
        <f>INDEX('Campus Enrol Disaggregation'!$P$5:$AC$75,MATCH(Export_ControlTot!$A66,'Campus Enrol Disaggregation'!$O$5:$O$75,0),MATCH(N$1,'Campus Enrol Disaggregation'!$P$4:$AC$4,0))</f>
        <v>7350</v>
      </c>
      <c r="O66" s="32">
        <f>INDEX('Campus Enrol Disaggregation'!$P$5:$AC$75,MATCH(Export_ControlTot!$A66,'Campus Enrol Disaggregation'!$O$5:$O$75,0),MATCH(O$1,'Campus Enrol Disaggregation'!$P$4:$AC$4,0))</f>
        <v>3150</v>
      </c>
    </row>
    <row r="67" spans="1:15">
      <c r="A67" s="3">
        <v>2055</v>
      </c>
      <c r="B67" s="32">
        <f>INDEX('Campus Enrol Disaggregation'!$P$5:$AC$75,MATCH(Export_ControlTot!$A67,'Campus Enrol Disaggregation'!$O$5:$O$75,0),MATCH(B$1,'Campus Enrol Disaggregation'!$P$4:$AC$4,0))</f>
        <v>39300</v>
      </c>
      <c r="C67" s="32">
        <f>INDEX('Campus Enrol Disaggregation'!$P$5:$AC$75,MATCH(Export_ControlTot!$A67,'Campus Enrol Disaggregation'!$O$5:$O$75,0),MATCH(C$1,'Campus Enrol Disaggregation'!$P$4:$AC$4,0))</f>
        <v>3000</v>
      </c>
      <c r="D67" s="32">
        <f>INDEX('Campus Enrol Disaggregation'!$P$5:$AC$75,MATCH(Export_ControlTot!$A67,'Campus Enrol Disaggregation'!$O$5:$O$75,0),MATCH(D$1,'Campus Enrol Disaggregation'!$P$4:$AC$4,0))</f>
        <v>28250</v>
      </c>
      <c r="E67" s="32">
        <f>INDEX('Campus Enrol Disaggregation'!$P$5:$AC$75,MATCH(Export_ControlTot!$A67,'Campus Enrol Disaggregation'!$O$5:$O$75,0),MATCH(E$1,'Campus Enrol Disaggregation'!$P$4:$AC$4,0))</f>
        <v>5500</v>
      </c>
      <c r="F67" s="32">
        <f>INDEX('Campus Enrol Disaggregation'!$P$5:$AC$75,MATCH(Export_ControlTot!$A67,'Campus Enrol Disaggregation'!$O$5:$O$75,0),MATCH(F$1,'Campus Enrol Disaggregation'!$P$4:$AC$4,0))</f>
        <v>650</v>
      </c>
      <c r="G67" s="32">
        <f>INDEX('Campus Enrol Disaggregation'!$P$5:$AC$75,MATCH(Export_ControlTot!$A67,'Campus Enrol Disaggregation'!$O$5:$O$75,0),MATCH(G$1,'Campus Enrol Disaggregation'!$P$4:$AC$4,0))</f>
        <v>4200</v>
      </c>
      <c r="H67" s="32">
        <f>INDEX('Campus Enrol Disaggregation'!$P$5:$AC$75,MATCH(Export_ControlTot!$A67,'Campus Enrol Disaggregation'!$O$5:$O$75,0),MATCH(H$1,'Campus Enrol Disaggregation'!$P$4:$AC$4,0))</f>
        <v>44050</v>
      </c>
      <c r="I67" s="32">
        <f>INDEX('Campus Enrol Disaggregation'!$P$5:$AC$75,MATCH(Export_ControlTot!$A67,'Campus Enrol Disaggregation'!$O$5:$O$75,0),MATCH(I$1,'Campus Enrol Disaggregation'!$P$4:$AC$4,0))</f>
        <v>68000</v>
      </c>
      <c r="J67" s="32">
        <f>INDEX('Campus Enrol Disaggregation'!$P$5:$AC$75,MATCH(Export_ControlTot!$A67,'Campus Enrol Disaggregation'!$O$5:$O$75,0),MATCH(J$1,'Campus Enrol Disaggregation'!$P$4:$AC$4,0))</f>
        <v>2600</v>
      </c>
      <c r="K67" s="32">
        <f>INDEX('Campus Enrol Disaggregation'!$P$5:$AC$75,MATCH(Export_ControlTot!$A67,'Campus Enrol Disaggregation'!$O$5:$O$75,0),MATCH(K$1,'Campus Enrol Disaggregation'!$P$4:$AC$4,0))</f>
        <v>3000</v>
      </c>
      <c r="L67" s="32">
        <f>INDEX('Campus Enrol Disaggregation'!$P$5:$AC$75,MATCH(Export_ControlTot!$A67,'Campus Enrol Disaggregation'!$O$5:$O$75,0),MATCH(L$1,'Campus Enrol Disaggregation'!$P$4:$AC$4,0))</f>
        <v>4300</v>
      </c>
      <c r="M67" s="32">
        <f>INDEX('Campus Enrol Disaggregation'!$P$5:$AC$75,MATCH(Export_ControlTot!$A67,'Campus Enrol Disaggregation'!$O$5:$O$75,0),MATCH(M$1,'Campus Enrol Disaggregation'!$P$4:$AC$4,0))</f>
        <v>37050</v>
      </c>
      <c r="N67" s="32">
        <f>INDEX('Campus Enrol Disaggregation'!$P$5:$AC$75,MATCH(Export_ControlTot!$A67,'Campus Enrol Disaggregation'!$O$5:$O$75,0),MATCH(N$1,'Campus Enrol Disaggregation'!$P$4:$AC$4,0))</f>
        <v>7450</v>
      </c>
      <c r="O67" s="32">
        <f>INDEX('Campus Enrol Disaggregation'!$P$5:$AC$75,MATCH(Export_ControlTot!$A67,'Campus Enrol Disaggregation'!$O$5:$O$75,0),MATCH(O$1,'Campus Enrol Disaggregation'!$P$4:$AC$4,0))</f>
        <v>3200</v>
      </c>
    </row>
    <row r="68" spans="1:15">
      <c r="A68" s="3">
        <v>2056</v>
      </c>
      <c r="B68" s="32">
        <f>INDEX('Campus Enrol Disaggregation'!$P$5:$AC$75,MATCH(Export_ControlTot!$A68,'Campus Enrol Disaggregation'!$O$5:$O$75,0),MATCH(B$1,'Campus Enrol Disaggregation'!$P$4:$AC$4,0))</f>
        <v>39300</v>
      </c>
      <c r="C68" s="32">
        <f>INDEX('Campus Enrol Disaggregation'!$P$5:$AC$75,MATCH(Export_ControlTot!$A68,'Campus Enrol Disaggregation'!$O$5:$O$75,0),MATCH(C$1,'Campus Enrol Disaggregation'!$P$4:$AC$4,0))</f>
        <v>3050</v>
      </c>
      <c r="D68" s="32">
        <f>INDEX('Campus Enrol Disaggregation'!$P$5:$AC$75,MATCH(Export_ControlTot!$A68,'Campus Enrol Disaggregation'!$O$5:$O$75,0),MATCH(D$1,'Campus Enrol Disaggregation'!$P$4:$AC$4,0))</f>
        <v>28500</v>
      </c>
      <c r="E68" s="32">
        <f>INDEX('Campus Enrol Disaggregation'!$P$5:$AC$75,MATCH(Export_ControlTot!$A68,'Campus Enrol Disaggregation'!$O$5:$O$75,0),MATCH(E$1,'Campus Enrol Disaggregation'!$P$4:$AC$4,0))</f>
        <v>5550</v>
      </c>
      <c r="F68" s="32">
        <f>INDEX('Campus Enrol Disaggregation'!$P$5:$AC$75,MATCH(Export_ControlTot!$A68,'Campus Enrol Disaggregation'!$O$5:$O$75,0),MATCH(F$1,'Campus Enrol Disaggregation'!$P$4:$AC$4,0))</f>
        <v>650</v>
      </c>
      <c r="G68" s="32">
        <f>INDEX('Campus Enrol Disaggregation'!$P$5:$AC$75,MATCH(Export_ControlTot!$A68,'Campus Enrol Disaggregation'!$O$5:$O$75,0),MATCH(G$1,'Campus Enrol Disaggregation'!$P$4:$AC$4,0))</f>
        <v>4250</v>
      </c>
      <c r="H68" s="32">
        <f>INDEX('Campus Enrol Disaggregation'!$P$5:$AC$75,MATCH(Export_ControlTot!$A68,'Campus Enrol Disaggregation'!$O$5:$O$75,0),MATCH(H$1,'Campus Enrol Disaggregation'!$P$4:$AC$4,0))</f>
        <v>44350</v>
      </c>
      <c r="I68" s="32">
        <f>INDEX('Campus Enrol Disaggregation'!$P$5:$AC$75,MATCH(Export_ControlTot!$A68,'Campus Enrol Disaggregation'!$O$5:$O$75,0),MATCH(I$1,'Campus Enrol Disaggregation'!$P$4:$AC$4,0))</f>
        <v>68000</v>
      </c>
      <c r="J68" s="32">
        <f>INDEX('Campus Enrol Disaggregation'!$P$5:$AC$75,MATCH(Export_ControlTot!$A68,'Campus Enrol Disaggregation'!$O$5:$O$75,0),MATCH(J$1,'Campus Enrol Disaggregation'!$P$4:$AC$4,0))</f>
        <v>2600</v>
      </c>
      <c r="K68" s="32">
        <f>INDEX('Campus Enrol Disaggregation'!$P$5:$AC$75,MATCH(Export_ControlTot!$A68,'Campus Enrol Disaggregation'!$O$5:$O$75,0),MATCH(K$1,'Campus Enrol Disaggregation'!$P$4:$AC$4,0))</f>
        <v>3000</v>
      </c>
      <c r="L68" s="32">
        <f>INDEX('Campus Enrol Disaggregation'!$P$5:$AC$75,MATCH(Export_ControlTot!$A68,'Campus Enrol Disaggregation'!$O$5:$O$75,0),MATCH(L$1,'Campus Enrol Disaggregation'!$P$4:$AC$4,0))</f>
        <v>4300</v>
      </c>
      <c r="M68" s="32">
        <f>INDEX('Campus Enrol Disaggregation'!$P$5:$AC$75,MATCH(Export_ControlTot!$A68,'Campus Enrol Disaggregation'!$O$5:$O$75,0),MATCH(M$1,'Campus Enrol Disaggregation'!$P$4:$AC$4,0))</f>
        <v>37450</v>
      </c>
      <c r="N68" s="32">
        <f>INDEX('Campus Enrol Disaggregation'!$P$5:$AC$75,MATCH(Export_ControlTot!$A68,'Campus Enrol Disaggregation'!$O$5:$O$75,0),MATCH(N$1,'Campus Enrol Disaggregation'!$P$4:$AC$4,0))</f>
        <v>7500</v>
      </c>
      <c r="O68" s="32">
        <f>INDEX('Campus Enrol Disaggregation'!$P$5:$AC$75,MATCH(Export_ControlTot!$A68,'Campus Enrol Disaggregation'!$O$5:$O$75,0),MATCH(O$1,'Campus Enrol Disaggregation'!$P$4:$AC$4,0))</f>
        <v>3250</v>
      </c>
    </row>
    <row r="69" spans="1:15">
      <c r="A69" s="3">
        <v>2057</v>
      </c>
      <c r="B69" s="32">
        <f>INDEX('Campus Enrol Disaggregation'!$P$5:$AC$75,MATCH(Export_ControlTot!$A69,'Campus Enrol Disaggregation'!$O$5:$O$75,0),MATCH(B$1,'Campus Enrol Disaggregation'!$P$4:$AC$4,0))</f>
        <v>39300</v>
      </c>
      <c r="C69" s="32">
        <f>INDEX('Campus Enrol Disaggregation'!$P$5:$AC$75,MATCH(Export_ControlTot!$A69,'Campus Enrol Disaggregation'!$O$5:$O$75,0),MATCH(C$1,'Campus Enrol Disaggregation'!$P$4:$AC$4,0))</f>
        <v>3100</v>
      </c>
      <c r="D69" s="32">
        <f>INDEX('Campus Enrol Disaggregation'!$P$5:$AC$75,MATCH(Export_ControlTot!$A69,'Campus Enrol Disaggregation'!$O$5:$O$75,0),MATCH(D$1,'Campus Enrol Disaggregation'!$P$4:$AC$4,0))</f>
        <v>28750</v>
      </c>
      <c r="E69" s="32">
        <f>INDEX('Campus Enrol Disaggregation'!$P$5:$AC$75,MATCH(Export_ControlTot!$A69,'Campus Enrol Disaggregation'!$O$5:$O$75,0),MATCH(E$1,'Campus Enrol Disaggregation'!$P$4:$AC$4,0))</f>
        <v>5600</v>
      </c>
      <c r="F69" s="32">
        <f>INDEX('Campus Enrol Disaggregation'!$P$5:$AC$75,MATCH(Export_ControlTot!$A69,'Campus Enrol Disaggregation'!$O$5:$O$75,0),MATCH(F$1,'Campus Enrol Disaggregation'!$P$4:$AC$4,0))</f>
        <v>700</v>
      </c>
      <c r="G69" s="32">
        <f>INDEX('Campus Enrol Disaggregation'!$P$5:$AC$75,MATCH(Export_ControlTot!$A69,'Campus Enrol Disaggregation'!$O$5:$O$75,0),MATCH(G$1,'Campus Enrol Disaggregation'!$P$4:$AC$4,0))</f>
        <v>4250</v>
      </c>
      <c r="H69" s="32">
        <f>INDEX('Campus Enrol Disaggregation'!$P$5:$AC$75,MATCH(Export_ControlTot!$A69,'Campus Enrol Disaggregation'!$O$5:$O$75,0),MATCH(H$1,'Campus Enrol Disaggregation'!$P$4:$AC$4,0))</f>
        <v>44650</v>
      </c>
      <c r="I69" s="32">
        <f>INDEX('Campus Enrol Disaggregation'!$P$5:$AC$75,MATCH(Export_ControlTot!$A69,'Campus Enrol Disaggregation'!$O$5:$O$75,0),MATCH(I$1,'Campus Enrol Disaggregation'!$P$4:$AC$4,0))</f>
        <v>68000</v>
      </c>
      <c r="J69" s="32">
        <f>INDEX('Campus Enrol Disaggregation'!$P$5:$AC$75,MATCH(Export_ControlTot!$A69,'Campus Enrol Disaggregation'!$O$5:$O$75,0),MATCH(J$1,'Campus Enrol Disaggregation'!$P$4:$AC$4,0))</f>
        <v>2600</v>
      </c>
      <c r="K69" s="32">
        <f>INDEX('Campus Enrol Disaggregation'!$P$5:$AC$75,MATCH(Export_ControlTot!$A69,'Campus Enrol Disaggregation'!$O$5:$O$75,0),MATCH(K$1,'Campus Enrol Disaggregation'!$P$4:$AC$4,0))</f>
        <v>3000</v>
      </c>
      <c r="L69" s="32">
        <f>INDEX('Campus Enrol Disaggregation'!$P$5:$AC$75,MATCH(Export_ControlTot!$A69,'Campus Enrol Disaggregation'!$O$5:$O$75,0),MATCH(L$1,'Campus Enrol Disaggregation'!$P$4:$AC$4,0))</f>
        <v>4300</v>
      </c>
      <c r="M69" s="32">
        <f>INDEX('Campus Enrol Disaggregation'!$P$5:$AC$75,MATCH(Export_ControlTot!$A69,'Campus Enrol Disaggregation'!$O$5:$O$75,0),MATCH(M$1,'Campus Enrol Disaggregation'!$P$4:$AC$4,0))</f>
        <v>37800</v>
      </c>
      <c r="N69" s="32">
        <f>INDEX('Campus Enrol Disaggregation'!$P$5:$AC$75,MATCH(Export_ControlTot!$A69,'Campus Enrol Disaggregation'!$O$5:$O$75,0),MATCH(N$1,'Campus Enrol Disaggregation'!$P$4:$AC$4,0))</f>
        <v>7600</v>
      </c>
      <c r="O69" s="32">
        <f>INDEX('Campus Enrol Disaggregation'!$P$5:$AC$75,MATCH(Export_ControlTot!$A69,'Campus Enrol Disaggregation'!$O$5:$O$75,0),MATCH(O$1,'Campus Enrol Disaggregation'!$P$4:$AC$4,0))</f>
        <v>3300</v>
      </c>
    </row>
    <row r="70" spans="1:15">
      <c r="A70" s="3">
        <v>2058</v>
      </c>
      <c r="B70" s="32">
        <f>INDEX('Campus Enrol Disaggregation'!$P$5:$AC$75,MATCH(Export_ControlTot!$A70,'Campus Enrol Disaggregation'!$O$5:$O$75,0),MATCH(B$1,'Campus Enrol Disaggregation'!$P$4:$AC$4,0))</f>
        <v>39300</v>
      </c>
      <c r="C70" s="32">
        <f>INDEX('Campus Enrol Disaggregation'!$P$5:$AC$75,MATCH(Export_ControlTot!$A70,'Campus Enrol Disaggregation'!$O$5:$O$75,0),MATCH(C$1,'Campus Enrol Disaggregation'!$P$4:$AC$4,0))</f>
        <v>3150</v>
      </c>
      <c r="D70" s="32">
        <f>INDEX('Campus Enrol Disaggregation'!$P$5:$AC$75,MATCH(Export_ControlTot!$A70,'Campus Enrol Disaggregation'!$O$5:$O$75,0),MATCH(D$1,'Campus Enrol Disaggregation'!$P$4:$AC$4,0))</f>
        <v>28950</v>
      </c>
      <c r="E70" s="32">
        <f>INDEX('Campus Enrol Disaggregation'!$P$5:$AC$75,MATCH(Export_ControlTot!$A70,'Campus Enrol Disaggregation'!$O$5:$O$75,0),MATCH(E$1,'Campus Enrol Disaggregation'!$P$4:$AC$4,0))</f>
        <v>5650</v>
      </c>
      <c r="F70" s="32">
        <f>INDEX('Campus Enrol Disaggregation'!$P$5:$AC$75,MATCH(Export_ControlTot!$A70,'Campus Enrol Disaggregation'!$O$5:$O$75,0),MATCH(F$1,'Campus Enrol Disaggregation'!$P$4:$AC$4,0))</f>
        <v>700</v>
      </c>
      <c r="G70" s="32">
        <f>INDEX('Campus Enrol Disaggregation'!$P$5:$AC$75,MATCH(Export_ControlTot!$A70,'Campus Enrol Disaggregation'!$O$5:$O$75,0),MATCH(G$1,'Campus Enrol Disaggregation'!$P$4:$AC$4,0))</f>
        <v>4300</v>
      </c>
      <c r="H70" s="32">
        <f>INDEX('Campus Enrol Disaggregation'!$P$5:$AC$75,MATCH(Export_ControlTot!$A70,'Campus Enrol Disaggregation'!$O$5:$O$75,0),MATCH(H$1,'Campus Enrol Disaggregation'!$P$4:$AC$4,0))</f>
        <v>44900</v>
      </c>
      <c r="I70" s="32">
        <f>INDEX('Campus Enrol Disaggregation'!$P$5:$AC$75,MATCH(Export_ControlTot!$A70,'Campus Enrol Disaggregation'!$O$5:$O$75,0),MATCH(I$1,'Campus Enrol Disaggregation'!$P$4:$AC$4,0))</f>
        <v>68000</v>
      </c>
      <c r="J70" s="32">
        <f>INDEX('Campus Enrol Disaggregation'!$P$5:$AC$75,MATCH(Export_ControlTot!$A70,'Campus Enrol Disaggregation'!$O$5:$O$75,0),MATCH(J$1,'Campus Enrol Disaggregation'!$P$4:$AC$4,0))</f>
        <v>2600</v>
      </c>
      <c r="K70" s="32">
        <f>INDEX('Campus Enrol Disaggregation'!$P$5:$AC$75,MATCH(Export_ControlTot!$A70,'Campus Enrol Disaggregation'!$O$5:$O$75,0),MATCH(K$1,'Campus Enrol Disaggregation'!$P$4:$AC$4,0))</f>
        <v>3000</v>
      </c>
      <c r="L70" s="32">
        <f>INDEX('Campus Enrol Disaggregation'!$P$5:$AC$75,MATCH(Export_ControlTot!$A70,'Campus Enrol Disaggregation'!$O$5:$O$75,0),MATCH(L$1,'Campus Enrol Disaggregation'!$P$4:$AC$4,0))</f>
        <v>4300</v>
      </c>
      <c r="M70" s="32">
        <f>INDEX('Campus Enrol Disaggregation'!$P$5:$AC$75,MATCH(Export_ControlTot!$A70,'Campus Enrol Disaggregation'!$O$5:$O$75,0),MATCH(M$1,'Campus Enrol Disaggregation'!$P$4:$AC$4,0))</f>
        <v>38200</v>
      </c>
      <c r="N70" s="32">
        <f>INDEX('Campus Enrol Disaggregation'!$P$5:$AC$75,MATCH(Export_ControlTot!$A70,'Campus Enrol Disaggregation'!$O$5:$O$75,0),MATCH(N$1,'Campus Enrol Disaggregation'!$P$4:$AC$4,0))</f>
        <v>7650</v>
      </c>
      <c r="O70" s="32">
        <f>INDEX('Campus Enrol Disaggregation'!$P$5:$AC$75,MATCH(Export_ControlTot!$A70,'Campus Enrol Disaggregation'!$O$5:$O$75,0),MATCH(O$1,'Campus Enrol Disaggregation'!$P$4:$AC$4,0))</f>
        <v>3400</v>
      </c>
    </row>
    <row r="71" spans="1:15">
      <c r="A71" s="3">
        <v>2059</v>
      </c>
      <c r="B71" s="32">
        <f>INDEX('Campus Enrol Disaggregation'!$P$5:$AC$75,MATCH(Export_ControlTot!$A71,'Campus Enrol Disaggregation'!$O$5:$O$75,0),MATCH(B$1,'Campus Enrol Disaggregation'!$P$4:$AC$4,0))</f>
        <v>39300</v>
      </c>
      <c r="C71" s="32">
        <f>INDEX('Campus Enrol Disaggregation'!$P$5:$AC$75,MATCH(Export_ControlTot!$A71,'Campus Enrol Disaggregation'!$O$5:$O$75,0),MATCH(C$1,'Campus Enrol Disaggregation'!$P$4:$AC$4,0))</f>
        <v>3150</v>
      </c>
      <c r="D71" s="32">
        <f>INDEX('Campus Enrol Disaggregation'!$P$5:$AC$75,MATCH(Export_ControlTot!$A71,'Campus Enrol Disaggregation'!$O$5:$O$75,0),MATCH(D$1,'Campus Enrol Disaggregation'!$P$4:$AC$4,0))</f>
        <v>29200</v>
      </c>
      <c r="E71" s="32">
        <f>INDEX('Campus Enrol Disaggregation'!$P$5:$AC$75,MATCH(Export_ControlTot!$A71,'Campus Enrol Disaggregation'!$O$5:$O$75,0),MATCH(E$1,'Campus Enrol Disaggregation'!$P$4:$AC$4,0))</f>
        <v>5700</v>
      </c>
      <c r="F71" s="32">
        <f>INDEX('Campus Enrol Disaggregation'!$P$5:$AC$75,MATCH(Export_ControlTot!$A71,'Campus Enrol Disaggregation'!$O$5:$O$75,0),MATCH(F$1,'Campus Enrol Disaggregation'!$P$4:$AC$4,0))</f>
        <v>700</v>
      </c>
      <c r="G71" s="32">
        <f>INDEX('Campus Enrol Disaggregation'!$P$5:$AC$75,MATCH(Export_ControlTot!$A71,'Campus Enrol Disaggregation'!$O$5:$O$75,0),MATCH(G$1,'Campus Enrol Disaggregation'!$P$4:$AC$4,0))</f>
        <v>4350</v>
      </c>
      <c r="H71" s="32">
        <f>INDEX('Campus Enrol Disaggregation'!$P$5:$AC$75,MATCH(Export_ControlTot!$A71,'Campus Enrol Disaggregation'!$O$5:$O$75,0),MATCH(H$1,'Campus Enrol Disaggregation'!$P$4:$AC$4,0))</f>
        <v>45200</v>
      </c>
      <c r="I71" s="32">
        <f>INDEX('Campus Enrol Disaggregation'!$P$5:$AC$75,MATCH(Export_ControlTot!$A71,'Campus Enrol Disaggregation'!$O$5:$O$75,0),MATCH(I$1,'Campus Enrol Disaggregation'!$P$4:$AC$4,0))</f>
        <v>68000</v>
      </c>
      <c r="J71" s="32">
        <f>INDEX('Campus Enrol Disaggregation'!$P$5:$AC$75,MATCH(Export_ControlTot!$A71,'Campus Enrol Disaggregation'!$O$5:$O$75,0),MATCH(J$1,'Campus Enrol Disaggregation'!$P$4:$AC$4,0))</f>
        <v>2600</v>
      </c>
      <c r="K71" s="32">
        <f>INDEX('Campus Enrol Disaggregation'!$P$5:$AC$75,MATCH(Export_ControlTot!$A71,'Campus Enrol Disaggregation'!$O$5:$O$75,0),MATCH(K$1,'Campus Enrol Disaggregation'!$P$4:$AC$4,0))</f>
        <v>3000</v>
      </c>
      <c r="L71" s="32">
        <f>INDEX('Campus Enrol Disaggregation'!$P$5:$AC$75,MATCH(Export_ControlTot!$A71,'Campus Enrol Disaggregation'!$O$5:$O$75,0),MATCH(L$1,'Campus Enrol Disaggregation'!$P$4:$AC$4,0))</f>
        <v>4300</v>
      </c>
      <c r="M71" s="32">
        <f>INDEX('Campus Enrol Disaggregation'!$P$5:$AC$75,MATCH(Export_ControlTot!$A71,'Campus Enrol Disaggregation'!$O$5:$O$75,0),MATCH(M$1,'Campus Enrol Disaggregation'!$P$4:$AC$4,0))</f>
        <v>38550</v>
      </c>
      <c r="N71" s="32">
        <f>INDEX('Campus Enrol Disaggregation'!$P$5:$AC$75,MATCH(Export_ControlTot!$A71,'Campus Enrol Disaggregation'!$O$5:$O$75,0),MATCH(N$1,'Campus Enrol Disaggregation'!$P$4:$AC$4,0))</f>
        <v>7750</v>
      </c>
      <c r="O71" s="32">
        <f>INDEX('Campus Enrol Disaggregation'!$P$5:$AC$75,MATCH(Export_ControlTot!$A71,'Campus Enrol Disaggregation'!$O$5:$O$75,0),MATCH(O$1,'Campus Enrol Disaggregation'!$P$4:$AC$4,0))</f>
        <v>3450</v>
      </c>
    </row>
    <row r="72" spans="1:15">
      <c r="A72" s="3">
        <v>2060</v>
      </c>
      <c r="B72" s="32">
        <f>INDEX('Campus Enrol Disaggregation'!$P$5:$AC$75,MATCH(Export_ControlTot!$A72,'Campus Enrol Disaggregation'!$O$5:$O$75,0),MATCH(B$1,'Campus Enrol Disaggregation'!$P$4:$AC$4,0))</f>
        <v>39300</v>
      </c>
      <c r="C72" s="32">
        <f>INDEX('Campus Enrol Disaggregation'!$P$5:$AC$75,MATCH(Export_ControlTot!$A72,'Campus Enrol Disaggregation'!$O$5:$O$75,0),MATCH(C$1,'Campus Enrol Disaggregation'!$P$4:$AC$4,0))</f>
        <v>3200</v>
      </c>
      <c r="D72" s="32">
        <f>INDEX('Campus Enrol Disaggregation'!$P$5:$AC$75,MATCH(Export_ControlTot!$A72,'Campus Enrol Disaggregation'!$O$5:$O$75,0),MATCH(D$1,'Campus Enrol Disaggregation'!$P$4:$AC$4,0))</f>
        <v>29400</v>
      </c>
      <c r="E72" s="32">
        <f>INDEX('Campus Enrol Disaggregation'!$P$5:$AC$75,MATCH(Export_ControlTot!$A72,'Campus Enrol Disaggregation'!$O$5:$O$75,0),MATCH(E$1,'Campus Enrol Disaggregation'!$P$4:$AC$4,0))</f>
        <v>5750</v>
      </c>
      <c r="F72" s="32">
        <f>INDEX('Campus Enrol Disaggregation'!$P$5:$AC$75,MATCH(Export_ControlTot!$A72,'Campus Enrol Disaggregation'!$O$5:$O$75,0),MATCH(F$1,'Campus Enrol Disaggregation'!$P$4:$AC$4,0))</f>
        <v>700</v>
      </c>
      <c r="G72" s="32">
        <f>INDEX('Campus Enrol Disaggregation'!$P$5:$AC$75,MATCH(Export_ControlTot!$A72,'Campus Enrol Disaggregation'!$O$5:$O$75,0),MATCH(G$1,'Campus Enrol Disaggregation'!$P$4:$AC$4,0))</f>
        <v>4400</v>
      </c>
      <c r="H72" s="32">
        <f>INDEX('Campus Enrol Disaggregation'!$P$5:$AC$75,MATCH(Export_ControlTot!$A72,'Campus Enrol Disaggregation'!$O$5:$O$75,0),MATCH(H$1,'Campus Enrol Disaggregation'!$P$4:$AC$4,0))</f>
        <v>45500</v>
      </c>
      <c r="I72" s="32">
        <f>INDEX('Campus Enrol Disaggregation'!$P$5:$AC$75,MATCH(Export_ControlTot!$A72,'Campus Enrol Disaggregation'!$O$5:$O$75,0),MATCH(I$1,'Campus Enrol Disaggregation'!$P$4:$AC$4,0))</f>
        <v>68000</v>
      </c>
      <c r="J72" s="32">
        <f>INDEX('Campus Enrol Disaggregation'!$P$5:$AC$75,MATCH(Export_ControlTot!$A72,'Campus Enrol Disaggregation'!$O$5:$O$75,0),MATCH(J$1,'Campus Enrol Disaggregation'!$P$4:$AC$4,0))</f>
        <v>2600</v>
      </c>
      <c r="K72" s="32">
        <f>INDEX('Campus Enrol Disaggregation'!$P$5:$AC$75,MATCH(Export_ControlTot!$A72,'Campus Enrol Disaggregation'!$O$5:$O$75,0),MATCH(K$1,'Campus Enrol Disaggregation'!$P$4:$AC$4,0))</f>
        <v>3000</v>
      </c>
      <c r="L72" s="32">
        <f>INDEX('Campus Enrol Disaggregation'!$P$5:$AC$75,MATCH(Export_ControlTot!$A72,'Campus Enrol Disaggregation'!$O$5:$O$75,0),MATCH(L$1,'Campus Enrol Disaggregation'!$P$4:$AC$4,0))</f>
        <v>4300</v>
      </c>
      <c r="M72" s="32">
        <f>INDEX('Campus Enrol Disaggregation'!$P$5:$AC$75,MATCH(Export_ControlTot!$A72,'Campus Enrol Disaggregation'!$O$5:$O$75,0),MATCH(M$1,'Campus Enrol Disaggregation'!$P$4:$AC$4,0))</f>
        <v>38950</v>
      </c>
      <c r="N72" s="32">
        <f>INDEX('Campus Enrol Disaggregation'!$P$5:$AC$75,MATCH(Export_ControlTot!$A72,'Campus Enrol Disaggregation'!$O$5:$O$75,0),MATCH(N$1,'Campus Enrol Disaggregation'!$P$4:$AC$4,0))</f>
        <v>7800</v>
      </c>
      <c r="O72" s="32">
        <f>INDEX('Campus Enrol Disaggregation'!$P$5:$AC$75,MATCH(Export_ControlTot!$A72,'Campus Enrol Disaggregation'!$O$5:$O$75,0),MATCH(O$1,'Campus Enrol Disaggregation'!$P$4:$AC$4,0))</f>
        <v>3500</v>
      </c>
    </row>
    <row r="73" spans="1:15">
      <c r="A73" s="101"/>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15"/>
  <sheetViews>
    <sheetView zoomScaleNormal="100" workbookViewId="0">
      <selection activeCell="B2" sqref="B2"/>
    </sheetView>
  </sheetViews>
  <sheetFormatPr defaultColWidth="8.7109375" defaultRowHeight="15"/>
  <cols>
    <col min="1" max="1" width="12.140625" style="7" customWidth="1"/>
    <col min="2" max="24" width="10.7109375" style="7" customWidth="1"/>
    <col min="25" max="25" width="16.28515625" style="7" customWidth="1"/>
    <col min="26" max="16384" width="8.7109375" style="7"/>
  </cols>
  <sheetData>
    <row r="1" spans="1:25">
      <c r="A1" s="92" t="s">
        <v>172</v>
      </c>
      <c r="B1" s="92" t="s">
        <v>16</v>
      </c>
      <c r="C1" s="92" t="s">
        <v>17</v>
      </c>
      <c r="D1" s="92" t="s">
        <v>99</v>
      </c>
      <c r="E1" s="3" t="s">
        <v>150</v>
      </c>
      <c r="F1" s="92" t="s">
        <v>105</v>
      </c>
      <c r="G1" s="92" t="s">
        <v>104</v>
      </c>
      <c r="H1" s="3" t="s">
        <v>151</v>
      </c>
      <c r="I1" s="92" t="s">
        <v>52</v>
      </c>
      <c r="J1" s="92" t="s">
        <v>55</v>
      </c>
      <c r="K1" s="92" t="s">
        <v>53</v>
      </c>
      <c r="L1" s="3" t="s">
        <v>153</v>
      </c>
      <c r="M1" s="92" t="s">
        <v>54</v>
      </c>
      <c r="N1" s="3" t="s">
        <v>154</v>
      </c>
      <c r="O1" s="3" t="s">
        <v>155</v>
      </c>
      <c r="P1" s="3" t="s">
        <v>156</v>
      </c>
      <c r="Q1" s="3" t="s">
        <v>157</v>
      </c>
      <c r="R1" s="3" t="s">
        <v>158</v>
      </c>
      <c r="S1" s="92" t="s">
        <v>15</v>
      </c>
      <c r="T1" s="92" t="s">
        <v>100</v>
      </c>
      <c r="U1" s="3" t="s">
        <v>160</v>
      </c>
      <c r="V1" s="92" t="s">
        <v>119</v>
      </c>
      <c r="W1" s="92" t="s">
        <v>121</v>
      </c>
      <c r="X1" s="92" t="s">
        <v>120</v>
      </c>
      <c r="Y1" s="3" t="s">
        <v>164</v>
      </c>
    </row>
    <row r="2" spans="1:25" s="2" customFormat="1">
      <c r="A2" s="39">
        <v>1</v>
      </c>
      <c r="B2" s="52">
        <f>VLOOKUP(B1,'calc%concurrent'!$A$2:$B$15,2,FALSE)</f>
        <v>0.10050000000000003</v>
      </c>
      <c r="C2" s="52">
        <f>VLOOKUP(C1,'calc%concurrent'!$A$2:$B$15,2,FALSE)</f>
        <v>1.1562500000000031E-2</v>
      </c>
      <c r="D2" s="52">
        <f>VLOOKUP(D1,'calc%concurrent'!$A$2:$B$15,2,FALSE)</f>
        <v>2.6040514489776623E-2</v>
      </c>
      <c r="E2" s="95">
        <f>D2</f>
        <v>2.6040514489776623E-2</v>
      </c>
      <c r="F2" s="52">
        <f>VLOOKUP(F1,'calc%concurrent'!$A$2:$B$15,2,FALSE)</f>
        <v>0.21501653575857793</v>
      </c>
      <c r="G2" s="52">
        <f>VLOOKUP(G1,'calc%concurrent'!$A$2:$B$15,2,FALSE)</f>
        <v>0.30851477449455678</v>
      </c>
      <c r="H2" s="95">
        <f>G2</f>
        <v>0.30851477449455678</v>
      </c>
      <c r="I2" s="52">
        <f>VLOOKUP(I1,'calc%concurrent'!$A$2:$B$15,2,FALSE)</f>
        <v>0.34092450566077115</v>
      </c>
      <c r="J2" s="52">
        <f>VLOOKUP(J1,'calc%concurrent'!$A$2:$B$15,2,FALSE)</f>
        <v>0.34092450566077115</v>
      </c>
      <c r="K2" s="52">
        <f>VLOOKUP(K1,'calc%concurrent'!$A$2:$B$15,2,FALSE)</f>
        <v>0.34092450566077115</v>
      </c>
      <c r="L2" s="95">
        <f>K2</f>
        <v>0.34092450566077115</v>
      </c>
      <c r="M2" s="52">
        <f>VLOOKUP(M1,'calc%concurrent'!$A$2:$B$15,2,FALSE)</f>
        <v>0.34092450566077115</v>
      </c>
      <c r="N2" s="95">
        <f t="shared" ref="N2:R4" si="0">M2</f>
        <v>0.34092450566077115</v>
      </c>
      <c r="O2" s="95">
        <f t="shared" si="0"/>
        <v>0.34092450566077115</v>
      </c>
      <c r="P2" s="95">
        <f t="shared" si="0"/>
        <v>0.34092450566077115</v>
      </c>
      <c r="Q2" s="95">
        <f t="shared" si="0"/>
        <v>0.34092450566077115</v>
      </c>
      <c r="R2" s="95">
        <f t="shared" si="0"/>
        <v>0.34092450566077115</v>
      </c>
      <c r="S2" s="52">
        <f>VLOOKUP(S$1,'calc%concurrent'!$A$2:$B$15,2,FALSE)</f>
        <v>2.6040514489776623E-2</v>
      </c>
      <c r="T2" s="52">
        <f>VLOOKUP(T1,'calc%concurrent'!$A$2:$B$15,2,FALSE)</f>
        <v>0.26992028734364659</v>
      </c>
      <c r="U2" s="95">
        <f>T2</f>
        <v>0.26992028734364659</v>
      </c>
      <c r="V2" s="52">
        <f>VLOOKUP(V1,'calc%concurrent'!$A$2:$B$15,2,FALSE)</f>
        <v>0.26992028734364659</v>
      </c>
      <c r="W2" s="52">
        <f>VLOOKUP(W1,'calc%concurrent'!$A$2:$B$15,2,FALSE)</f>
        <v>0.26992028734364659</v>
      </c>
      <c r="X2" s="52">
        <f>VLOOKUP(X1,'calc%concurrent'!$A$2:$B$15,2,FALSE)</f>
        <v>0.26992028734364659</v>
      </c>
      <c r="Y2" s="51" t="s">
        <v>165</v>
      </c>
    </row>
    <row r="3" spans="1:25" s="2" customFormat="1">
      <c r="A3" s="39">
        <v>2</v>
      </c>
      <c r="B3" s="52">
        <f>VLOOKUP(B$1,'FTE Rate Calcs'!$A$2:$B$15,2,FALSE)</f>
        <v>1.4528829469810678</v>
      </c>
      <c r="C3" s="52">
        <f>VLOOKUP(C$1,'FTE Rate Calcs'!$A$2:$B$15,2,FALSE)</f>
        <v>1.2591684358269457</v>
      </c>
      <c r="D3" s="52">
        <f>VLOOKUP(D$1,'FTE Rate Calcs'!$A$2:$B$15,2,FALSE)</f>
        <v>1.3199787491847266</v>
      </c>
      <c r="E3" s="95">
        <f t="shared" ref="E3:E4" si="1">D3</f>
        <v>1.3199787491847266</v>
      </c>
      <c r="F3" s="52">
        <f>VLOOKUP(F$1,'FTE Rate Calcs'!$A$2:$B$15,2,FALSE)</f>
        <v>1.9089033842911585</v>
      </c>
      <c r="G3" s="52">
        <f>VLOOKUP(G$1,'FTE Rate Calcs'!$A$2:$B$15,2,FALSE)</f>
        <v>1.9089033842911585</v>
      </c>
      <c r="H3" s="95">
        <f t="shared" ref="H3:H4" si="2">G3</f>
        <v>1.9089033842911585</v>
      </c>
      <c r="I3" s="52">
        <f>VLOOKUP(I$1,'FTE Rate Calcs'!$A$2:$B$15,2,FALSE)</f>
        <v>2.4944485097171891</v>
      </c>
      <c r="J3" s="52">
        <f>VLOOKUP(J$1,'FTE Rate Calcs'!$A$2:$B$15,2,FALSE)</f>
        <v>2.4944485097171891</v>
      </c>
      <c r="K3" s="52">
        <f>VLOOKUP(K$1,'FTE Rate Calcs'!$A$2:$B$15,2,FALSE)</f>
        <v>2.4944485097171891</v>
      </c>
      <c r="L3" s="95">
        <f t="shared" ref="L3:L4" si="3">K3</f>
        <v>2.4944485097171891</v>
      </c>
      <c r="M3" s="52">
        <f>VLOOKUP(M$1,'FTE Rate Calcs'!$A$2:$B$15,2,FALSE)</f>
        <v>2.4944485097171891</v>
      </c>
      <c r="N3" s="95">
        <f t="shared" si="0"/>
        <v>2.4944485097171891</v>
      </c>
      <c r="O3" s="95">
        <f t="shared" si="0"/>
        <v>2.4944485097171891</v>
      </c>
      <c r="P3" s="95">
        <f t="shared" si="0"/>
        <v>2.4944485097171891</v>
      </c>
      <c r="Q3" s="95">
        <f t="shared" si="0"/>
        <v>2.4944485097171891</v>
      </c>
      <c r="R3" s="95">
        <f t="shared" si="0"/>
        <v>2.4944485097171891</v>
      </c>
      <c r="S3" s="52">
        <f>VLOOKUP(S$1,'FTE Rate Calcs'!$A$2:$B$15,2,FALSE)</f>
        <v>1.1631452329815202</v>
      </c>
      <c r="T3" s="52">
        <f>VLOOKUP(T$1,'FTE Rate Calcs'!$A$2:$B$15,2,FALSE)</f>
        <v>1.6817348527651581</v>
      </c>
      <c r="U3" s="95">
        <f t="shared" ref="U3:U4" si="4">T3</f>
        <v>1.6817348527651581</v>
      </c>
      <c r="V3" s="52">
        <f>VLOOKUP(V$1,'FTE Rate Calcs'!$A$2:$B$15,2,FALSE)</f>
        <v>1.6817348527651581</v>
      </c>
      <c r="W3" s="52">
        <f>VLOOKUP(W$1,'FTE Rate Calcs'!$A$2:$B$15,2,FALSE)</f>
        <v>1.6817348527651581</v>
      </c>
      <c r="X3" s="52">
        <f>VLOOKUP(X$1,'FTE Rate Calcs'!$A$2:$B$15,2,FALSE)</f>
        <v>1.6817348527651581</v>
      </c>
      <c r="Y3" s="51" t="s">
        <v>166</v>
      </c>
    </row>
    <row r="4" spans="1:25" s="2" customFormat="1">
      <c r="A4" s="39">
        <v>3</v>
      </c>
      <c r="B4" s="52">
        <f>VLOOKUP(B$1,'HBC Rates'!$A$2:$B$15,2,FALSE)</f>
        <v>0.93010000000000004</v>
      </c>
      <c r="C4" s="52">
        <f>VLOOKUP(C$1,'HBC Rates'!$A$2:$B$15,2,FALSE)</f>
        <v>0.93010000000000004</v>
      </c>
      <c r="D4" s="52">
        <f>VLOOKUP(D$1,'HBC Rates'!$A$2:$B$15,2,FALSE)</f>
        <v>0.93010000000000004</v>
      </c>
      <c r="E4" s="95">
        <f t="shared" si="1"/>
        <v>0.93010000000000004</v>
      </c>
      <c r="F4" s="52">
        <f>VLOOKUP(F$1,'HBC Rates'!$A$2:$B$15,2,FALSE)</f>
        <v>0.83</v>
      </c>
      <c r="G4" s="52">
        <f>VLOOKUP(G$1,'HBC Rates'!$A$2:$B$15,2,FALSE)</f>
        <v>0.67700000000000005</v>
      </c>
      <c r="H4" s="95">
        <f t="shared" si="2"/>
        <v>0.67700000000000005</v>
      </c>
      <c r="I4" s="52">
        <f>VLOOKUP(I$1,'HBC Rates'!$A$2:$B$15,2,FALSE)</f>
        <v>0.62190000000000001</v>
      </c>
      <c r="J4" s="52">
        <f>VLOOKUP(J$1,'HBC Rates'!$A$2:$B$15,2,FALSE)</f>
        <v>0.64219999999999999</v>
      </c>
      <c r="K4" s="52">
        <f>VLOOKUP(K$1,'HBC Rates'!$A$2:$B$15,2,FALSE)</f>
        <v>0.56869999999999998</v>
      </c>
      <c r="L4" s="95">
        <f t="shared" si="3"/>
        <v>0.56869999999999998</v>
      </c>
      <c r="M4" s="52">
        <f>VLOOKUP(M$1,'HBC Rates'!$A$2:$B$15,2,FALSE)</f>
        <v>0.61580000000000001</v>
      </c>
      <c r="N4" s="95">
        <f t="shared" si="0"/>
        <v>0.61580000000000001</v>
      </c>
      <c r="O4" s="95">
        <f t="shared" si="0"/>
        <v>0.61580000000000001</v>
      </c>
      <c r="P4" s="95">
        <f t="shared" si="0"/>
        <v>0.61580000000000001</v>
      </c>
      <c r="Q4" s="95">
        <f t="shared" si="0"/>
        <v>0.61580000000000001</v>
      </c>
      <c r="R4" s="95">
        <f t="shared" si="0"/>
        <v>0.61580000000000001</v>
      </c>
      <c r="S4" s="52">
        <f>VLOOKUP(S$1,'HBC Rates'!$A$2:$B$15,2,FALSE)</f>
        <v>0.93010000000000004</v>
      </c>
      <c r="T4" s="52">
        <f>VLOOKUP(T$1,'HBC Rates'!$A$2:$B$15,2,FALSE)</f>
        <v>0.94520000000000004</v>
      </c>
      <c r="U4" s="95">
        <f t="shared" si="4"/>
        <v>0.94520000000000004</v>
      </c>
      <c r="V4" s="52">
        <f>VLOOKUP(V$1,'HBC Rates'!$A$2:$B$15,2,FALSE)</f>
        <v>0.94520000000000004</v>
      </c>
      <c r="W4" s="52">
        <f>VLOOKUP(W$1,'HBC Rates'!$A$2:$B$15,2,FALSE)</f>
        <v>0.94520000000000004</v>
      </c>
      <c r="X4" s="52">
        <f>VLOOKUP(X$1,'HBC Rates'!$A$2:$B$15,2,FALSE)</f>
        <v>0.94520000000000004</v>
      </c>
      <c r="Y4" s="51" t="s">
        <v>167</v>
      </c>
    </row>
    <row r="6" spans="1:25">
      <c r="A6" s="93" t="s">
        <v>173</v>
      </c>
    </row>
    <row r="7" spans="1:25">
      <c r="A7" s="94" t="s">
        <v>174</v>
      </c>
    </row>
    <row r="8" spans="1:25">
      <c r="A8" s="94" t="s">
        <v>175</v>
      </c>
    </row>
    <row r="15" spans="1:25">
      <c r="C15" s="53"/>
      <c r="N15" s="53"/>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O1:AQ75"/>
  <sheetViews>
    <sheetView zoomScale="115" zoomScaleNormal="115" workbookViewId="0">
      <selection activeCell="AG15" sqref="AG15"/>
    </sheetView>
  </sheetViews>
  <sheetFormatPr defaultColWidth="9" defaultRowHeight="15"/>
  <cols>
    <col min="1" max="12" width="9" style="2"/>
    <col min="13" max="13" width="9" style="2" customWidth="1"/>
    <col min="14" max="14" width="9" style="2"/>
    <col min="15" max="29" width="12.140625" style="7" customWidth="1"/>
    <col min="30" max="30" width="12.28515625" style="2" bestFit="1" customWidth="1"/>
    <col min="31" max="35" width="9" style="2"/>
    <col min="36" max="43" width="9" style="7"/>
    <col min="44" max="16384" width="9" style="2"/>
  </cols>
  <sheetData>
    <row r="1" spans="15:30">
      <c r="O1" s="34" t="s">
        <v>109</v>
      </c>
    </row>
    <row r="2" spans="15:30">
      <c r="O2" s="7" t="s">
        <v>107</v>
      </c>
      <c r="P2" s="76" t="str">
        <f>IFERROR((FIND("_",P4)),P4)</f>
        <v>BYU</v>
      </c>
      <c r="Q2" s="76" t="str">
        <f>IFERROR((FIND("_",Q4)),Q4)</f>
        <v>ENSIGN</v>
      </c>
      <c r="R2" s="76" t="str">
        <f>IF(FIND("_",R4),LEFT(R4,FIND("_",R4)-1),R4)</f>
        <v>SLCC</v>
      </c>
      <c r="S2" s="76" t="str">
        <f>IF(FIND("_",S4),LEFT(S4,FIND("_",S4)-1),S4)</f>
        <v>SLCC</v>
      </c>
      <c r="T2" s="76" t="str">
        <f>IF(FIND("_",T4),LEFT(T4,FIND("_",T4)-1),T4)</f>
        <v>SLCC</v>
      </c>
      <c r="U2" s="76" t="str">
        <f>IF(FIND("_",U4),LEFT(U4,FIND("_",U4)-1),U4)</f>
        <v>SLCC</v>
      </c>
      <c r="V2" s="76" t="str">
        <f>IF(FIND("_",V4),LEFT(V4,FIND("_",V4)-1),V4)</f>
        <v>UOFU</v>
      </c>
      <c r="W2" s="36"/>
      <c r="X2" s="36"/>
      <c r="Y2" s="36"/>
      <c r="Z2" s="36"/>
      <c r="AA2" s="76" t="str">
        <f>IF(FIND("_",AA4),LEFT(AA4,FIND("_",AA4)-1),AA4)</f>
        <v>WSU</v>
      </c>
      <c r="AB2" s="76" t="str">
        <f>IF(FIND("_",AB4),LEFT(AB4,FIND("_",AB4)-1),AB4)</f>
        <v>WSU</v>
      </c>
      <c r="AC2" s="76" t="str">
        <f>IFERROR((FIND("_",AC4)),AC4)</f>
        <v>WESTMIN</v>
      </c>
      <c r="AD2" s="76"/>
    </row>
    <row r="3" spans="15:30">
      <c r="O3" s="7" t="s">
        <v>108</v>
      </c>
      <c r="P3" s="33">
        <v>1</v>
      </c>
      <c r="Q3" s="33">
        <v>1</v>
      </c>
      <c r="R3" s="77">
        <f>'USHE 2020 Campus Totals'!D3</f>
        <v>0.68409986859395533</v>
      </c>
      <c r="S3" s="77">
        <f>'USHE 2020 Campus Totals'!D6</f>
        <v>0.13337713534822601</v>
      </c>
      <c r="T3" s="77">
        <f>'USHE 2020 Campus Totals'!D7</f>
        <v>1.6162943495400789E-2</v>
      </c>
      <c r="U3" s="77">
        <f>'USHE 2020 Campus Totals'!D10</f>
        <v>0.10175208059570741</v>
      </c>
      <c r="V3" s="77">
        <f>'USHE 2020 Campus Totals'!D19</f>
        <v>0.96822824938358576</v>
      </c>
      <c r="W3" s="78"/>
      <c r="X3" s="78"/>
      <c r="Y3" s="78"/>
      <c r="Z3" s="78"/>
      <c r="AA3" s="77">
        <f>'USHE 2020 Campus Totals'!D23</f>
        <v>0.81142857142857139</v>
      </c>
      <c r="AB3" s="77">
        <f>'USHE 2020 Campus Totals'!D26</f>
        <v>0.16281800391389434</v>
      </c>
      <c r="AC3" s="33">
        <v>1</v>
      </c>
      <c r="AD3" s="77"/>
    </row>
    <row r="4" spans="15:30">
      <c r="O4" s="3" t="s">
        <v>5</v>
      </c>
      <c r="P4" s="3" t="s">
        <v>15</v>
      </c>
      <c r="Q4" s="3" t="s">
        <v>16</v>
      </c>
      <c r="R4" s="3" t="s">
        <v>52</v>
      </c>
      <c r="S4" s="3" t="s">
        <v>53</v>
      </c>
      <c r="T4" s="3" t="s">
        <v>54</v>
      </c>
      <c r="U4" s="3" t="s">
        <v>55</v>
      </c>
      <c r="V4" s="3" t="s">
        <v>99</v>
      </c>
      <c r="W4" s="3" t="s">
        <v>100</v>
      </c>
      <c r="X4" s="3" t="s">
        <v>119</v>
      </c>
      <c r="Y4" s="3" t="s">
        <v>120</v>
      </c>
      <c r="Z4" s="3" t="s">
        <v>121</v>
      </c>
      <c r="AA4" s="3" t="s">
        <v>105</v>
      </c>
      <c r="AB4" s="3" t="s">
        <v>104</v>
      </c>
      <c r="AC4" s="3" t="s">
        <v>17</v>
      </c>
      <c r="AD4" s="55" t="s">
        <v>92</v>
      </c>
    </row>
    <row r="5" spans="15:30">
      <c r="O5" s="3">
        <v>1990</v>
      </c>
      <c r="P5" s="114">
        <f>MROUND(P$3*INDEX('College Enrollment Projections'!$AJ$2:$AP$72,MATCH('Campus Enrol Disaggregation'!$O5,'College Enrollment Projections'!$AI$2:$AI$72,0),MATCH('Campus Enrol Disaggregation'!P$2,'College Enrollment Projections'!$AJ$1:$AP$1,0)),50)</f>
        <v>30450</v>
      </c>
      <c r="Q5" s="114">
        <f>MROUND(Q$3*INDEX('College Enrollment Projections'!$AJ$2:$AP$72,MATCH('Campus Enrol Disaggregation'!$O5,'College Enrollment Projections'!$AI$2:$AI$72,0),MATCH('Campus Enrol Disaggregation'!Q$2,'College Enrollment Projections'!$AJ$1:$AP$1,0)),50)</f>
        <v>0</v>
      </c>
      <c r="R5" s="114">
        <f>MROUND(R$3*INDEX('College Enrollment Projections'!$AJ$2:$AP$72,MATCH('Campus Enrol Disaggregation'!$O5,'College Enrollment Projections'!$AI$2:$AI$72,0),MATCH('Campus Enrol Disaggregation'!R$2,'College Enrollment Projections'!$AJ$1:$AP$1,0)),50)</f>
        <v>9150</v>
      </c>
      <c r="S5" s="114">
        <f>MROUND(S$3*INDEX('College Enrollment Projections'!$AJ$2:$AP$72,MATCH('Campus Enrol Disaggregation'!$O5,'College Enrollment Projections'!$AI$2:$AI$72,0),MATCH('Campus Enrol Disaggregation'!S$2,'College Enrollment Projections'!$AJ$1:$AP$1,0)),50)</f>
        <v>1800</v>
      </c>
      <c r="T5" s="114">
        <f>MROUND(T$3*INDEX('College Enrollment Projections'!$AJ$2:$AP$72,MATCH('Campus Enrol Disaggregation'!$O5,'College Enrollment Projections'!$AI$2:$AI$72,0),MATCH('Campus Enrol Disaggregation'!T$2,'College Enrollment Projections'!$AJ$1:$AP$1,0)),50)</f>
        <v>200</v>
      </c>
      <c r="U5" s="114">
        <f>MROUND(U$3*INDEX('College Enrollment Projections'!$AJ$2:$AP$72,MATCH('Campus Enrol Disaggregation'!$O5,'College Enrollment Projections'!$AI$2:$AI$72,0),MATCH('Campus Enrol Disaggregation'!U$2,'College Enrollment Projections'!$AJ$1:$AP$1,0)),50)</f>
        <v>1350</v>
      </c>
      <c r="V5" s="114">
        <f>MROUND(V$3*INDEX('College Enrollment Projections'!$AJ$2:$AP$72,MATCH('Campus Enrol Disaggregation'!$O5,'College Enrollment Projections'!$AI$2:$AI$72,0),MATCH('Campus Enrol Disaggregation'!V$2,'College Enrollment Projections'!$AJ$1:$AP$1,0)),50)</f>
        <v>23550</v>
      </c>
      <c r="W5" s="115">
        <f>MROUND(INDEX('MAG College Enrollment Forecast'!$B$4:$H$74,MATCH($O5,'MAG College Enrollment Forecast'!$A$4:$A$74,0),MATCH(W$4,'MAG College Enrollment Forecast'!$B$1:$H$1,0)),50)</f>
        <v>7900</v>
      </c>
      <c r="X5" s="115">
        <f>MROUND(INDEX('MAG College Enrollment Forecast'!$B$4:$H$74,MATCH($O5,'MAG College Enrollment Forecast'!$A$4:$A$74,0),MATCH(X$4,'MAG College Enrollment Forecast'!$B$1:$H$1,0)),50)</f>
        <v>0</v>
      </c>
      <c r="Y5" s="115">
        <f>MROUND(INDEX('MAG College Enrollment Forecast'!$B$4:$H$74,MATCH($O5,'MAG College Enrollment Forecast'!$A$4:$A$74,0),MATCH(Y$4,'MAG College Enrollment Forecast'!$B$1:$H$1,0)),50)</f>
        <v>0</v>
      </c>
      <c r="Z5" s="115">
        <f>MROUND(INDEX('MAG College Enrollment Forecast'!$B$4:$H$74,MATCH($O5,'MAG College Enrollment Forecast'!$A$4:$A$74,0),MATCH(Z$4,'MAG College Enrollment Forecast'!$B$1:$H$1,0)),50)</f>
        <v>0</v>
      </c>
      <c r="AA5" s="116">
        <f>MROUND(AA$3*INDEX('College Enrollment Projections'!$AJ$2:$AP$72,MATCH('Campus Enrol Disaggregation'!$O5,'College Enrollment Projections'!$AI$2:$AI$72,0),MATCH('Campus Enrol Disaggregation'!AA$2,'College Enrollment Projections'!$AJ$1:$AP$1,0)),50)</f>
        <v>10900</v>
      </c>
      <c r="AB5" s="116">
        <f>MROUND(AB$3*INDEX('College Enrollment Projections'!$AJ$2:$AP$72,MATCH('Campus Enrol Disaggregation'!$O5,'College Enrollment Projections'!$AI$2:$AI$72,0),MATCH('Campus Enrol Disaggregation'!AB$2,'College Enrollment Projections'!$AJ$1:$AP$1,0)),50)</f>
        <v>2200</v>
      </c>
      <c r="AC5" s="116">
        <f>MROUND(AC$3*INDEX('College Enrollment Projections'!$AJ$2:$AP$72,MATCH('Campus Enrol Disaggregation'!$O5,'College Enrollment Projections'!$AI$2:$AI$72,0),MATCH('Campus Enrol Disaggregation'!AC$2,'College Enrollment Projections'!$AJ$1:$AP$1,0)),50)</f>
        <v>0</v>
      </c>
      <c r="AD5" s="117">
        <f>SUM(P5:AC5)</f>
        <v>87500</v>
      </c>
    </row>
    <row r="6" spans="15:30">
      <c r="O6" s="3">
        <v>1991</v>
      </c>
      <c r="P6" s="114">
        <f>MROUND(P$3*INDEX('College Enrollment Projections'!$AJ$2:$AP$72,MATCH('Campus Enrol Disaggregation'!$O6,'College Enrollment Projections'!$AI$2:$AI$72,0),MATCH('Campus Enrol Disaggregation'!P$2,'College Enrollment Projections'!$AJ$1:$AP$1,0)),50)</f>
        <v>31100</v>
      </c>
      <c r="Q6" s="114">
        <f>MROUND(Q$3*INDEX('College Enrollment Projections'!$AJ$2:$AP$72,MATCH('Campus Enrol Disaggregation'!$O6,'College Enrollment Projections'!$AI$2:$AI$72,0),MATCH('Campus Enrol Disaggregation'!Q$2,'College Enrollment Projections'!$AJ$1:$AP$1,0)),50)</f>
        <v>0</v>
      </c>
      <c r="R6" s="114">
        <f>MROUND(R$3*INDEX('College Enrollment Projections'!$AJ$2:$AP$72,MATCH('Campus Enrol Disaggregation'!$O6,'College Enrollment Projections'!$AI$2:$AI$72,0),MATCH('Campus Enrol Disaggregation'!R$2,'College Enrollment Projections'!$AJ$1:$AP$1,0)),50)</f>
        <v>10950</v>
      </c>
      <c r="S6" s="114">
        <f>MROUND(S$3*INDEX('College Enrollment Projections'!$AJ$2:$AP$72,MATCH('Campus Enrol Disaggregation'!$O6,'College Enrollment Projections'!$AI$2:$AI$72,0),MATCH('Campus Enrol Disaggregation'!S$2,'College Enrollment Projections'!$AJ$1:$AP$1,0)),50)</f>
        <v>2150</v>
      </c>
      <c r="T6" s="114">
        <f>MROUND(T$3*INDEX('College Enrollment Projections'!$AJ$2:$AP$72,MATCH('Campus Enrol Disaggregation'!$O6,'College Enrollment Projections'!$AI$2:$AI$72,0),MATCH('Campus Enrol Disaggregation'!T$2,'College Enrollment Projections'!$AJ$1:$AP$1,0)),50)</f>
        <v>250</v>
      </c>
      <c r="U6" s="114">
        <f>MROUND(U$3*INDEX('College Enrollment Projections'!$AJ$2:$AP$72,MATCH('Campus Enrol Disaggregation'!$O6,'College Enrollment Projections'!$AI$2:$AI$72,0),MATCH('Campus Enrol Disaggregation'!U$2,'College Enrollment Projections'!$AJ$1:$AP$1,0)),50)</f>
        <v>1650</v>
      </c>
      <c r="V6" s="114">
        <f>MROUND(V$3*INDEX('College Enrollment Projections'!$AJ$2:$AP$72,MATCH('Campus Enrol Disaggregation'!$O6,'College Enrollment Projections'!$AI$2:$AI$72,0),MATCH('Campus Enrol Disaggregation'!V$2,'College Enrollment Projections'!$AJ$1:$AP$1,0)),50)</f>
        <v>24750</v>
      </c>
      <c r="W6" s="115">
        <f>MROUND(INDEX('MAG College Enrollment Forecast'!$B$4:$H$74,MATCH($O6,'MAG College Enrollment Forecast'!$A$4:$A$74,0),MATCH(W$4,'MAG College Enrollment Forecast'!$B$1:$H$1,0)),50)</f>
        <v>8800</v>
      </c>
      <c r="X6" s="115">
        <f>MROUND(INDEX('MAG College Enrollment Forecast'!$B$4:$H$74,MATCH($O6,'MAG College Enrollment Forecast'!$A$4:$A$74,0),MATCH(X$4,'MAG College Enrollment Forecast'!$B$1:$H$1,0)),50)</f>
        <v>0</v>
      </c>
      <c r="Y6" s="115">
        <f>MROUND(INDEX('MAG College Enrollment Forecast'!$B$4:$H$74,MATCH($O6,'MAG College Enrollment Forecast'!$A$4:$A$74,0),MATCH(Y$4,'MAG College Enrollment Forecast'!$B$1:$H$1,0)),50)</f>
        <v>0</v>
      </c>
      <c r="Z6" s="115">
        <f>MROUND(INDEX('MAG College Enrollment Forecast'!$B$4:$H$74,MATCH($O6,'MAG College Enrollment Forecast'!$A$4:$A$74,0),MATCH(Z$4,'MAG College Enrollment Forecast'!$B$1:$H$1,0)),50)</f>
        <v>0</v>
      </c>
      <c r="AA6" s="116">
        <f>MROUND(AA$3*INDEX('College Enrollment Projections'!$AJ$2:$AP$72,MATCH('Campus Enrol Disaggregation'!$O6,'College Enrollment Projections'!$AI$2:$AI$72,0),MATCH('Campus Enrol Disaggregation'!AA$2,'College Enrollment Projections'!$AJ$1:$AP$1,0)),50)</f>
        <v>11750</v>
      </c>
      <c r="AB6" s="116">
        <f>MROUND(AB$3*INDEX('College Enrollment Projections'!$AJ$2:$AP$72,MATCH('Campus Enrol Disaggregation'!$O6,'College Enrollment Projections'!$AI$2:$AI$72,0),MATCH('Campus Enrol Disaggregation'!AB$2,'College Enrollment Projections'!$AJ$1:$AP$1,0)),50)</f>
        <v>2350</v>
      </c>
      <c r="AC6" s="116">
        <f>MROUND(AC$3*INDEX('College Enrollment Projections'!$AJ$2:$AP$72,MATCH('Campus Enrol Disaggregation'!$O6,'College Enrollment Projections'!$AI$2:$AI$72,0),MATCH('Campus Enrol Disaggregation'!AC$2,'College Enrollment Projections'!$AJ$1:$AP$1,0)),50)</f>
        <v>0</v>
      </c>
      <c r="AD6" s="117">
        <f t="shared" ref="AD6:AD69" si="0">SUM(P6:AC6)</f>
        <v>93750</v>
      </c>
    </row>
    <row r="7" spans="15:30">
      <c r="O7" s="3">
        <v>1992</v>
      </c>
      <c r="P7" s="114">
        <f>MROUND(P$3*INDEX('College Enrollment Projections'!$AJ$2:$AP$72,MATCH('Campus Enrol Disaggregation'!$O7,'College Enrollment Projections'!$AI$2:$AI$72,0),MATCH('Campus Enrol Disaggregation'!P$2,'College Enrollment Projections'!$AJ$1:$AP$1,0)),50)</f>
        <v>31100</v>
      </c>
      <c r="Q7" s="114">
        <f>MROUND(Q$3*INDEX('College Enrollment Projections'!$AJ$2:$AP$72,MATCH('Campus Enrol Disaggregation'!$O7,'College Enrollment Projections'!$AI$2:$AI$72,0),MATCH('Campus Enrol Disaggregation'!Q$2,'College Enrollment Projections'!$AJ$1:$AP$1,0)),50)</f>
        <v>0</v>
      </c>
      <c r="R7" s="114">
        <f>MROUND(R$3*INDEX('College Enrollment Projections'!$AJ$2:$AP$72,MATCH('Campus Enrol Disaggregation'!$O7,'College Enrollment Projections'!$AI$2:$AI$72,0),MATCH('Campus Enrol Disaggregation'!R$2,'College Enrollment Projections'!$AJ$1:$AP$1,0)),50)</f>
        <v>12150</v>
      </c>
      <c r="S7" s="114">
        <f>MROUND(S$3*INDEX('College Enrollment Projections'!$AJ$2:$AP$72,MATCH('Campus Enrol Disaggregation'!$O7,'College Enrollment Projections'!$AI$2:$AI$72,0),MATCH('Campus Enrol Disaggregation'!S$2,'College Enrollment Projections'!$AJ$1:$AP$1,0)),50)</f>
        <v>2350</v>
      </c>
      <c r="T7" s="114">
        <f>MROUND(T$3*INDEX('College Enrollment Projections'!$AJ$2:$AP$72,MATCH('Campus Enrol Disaggregation'!$O7,'College Enrollment Projections'!$AI$2:$AI$72,0),MATCH('Campus Enrol Disaggregation'!T$2,'College Enrollment Projections'!$AJ$1:$AP$1,0)),50)</f>
        <v>300</v>
      </c>
      <c r="U7" s="114">
        <f>MROUND(U$3*INDEX('College Enrollment Projections'!$AJ$2:$AP$72,MATCH('Campus Enrol Disaggregation'!$O7,'College Enrollment Projections'!$AI$2:$AI$72,0),MATCH('Campus Enrol Disaggregation'!U$2,'College Enrollment Projections'!$AJ$1:$AP$1,0)),50)</f>
        <v>1800</v>
      </c>
      <c r="V7" s="114">
        <f>MROUND(V$3*INDEX('College Enrollment Projections'!$AJ$2:$AP$72,MATCH('Campus Enrol Disaggregation'!$O7,'College Enrollment Projections'!$AI$2:$AI$72,0),MATCH('Campus Enrol Disaggregation'!V$2,'College Enrollment Projections'!$AJ$1:$AP$1,0)),50)</f>
        <v>25050</v>
      </c>
      <c r="W7" s="115">
        <f>MROUND(INDEX('MAG College Enrollment Forecast'!$B$4:$H$74,MATCH($O7,'MAG College Enrollment Forecast'!$A$4:$A$74,0),MATCH(W$4,'MAG College Enrollment Forecast'!$B$1:$H$1,0)),50)</f>
        <v>9600</v>
      </c>
      <c r="X7" s="115">
        <f>MROUND(INDEX('MAG College Enrollment Forecast'!$B$4:$H$74,MATCH($O7,'MAG College Enrollment Forecast'!$A$4:$A$74,0),MATCH(X$4,'MAG College Enrollment Forecast'!$B$1:$H$1,0)),50)</f>
        <v>0</v>
      </c>
      <c r="Y7" s="115">
        <f>MROUND(INDEX('MAG College Enrollment Forecast'!$B$4:$H$74,MATCH($O7,'MAG College Enrollment Forecast'!$A$4:$A$74,0),MATCH(Y$4,'MAG College Enrollment Forecast'!$B$1:$H$1,0)),50)</f>
        <v>0</v>
      </c>
      <c r="Z7" s="115">
        <f>MROUND(INDEX('MAG College Enrollment Forecast'!$B$4:$H$74,MATCH($O7,'MAG College Enrollment Forecast'!$A$4:$A$74,0),MATCH(Z$4,'MAG College Enrollment Forecast'!$B$1:$H$1,0)),50)</f>
        <v>0</v>
      </c>
      <c r="AA7" s="116">
        <f>MROUND(AA$3*INDEX('College Enrollment Projections'!$AJ$2:$AP$72,MATCH('Campus Enrol Disaggregation'!$O7,'College Enrollment Projections'!$AI$2:$AI$72,0),MATCH('Campus Enrol Disaggregation'!AA$2,'College Enrollment Projections'!$AJ$1:$AP$1,0)),50)</f>
        <v>12150</v>
      </c>
      <c r="AB7" s="116">
        <f>MROUND(AB$3*INDEX('College Enrollment Projections'!$AJ$2:$AP$72,MATCH('Campus Enrol Disaggregation'!$O7,'College Enrollment Projections'!$AI$2:$AI$72,0),MATCH('Campus Enrol Disaggregation'!AB$2,'College Enrollment Projections'!$AJ$1:$AP$1,0)),50)</f>
        <v>2450</v>
      </c>
      <c r="AC7" s="116">
        <f>MROUND(AC$3*INDEX('College Enrollment Projections'!$AJ$2:$AP$72,MATCH('Campus Enrol Disaggregation'!$O7,'College Enrollment Projections'!$AI$2:$AI$72,0),MATCH('Campus Enrol Disaggregation'!AC$2,'College Enrollment Projections'!$AJ$1:$AP$1,0)),50)</f>
        <v>0</v>
      </c>
      <c r="AD7" s="117">
        <f t="shared" si="0"/>
        <v>96950</v>
      </c>
    </row>
    <row r="8" spans="15:30">
      <c r="O8" s="3">
        <v>1993</v>
      </c>
      <c r="P8" s="114">
        <f>MROUND(P$3*INDEX('College Enrollment Projections'!$AJ$2:$AP$72,MATCH('Campus Enrol Disaggregation'!$O8,'College Enrollment Projections'!$AI$2:$AI$72,0),MATCH('Campus Enrol Disaggregation'!P$2,'College Enrollment Projections'!$AJ$1:$AP$1,0)),50)</f>
        <v>30550</v>
      </c>
      <c r="Q8" s="114">
        <f>MROUND(Q$3*INDEX('College Enrollment Projections'!$AJ$2:$AP$72,MATCH('Campus Enrol Disaggregation'!$O8,'College Enrollment Projections'!$AI$2:$AI$72,0),MATCH('Campus Enrol Disaggregation'!Q$2,'College Enrollment Projections'!$AJ$1:$AP$1,0)),50)</f>
        <v>0</v>
      </c>
      <c r="R8" s="114">
        <f>MROUND(R$3*INDEX('College Enrollment Projections'!$AJ$2:$AP$72,MATCH('Campus Enrol Disaggregation'!$O8,'College Enrollment Projections'!$AI$2:$AI$72,0),MATCH('Campus Enrol Disaggregation'!R$2,'College Enrollment Projections'!$AJ$1:$AP$1,0)),50)</f>
        <v>12550</v>
      </c>
      <c r="S8" s="114">
        <f>MROUND(S$3*INDEX('College Enrollment Projections'!$AJ$2:$AP$72,MATCH('Campus Enrol Disaggregation'!$O8,'College Enrollment Projections'!$AI$2:$AI$72,0),MATCH('Campus Enrol Disaggregation'!S$2,'College Enrollment Projections'!$AJ$1:$AP$1,0)),50)</f>
        <v>2450</v>
      </c>
      <c r="T8" s="114">
        <f>MROUND(T$3*INDEX('College Enrollment Projections'!$AJ$2:$AP$72,MATCH('Campus Enrol Disaggregation'!$O8,'College Enrollment Projections'!$AI$2:$AI$72,0),MATCH('Campus Enrol Disaggregation'!T$2,'College Enrollment Projections'!$AJ$1:$AP$1,0)),50)</f>
        <v>300</v>
      </c>
      <c r="U8" s="114">
        <f>MROUND(U$3*INDEX('College Enrollment Projections'!$AJ$2:$AP$72,MATCH('Campus Enrol Disaggregation'!$O8,'College Enrollment Projections'!$AI$2:$AI$72,0),MATCH('Campus Enrol Disaggregation'!U$2,'College Enrollment Projections'!$AJ$1:$AP$1,0)),50)</f>
        <v>1850</v>
      </c>
      <c r="V8" s="114">
        <f>MROUND(V$3*INDEX('College Enrollment Projections'!$AJ$2:$AP$72,MATCH('Campus Enrol Disaggregation'!$O8,'College Enrollment Projections'!$AI$2:$AI$72,0),MATCH('Campus Enrol Disaggregation'!V$2,'College Enrollment Projections'!$AJ$1:$AP$1,0)),50)</f>
        <v>25150</v>
      </c>
      <c r="W8" s="115">
        <f>MROUND(INDEX('MAG College Enrollment Forecast'!$B$4:$H$74,MATCH($O8,'MAG College Enrollment Forecast'!$A$4:$A$74,0),MATCH(W$4,'MAG College Enrollment Forecast'!$B$1:$H$1,0)),50)</f>
        <v>10500</v>
      </c>
      <c r="X8" s="115">
        <f>MROUND(INDEX('MAG College Enrollment Forecast'!$B$4:$H$74,MATCH($O8,'MAG College Enrollment Forecast'!$A$4:$A$74,0),MATCH(X$4,'MAG College Enrollment Forecast'!$B$1:$H$1,0)),50)</f>
        <v>0</v>
      </c>
      <c r="Y8" s="115">
        <f>MROUND(INDEX('MAG College Enrollment Forecast'!$B$4:$H$74,MATCH($O8,'MAG College Enrollment Forecast'!$A$4:$A$74,0),MATCH(Y$4,'MAG College Enrollment Forecast'!$B$1:$H$1,0)),50)</f>
        <v>0</v>
      </c>
      <c r="Z8" s="115">
        <f>MROUND(INDEX('MAG College Enrollment Forecast'!$B$4:$H$74,MATCH($O8,'MAG College Enrollment Forecast'!$A$4:$A$74,0),MATCH(Z$4,'MAG College Enrollment Forecast'!$B$1:$H$1,0)),50)</f>
        <v>0</v>
      </c>
      <c r="AA8" s="116">
        <f>MROUND(AA$3*INDEX('College Enrollment Projections'!$AJ$2:$AP$72,MATCH('Campus Enrol Disaggregation'!$O8,'College Enrollment Projections'!$AI$2:$AI$72,0),MATCH('Campus Enrol Disaggregation'!AA$2,'College Enrollment Projections'!$AJ$1:$AP$1,0)),50)</f>
        <v>11700</v>
      </c>
      <c r="AB8" s="116">
        <f>MROUND(AB$3*INDEX('College Enrollment Projections'!$AJ$2:$AP$72,MATCH('Campus Enrol Disaggregation'!$O8,'College Enrollment Projections'!$AI$2:$AI$72,0),MATCH('Campus Enrol Disaggregation'!AB$2,'College Enrollment Projections'!$AJ$1:$AP$1,0)),50)</f>
        <v>2350</v>
      </c>
      <c r="AC8" s="116">
        <f>MROUND(AC$3*INDEX('College Enrollment Projections'!$AJ$2:$AP$72,MATCH('Campus Enrol Disaggregation'!$O8,'College Enrollment Projections'!$AI$2:$AI$72,0),MATCH('Campus Enrol Disaggregation'!AC$2,'College Enrollment Projections'!$AJ$1:$AP$1,0)),50)</f>
        <v>0</v>
      </c>
      <c r="AD8" s="117">
        <f t="shared" si="0"/>
        <v>97400</v>
      </c>
    </row>
    <row r="9" spans="15:30">
      <c r="O9" s="3">
        <v>1994</v>
      </c>
      <c r="P9" s="114">
        <f>MROUND(P$3*INDEX('College Enrollment Projections'!$AJ$2:$AP$72,MATCH('Campus Enrol Disaggregation'!$O9,'College Enrollment Projections'!$AI$2:$AI$72,0),MATCH('Campus Enrol Disaggregation'!P$2,'College Enrollment Projections'!$AJ$1:$AP$1,0)),50)</f>
        <v>30400</v>
      </c>
      <c r="Q9" s="114">
        <f>MROUND(Q$3*INDEX('College Enrollment Projections'!$AJ$2:$AP$72,MATCH('Campus Enrol Disaggregation'!$O9,'College Enrollment Projections'!$AI$2:$AI$72,0),MATCH('Campus Enrol Disaggregation'!Q$2,'College Enrollment Projections'!$AJ$1:$AP$1,0)),50)</f>
        <v>0</v>
      </c>
      <c r="R9" s="114">
        <f>MROUND(R$3*INDEX('College Enrollment Projections'!$AJ$2:$AP$72,MATCH('Campus Enrol Disaggregation'!$O9,'College Enrollment Projections'!$AI$2:$AI$72,0),MATCH('Campus Enrol Disaggregation'!R$2,'College Enrollment Projections'!$AJ$1:$AP$1,0)),50)</f>
        <v>13300</v>
      </c>
      <c r="S9" s="114">
        <f>MROUND(S$3*INDEX('College Enrollment Projections'!$AJ$2:$AP$72,MATCH('Campus Enrol Disaggregation'!$O9,'College Enrollment Projections'!$AI$2:$AI$72,0),MATCH('Campus Enrol Disaggregation'!S$2,'College Enrollment Projections'!$AJ$1:$AP$1,0)),50)</f>
        <v>2600</v>
      </c>
      <c r="T9" s="114">
        <f>MROUND(T$3*INDEX('College Enrollment Projections'!$AJ$2:$AP$72,MATCH('Campus Enrol Disaggregation'!$O9,'College Enrollment Projections'!$AI$2:$AI$72,0),MATCH('Campus Enrol Disaggregation'!T$2,'College Enrollment Projections'!$AJ$1:$AP$1,0)),50)</f>
        <v>300</v>
      </c>
      <c r="U9" s="114">
        <f>MROUND(U$3*INDEX('College Enrollment Projections'!$AJ$2:$AP$72,MATCH('Campus Enrol Disaggregation'!$O9,'College Enrollment Projections'!$AI$2:$AI$72,0),MATCH('Campus Enrol Disaggregation'!U$2,'College Enrollment Projections'!$AJ$1:$AP$1,0)),50)</f>
        <v>2000</v>
      </c>
      <c r="V9" s="114">
        <f>MROUND(V$3*INDEX('College Enrollment Projections'!$AJ$2:$AP$72,MATCH('Campus Enrol Disaggregation'!$O9,'College Enrollment Projections'!$AI$2:$AI$72,0),MATCH('Campus Enrol Disaggregation'!V$2,'College Enrollment Projections'!$AJ$1:$AP$1,0)),50)</f>
        <v>24850</v>
      </c>
      <c r="W9" s="115">
        <f>MROUND(INDEX('MAG College Enrollment Forecast'!$B$4:$H$74,MATCH($O9,'MAG College Enrollment Forecast'!$A$4:$A$74,0),MATCH(W$4,'MAG College Enrollment Forecast'!$B$1:$H$1,0)),50)</f>
        <v>13300</v>
      </c>
      <c r="X9" s="115">
        <f>MROUND(INDEX('MAG College Enrollment Forecast'!$B$4:$H$74,MATCH($O9,'MAG College Enrollment Forecast'!$A$4:$A$74,0),MATCH(X$4,'MAG College Enrollment Forecast'!$B$1:$H$1,0)),50)</f>
        <v>0</v>
      </c>
      <c r="Y9" s="115">
        <f>MROUND(INDEX('MAG College Enrollment Forecast'!$B$4:$H$74,MATCH($O9,'MAG College Enrollment Forecast'!$A$4:$A$74,0),MATCH(Y$4,'MAG College Enrollment Forecast'!$B$1:$H$1,0)),50)</f>
        <v>0</v>
      </c>
      <c r="Z9" s="115">
        <f>MROUND(INDEX('MAG College Enrollment Forecast'!$B$4:$H$74,MATCH($O9,'MAG College Enrollment Forecast'!$A$4:$A$74,0),MATCH(Z$4,'MAG College Enrollment Forecast'!$B$1:$H$1,0)),50)</f>
        <v>0</v>
      </c>
      <c r="AA9" s="116">
        <f>MROUND(AA$3*INDEX('College Enrollment Projections'!$AJ$2:$AP$72,MATCH('Campus Enrol Disaggregation'!$O9,'College Enrollment Projections'!$AI$2:$AI$72,0),MATCH('Campus Enrol Disaggregation'!AA$2,'College Enrollment Projections'!$AJ$1:$AP$1,0)),50)</f>
        <v>11550</v>
      </c>
      <c r="AB9" s="116">
        <f>MROUND(AB$3*INDEX('College Enrollment Projections'!$AJ$2:$AP$72,MATCH('Campus Enrol Disaggregation'!$O9,'College Enrollment Projections'!$AI$2:$AI$72,0),MATCH('Campus Enrol Disaggregation'!AB$2,'College Enrollment Projections'!$AJ$1:$AP$1,0)),50)</f>
        <v>2300</v>
      </c>
      <c r="AC9" s="116">
        <f>MROUND(AC$3*INDEX('College Enrollment Projections'!$AJ$2:$AP$72,MATCH('Campus Enrol Disaggregation'!$O9,'College Enrollment Projections'!$AI$2:$AI$72,0),MATCH('Campus Enrol Disaggregation'!AC$2,'College Enrollment Projections'!$AJ$1:$AP$1,0)),50)</f>
        <v>0</v>
      </c>
      <c r="AD9" s="117">
        <f t="shared" si="0"/>
        <v>100600</v>
      </c>
    </row>
    <row r="10" spans="15:30">
      <c r="O10" s="3">
        <v>1995</v>
      </c>
      <c r="P10" s="114">
        <f>MROUND(P$3*INDEX('College Enrollment Projections'!$AJ$2:$AP$72,MATCH('Campus Enrol Disaggregation'!$O10,'College Enrollment Projections'!$AI$2:$AI$72,0),MATCH('Campus Enrol Disaggregation'!P$2,'College Enrollment Projections'!$AJ$1:$AP$1,0)),50)</f>
        <v>30450</v>
      </c>
      <c r="Q10" s="114">
        <f>MROUND(Q$3*INDEX('College Enrollment Projections'!$AJ$2:$AP$72,MATCH('Campus Enrol Disaggregation'!$O10,'College Enrollment Projections'!$AI$2:$AI$72,0),MATCH('Campus Enrol Disaggregation'!Q$2,'College Enrollment Projections'!$AJ$1:$AP$1,0)),50)</f>
        <v>0</v>
      </c>
      <c r="R10" s="114">
        <f>MROUND(R$3*INDEX('College Enrollment Projections'!$AJ$2:$AP$72,MATCH('Campus Enrol Disaggregation'!$O10,'College Enrollment Projections'!$AI$2:$AI$72,0),MATCH('Campus Enrol Disaggregation'!R$2,'College Enrollment Projections'!$AJ$1:$AP$1,0)),50)</f>
        <v>14250</v>
      </c>
      <c r="S10" s="114">
        <f>MROUND(S$3*INDEX('College Enrollment Projections'!$AJ$2:$AP$72,MATCH('Campus Enrol Disaggregation'!$O10,'College Enrollment Projections'!$AI$2:$AI$72,0),MATCH('Campus Enrol Disaggregation'!S$2,'College Enrollment Projections'!$AJ$1:$AP$1,0)),50)</f>
        <v>2800</v>
      </c>
      <c r="T10" s="114">
        <f>MROUND(T$3*INDEX('College Enrollment Projections'!$AJ$2:$AP$72,MATCH('Campus Enrol Disaggregation'!$O10,'College Enrollment Projections'!$AI$2:$AI$72,0),MATCH('Campus Enrol Disaggregation'!T$2,'College Enrollment Projections'!$AJ$1:$AP$1,0)),50)</f>
        <v>350</v>
      </c>
      <c r="U10" s="114">
        <f>MROUND(U$3*INDEX('College Enrollment Projections'!$AJ$2:$AP$72,MATCH('Campus Enrol Disaggregation'!$O10,'College Enrollment Projections'!$AI$2:$AI$72,0),MATCH('Campus Enrol Disaggregation'!U$2,'College Enrollment Projections'!$AJ$1:$AP$1,0)),50)</f>
        <v>2100</v>
      </c>
      <c r="V10" s="114">
        <f>MROUND(V$3*INDEX('College Enrollment Projections'!$AJ$2:$AP$72,MATCH('Campus Enrol Disaggregation'!$O10,'College Enrollment Projections'!$AI$2:$AI$72,0),MATCH('Campus Enrol Disaggregation'!V$2,'College Enrollment Projections'!$AJ$1:$AP$1,0)),50)</f>
        <v>25950</v>
      </c>
      <c r="W10" s="115">
        <f>MROUND(INDEX('MAG College Enrollment Forecast'!$B$4:$H$74,MATCH($O10,'MAG College Enrollment Forecast'!$A$4:$A$74,0),MATCH(W$4,'MAG College Enrollment Forecast'!$B$1:$H$1,0)),50)</f>
        <v>14050</v>
      </c>
      <c r="X10" s="115">
        <f>MROUND(INDEX('MAG College Enrollment Forecast'!$B$4:$H$74,MATCH($O10,'MAG College Enrollment Forecast'!$A$4:$A$74,0),MATCH(X$4,'MAG College Enrollment Forecast'!$B$1:$H$1,0)),50)</f>
        <v>0</v>
      </c>
      <c r="Y10" s="115">
        <f>MROUND(INDEX('MAG College Enrollment Forecast'!$B$4:$H$74,MATCH($O10,'MAG College Enrollment Forecast'!$A$4:$A$74,0),MATCH(Y$4,'MAG College Enrollment Forecast'!$B$1:$H$1,0)),50)</f>
        <v>0</v>
      </c>
      <c r="Z10" s="115">
        <f>MROUND(INDEX('MAG College Enrollment Forecast'!$B$4:$H$74,MATCH($O10,'MAG College Enrollment Forecast'!$A$4:$A$74,0),MATCH(Z$4,'MAG College Enrollment Forecast'!$B$1:$H$1,0)),50)</f>
        <v>0</v>
      </c>
      <c r="AA10" s="116">
        <f>MROUND(AA$3*INDEX('College Enrollment Projections'!$AJ$2:$AP$72,MATCH('Campus Enrol Disaggregation'!$O10,'College Enrollment Projections'!$AI$2:$AI$72,0),MATCH('Campus Enrol Disaggregation'!AA$2,'College Enrollment Projections'!$AJ$1:$AP$1,0)),50)</f>
        <v>11350</v>
      </c>
      <c r="AB10" s="116">
        <f>MROUND(AB$3*INDEX('College Enrollment Projections'!$AJ$2:$AP$72,MATCH('Campus Enrol Disaggregation'!$O10,'College Enrollment Projections'!$AI$2:$AI$72,0),MATCH('Campus Enrol Disaggregation'!AB$2,'College Enrollment Projections'!$AJ$1:$AP$1,0)),50)</f>
        <v>2300</v>
      </c>
      <c r="AC10" s="116">
        <f>MROUND(AC$3*INDEX('College Enrollment Projections'!$AJ$2:$AP$72,MATCH('Campus Enrol Disaggregation'!$O10,'College Enrollment Projections'!$AI$2:$AI$72,0),MATCH('Campus Enrol Disaggregation'!AC$2,'College Enrollment Projections'!$AJ$1:$AP$1,0)),50)</f>
        <v>0</v>
      </c>
      <c r="AD10" s="117">
        <f t="shared" si="0"/>
        <v>103600</v>
      </c>
    </row>
    <row r="11" spans="15:30">
      <c r="O11" s="3">
        <v>1996</v>
      </c>
      <c r="P11" s="114">
        <f>MROUND(P$3*INDEX('College Enrollment Projections'!$AJ$2:$AP$72,MATCH('Campus Enrol Disaggregation'!$O11,'College Enrollment Projections'!$AI$2:$AI$72,0),MATCH('Campus Enrol Disaggregation'!P$2,'College Enrollment Projections'!$AJ$1:$AP$1,0)),50)</f>
        <v>30550</v>
      </c>
      <c r="Q11" s="114">
        <f>MROUND(Q$3*INDEX('College Enrollment Projections'!$AJ$2:$AP$72,MATCH('Campus Enrol Disaggregation'!$O11,'College Enrollment Projections'!$AI$2:$AI$72,0),MATCH('Campus Enrol Disaggregation'!Q$2,'College Enrollment Projections'!$AJ$1:$AP$1,0)),50)</f>
        <v>0</v>
      </c>
      <c r="R11" s="114">
        <f>MROUND(R$3*INDEX('College Enrollment Projections'!$AJ$2:$AP$72,MATCH('Campus Enrol Disaggregation'!$O11,'College Enrollment Projections'!$AI$2:$AI$72,0),MATCH('Campus Enrol Disaggregation'!R$2,'College Enrollment Projections'!$AJ$1:$AP$1,0)),50)</f>
        <v>15300</v>
      </c>
      <c r="S11" s="114">
        <f>MROUND(S$3*INDEX('College Enrollment Projections'!$AJ$2:$AP$72,MATCH('Campus Enrol Disaggregation'!$O11,'College Enrollment Projections'!$AI$2:$AI$72,0),MATCH('Campus Enrol Disaggregation'!S$2,'College Enrollment Projections'!$AJ$1:$AP$1,0)),50)</f>
        <v>3000</v>
      </c>
      <c r="T11" s="114">
        <f>MROUND(T$3*INDEX('College Enrollment Projections'!$AJ$2:$AP$72,MATCH('Campus Enrol Disaggregation'!$O11,'College Enrollment Projections'!$AI$2:$AI$72,0),MATCH('Campus Enrol Disaggregation'!T$2,'College Enrollment Projections'!$AJ$1:$AP$1,0)),50)</f>
        <v>350</v>
      </c>
      <c r="U11" s="114">
        <f>MROUND(U$3*INDEX('College Enrollment Projections'!$AJ$2:$AP$72,MATCH('Campus Enrol Disaggregation'!$O11,'College Enrollment Projections'!$AI$2:$AI$72,0),MATCH('Campus Enrol Disaggregation'!U$2,'College Enrollment Projections'!$AJ$1:$AP$1,0)),50)</f>
        <v>2300</v>
      </c>
      <c r="V11" s="114">
        <f>MROUND(V$3*INDEX('College Enrollment Projections'!$AJ$2:$AP$72,MATCH('Campus Enrol Disaggregation'!$O11,'College Enrollment Projections'!$AI$2:$AI$72,0),MATCH('Campus Enrol Disaggregation'!V$2,'College Enrollment Projections'!$AJ$1:$AP$1,0)),50)</f>
        <v>25250</v>
      </c>
      <c r="W11" s="115">
        <f>MROUND(INDEX('MAG College Enrollment Forecast'!$B$4:$H$74,MATCH($O11,'MAG College Enrollment Forecast'!$A$4:$A$74,0),MATCH(W$4,'MAG College Enrollment Forecast'!$B$1:$H$1,0)),50)</f>
        <v>14750</v>
      </c>
      <c r="X11" s="115">
        <f>MROUND(INDEX('MAG College Enrollment Forecast'!$B$4:$H$74,MATCH($O11,'MAG College Enrollment Forecast'!$A$4:$A$74,0),MATCH(X$4,'MAG College Enrollment Forecast'!$B$1:$H$1,0)),50)</f>
        <v>0</v>
      </c>
      <c r="Y11" s="115">
        <f>MROUND(INDEX('MAG College Enrollment Forecast'!$B$4:$H$74,MATCH($O11,'MAG College Enrollment Forecast'!$A$4:$A$74,0),MATCH(Y$4,'MAG College Enrollment Forecast'!$B$1:$H$1,0)),50)</f>
        <v>0</v>
      </c>
      <c r="Z11" s="115">
        <f>MROUND(INDEX('MAG College Enrollment Forecast'!$B$4:$H$74,MATCH($O11,'MAG College Enrollment Forecast'!$A$4:$A$74,0),MATCH(Z$4,'MAG College Enrollment Forecast'!$B$1:$H$1,0)),50)</f>
        <v>0</v>
      </c>
      <c r="AA11" s="116">
        <f>MROUND(AA$3*INDEX('College Enrollment Projections'!$AJ$2:$AP$72,MATCH('Campus Enrol Disaggregation'!$O11,'College Enrollment Projections'!$AI$2:$AI$72,0),MATCH('Campus Enrol Disaggregation'!AA$2,'College Enrollment Projections'!$AJ$1:$AP$1,0)),50)</f>
        <v>11300</v>
      </c>
      <c r="AB11" s="116">
        <f>MROUND(AB$3*INDEX('College Enrollment Projections'!$AJ$2:$AP$72,MATCH('Campus Enrol Disaggregation'!$O11,'College Enrollment Projections'!$AI$2:$AI$72,0),MATCH('Campus Enrol Disaggregation'!AB$2,'College Enrollment Projections'!$AJ$1:$AP$1,0)),50)</f>
        <v>2250</v>
      </c>
      <c r="AC11" s="116">
        <f>MROUND(AC$3*INDEX('College Enrollment Projections'!$AJ$2:$AP$72,MATCH('Campus Enrol Disaggregation'!$O11,'College Enrollment Projections'!$AI$2:$AI$72,0),MATCH('Campus Enrol Disaggregation'!AC$2,'College Enrollment Projections'!$AJ$1:$AP$1,0)),50)</f>
        <v>0</v>
      </c>
      <c r="AD11" s="117">
        <f t="shared" si="0"/>
        <v>105050</v>
      </c>
    </row>
    <row r="12" spans="15:30">
      <c r="O12" s="3">
        <v>1997</v>
      </c>
      <c r="P12" s="114">
        <f>MROUND(P$3*INDEX('College Enrollment Projections'!$AJ$2:$AP$72,MATCH('Campus Enrol Disaggregation'!$O12,'College Enrollment Projections'!$AI$2:$AI$72,0),MATCH('Campus Enrol Disaggregation'!P$2,'College Enrollment Projections'!$AJ$1:$AP$1,0)),50)</f>
        <v>31250</v>
      </c>
      <c r="Q12" s="114">
        <f>MROUND(Q$3*INDEX('College Enrollment Projections'!$AJ$2:$AP$72,MATCH('Campus Enrol Disaggregation'!$O12,'College Enrollment Projections'!$AI$2:$AI$72,0),MATCH('Campus Enrol Disaggregation'!Q$2,'College Enrollment Projections'!$AJ$1:$AP$1,0)),50)</f>
        <v>0</v>
      </c>
      <c r="R12" s="114">
        <f>MROUND(R$3*INDEX('College Enrollment Projections'!$AJ$2:$AP$72,MATCH('Campus Enrol Disaggregation'!$O12,'College Enrollment Projections'!$AI$2:$AI$72,0),MATCH('Campus Enrol Disaggregation'!R$2,'College Enrollment Projections'!$AJ$1:$AP$1,0)),50)</f>
        <v>16650</v>
      </c>
      <c r="S12" s="114">
        <f>MROUND(S$3*INDEX('College Enrollment Projections'!$AJ$2:$AP$72,MATCH('Campus Enrol Disaggregation'!$O12,'College Enrollment Projections'!$AI$2:$AI$72,0),MATCH('Campus Enrol Disaggregation'!S$2,'College Enrollment Projections'!$AJ$1:$AP$1,0)),50)</f>
        <v>3250</v>
      </c>
      <c r="T12" s="114">
        <f>MROUND(T$3*INDEX('College Enrollment Projections'!$AJ$2:$AP$72,MATCH('Campus Enrol Disaggregation'!$O12,'College Enrollment Projections'!$AI$2:$AI$72,0),MATCH('Campus Enrol Disaggregation'!T$2,'College Enrollment Projections'!$AJ$1:$AP$1,0)),50)</f>
        <v>400</v>
      </c>
      <c r="U12" s="114">
        <f>MROUND(U$3*INDEX('College Enrollment Projections'!$AJ$2:$AP$72,MATCH('Campus Enrol Disaggregation'!$O12,'College Enrollment Projections'!$AI$2:$AI$72,0),MATCH('Campus Enrol Disaggregation'!U$2,'College Enrollment Projections'!$AJ$1:$AP$1,0)),50)</f>
        <v>2450</v>
      </c>
      <c r="V12" s="114">
        <f>MROUND(V$3*INDEX('College Enrollment Projections'!$AJ$2:$AP$72,MATCH('Campus Enrol Disaggregation'!$O12,'College Enrollment Projections'!$AI$2:$AI$72,0),MATCH('Campus Enrol Disaggregation'!V$2,'College Enrollment Projections'!$AJ$1:$AP$1,0)),50)</f>
        <v>25050</v>
      </c>
      <c r="W12" s="115">
        <f>MROUND(INDEX('MAG College Enrollment Forecast'!$B$4:$H$74,MATCH($O12,'MAG College Enrollment Forecast'!$A$4:$A$74,0),MATCH(W$4,'MAG College Enrollment Forecast'!$B$1:$H$1,0)),50)</f>
        <v>16000</v>
      </c>
      <c r="X12" s="115">
        <f>MROUND(INDEX('MAG College Enrollment Forecast'!$B$4:$H$74,MATCH($O12,'MAG College Enrollment Forecast'!$A$4:$A$74,0),MATCH(X$4,'MAG College Enrollment Forecast'!$B$1:$H$1,0)),50)</f>
        <v>0</v>
      </c>
      <c r="Y12" s="115">
        <f>MROUND(INDEX('MAG College Enrollment Forecast'!$B$4:$H$74,MATCH($O12,'MAG College Enrollment Forecast'!$A$4:$A$74,0),MATCH(Y$4,'MAG College Enrollment Forecast'!$B$1:$H$1,0)),50)</f>
        <v>0</v>
      </c>
      <c r="Z12" s="115">
        <f>MROUND(INDEX('MAG College Enrollment Forecast'!$B$4:$H$74,MATCH($O12,'MAG College Enrollment Forecast'!$A$4:$A$74,0),MATCH(Z$4,'MAG College Enrollment Forecast'!$B$1:$H$1,0)),50)</f>
        <v>0</v>
      </c>
      <c r="AA12" s="116">
        <f>MROUND(AA$3*INDEX('College Enrollment Projections'!$AJ$2:$AP$72,MATCH('Campus Enrol Disaggregation'!$O12,'College Enrollment Projections'!$AI$2:$AI$72,0),MATCH('Campus Enrol Disaggregation'!AA$2,'College Enrollment Projections'!$AJ$1:$AP$1,0)),50)</f>
        <v>11850</v>
      </c>
      <c r="AB12" s="116">
        <f>MROUND(AB$3*INDEX('College Enrollment Projections'!$AJ$2:$AP$72,MATCH('Campus Enrol Disaggregation'!$O12,'College Enrollment Projections'!$AI$2:$AI$72,0),MATCH('Campus Enrol Disaggregation'!AB$2,'College Enrollment Projections'!$AJ$1:$AP$1,0)),50)</f>
        <v>2400</v>
      </c>
      <c r="AC12" s="116">
        <f>MROUND(AC$3*INDEX('College Enrollment Projections'!$AJ$2:$AP$72,MATCH('Campus Enrol Disaggregation'!$O12,'College Enrollment Projections'!$AI$2:$AI$72,0),MATCH('Campus Enrol Disaggregation'!AC$2,'College Enrollment Projections'!$AJ$1:$AP$1,0)),50)</f>
        <v>0</v>
      </c>
      <c r="AD12" s="117">
        <f t="shared" si="0"/>
        <v>109300</v>
      </c>
    </row>
    <row r="13" spans="15:30">
      <c r="O13" s="3">
        <v>1998</v>
      </c>
      <c r="P13" s="114">
        <f>MROUND(P$3*INDEX('College Enrollment Projections'!$AJ$2:$AP$72,MATCH('Campus Enrol Disaggregation'!$O13,'College Enrollment Projections'!$AI$2:$AI$72,0),MATCH('Campus Enrol Disaggregation'!P$2,'College Enrollment Projections'!$AJ$1:$AP$1,0)),50)</f>
        <v>32200</v>
      </c>
      <c r="Q13" s="114">
        <f>MROUND(Q$3*INDEX('College Enrollment Projections'!$AJ$2:$AP$72,MATCH('Campus Enrol Disaggregation'!$O13,'College Enrollment Projections'!$AI$2:$AI$72,0),MATCH('Campus Enrol Disaggregation'!Q$2,'College Enrollment Projections'!$AJ$1:$AP$1,0)),50)</f>
        <v>0</v>
      </c>
      <c r="R13" s="114">
        <f>MROUND(R$3*INDEX('College Enrollment Projections'!$AJ$2:$AP$72,MATCH('Campus Enrol Disaggregation'!$O13,'College Enrollment Projections'!$AI$2:$AI$72,0),MATCH('Campus Enrol Disaggregation'!R$2,'College Enrollment Projections'!$AJ$1:$AP$1,0)),50)</f>
        <v>13500</v>
      </c>
      <c r="S13" s="114">
        <f>MROUND(S$3*INDEX('College Enrollment Projections'!$AJ$2:$AP$72,MATCH('Campus Enrol Disaggregation'!$O13,'College Enrollment Projections'!$AI$2:$AI$72,0),MATCH('Campus Enrol Disaggregation'!S$2,'College Enrollment Projections'!$AJ$1:$AP$1,0)),50)</f>
        <v>2650</v>
      </c>
      <c r="T13" s="114">
        <f>MROUND(T$3*INDEX('College Enrollment Projections'!$AJ$2:$AP$72,MATCH('Campus Enrol Disaggregation'!$O13,'College Enrollment Projections'!$AI$2:$AI$72,0),MATCH('Campus Enrol Disaggregation'!T$2,'College Enrollment Projections'!$AJ$1:$AP$1,0)),50)</f>
        <v>300</v>
      </c>
      <c r="U13" s="114">
        <f>MROUND(U$3*INDEX('College Enrollment Projections'!$AJ$2:$AP$72,MATCH('Campus Enrol Disaggregation'!$O13,'College Enrollment Projections'!$AI$2:$AI$72,0),MATCH('Campus Enrol Disaggregation'!U$2,'College Enrollment Projections'!$AJ$1:$AP$1,0)),50)</f>
        <v>2000</v>
      </c>
      <c r="V13" s="114">
        <f>MROUND(V$3*INDEX('College Enrollment Projections'!$AJ$2:$AP$72,MATCH('Campus Enrol Disaggregation'!$O13,'College Enrollment Projections'!$AI$2:$AI$72,0),MATCH('Campus Enrol Disaggregation'!V$2,'College Enrollment Projections'!$AJ$1:$AP$1,0)),50)</f>
        <v>24200</v>
      </c>
      <c r="W13" s="115">
        <f>MROUND(INDEX('MAG College Enrollment Forecast'!$B$4:$H$74,MATCH($O13,'MAG College Enrollment Forecast'!$A$4:$A$74,0),MATCH(W$4,'MAG College Enrollment Forecast'!$B$1:$H$1,0)),50)</f>
        <v>18150</v>
      </c>
      <c r="X13" s="115">
        <f>MROUND(INDEX('MAG College Enrollment Forecast'!$B$4:$H$74,MATCH($O13,'MAG College Enrollment Forecast'!$A$4:$A$74,0),MATCH(X$4,'MAG College Enrollment Forecast'!$B$1:$H$1,0)),50)</f>
        <v>0</v>
      </c>
      <c r="Y13" s="115">
        <f>MROUND(INDEX('MAG College Enrollment Forecast'!$B$4:$H$74,MATCH($O13,'MAG College Enrollment Forecast'!$A$4:$A$74,0),MATCH(Y$4,'MAG College Enrollment Forecast'!$B$1:$H$1,0)),50)</f>
        <v>0</v>
      </c>
      <c r="Z13" s="115">
        <f>MROUND(INDEX('MAG College Enrollment Forecast'!$B$4:$H$74,MATCH($O13,'MAG College Enrollment Forecast'!$A$4:$A$74,0),MATCH(Z$4,'MAG College Enrollment Forecast'!$B$1:$H$1,0)),50)</f>
        <v>0</v>
      </c>
      <c r="AA13" s="116">
        <f>MROUND(AA$3*INDEX('College Enrollment Projections'!$AJ$2:$AP$72,MATCH('Campus Enrol Disaggregation'!$O13,'College Enrollment Projections'!$AI$2:$AI$72,0),MATCH('Campus Enrol Disaggregation'!AA$2,'College Enrollment Projections'!$AJ$1:$AP$1,0)),50)</f>
        <v>11300</v>
      </c>
      <c r="AB13" s="116">
        <f>MROUND(AB$3*INDEX('College Enrollment Projections'!$AJ$2:$AP$72,MATCH('Campus Enrol Disaggregation'!$O13,'College Enrollment Projections'!$AI$2:$AI$72,0),MATCH('Campus Enrol Disaggregation'!AB$2,'College Enrollment Projections'!$AJ$1:$AP$1,0)),50)</f>
        <v>2250</v>
      </c>
      <c r="AC13" s="116">
        <f>MROUND(AC$3*INDEX('College Enrollment Projections'!$AJ$2:$AP$72,MATCH('Campus Enrol Disaggregation'!$O13,'College Enrollment Projections'!$AI$2:$AI$72,0),MATCH('Campus Enrol Disaggregation'!AC$2,'College Enrollment Projections'!$AJ$1:$AP$1,0)),50)</f>
        <v>0</v>
      </c>
      <c r="AD13" s="117">
        <f t="shared" si="0"/>
        <v>106550</v>
      </c>
    </row>
    <row r="14" spans="15:30">
      <c r="O14" s="3">
        <v>1999</v>
      </c>
      <c r="P14" s="114">
        <f>MROUND(P$3*INDEX('College Enrollment Projections'!$AJ$2:$AP$72,MATCH('Campus Enrol Disaggregation'!$O14,'College Enrollment Projections'!$AI$2:$AI$72,0),MATCH('Campus Enrol Disaggregation'!P$2,'College Enrollment Projections'!$AJ$1:$AP$1,0)),50)</f>
        <v>32750</v>
      </c>
      <c r="Q14" s="114">
        <f>MROUND(Q$3*INDEX('College Enrollment Projections'!$AJ$2:$AP$72,MATCH('Campus Enrol Disaggregation'!$O14,'College Enrollment Projections'!$AI$2:$AI$72,0),MATCH('Campus Enrol Disaggregation'!Q$2,'College Enrollment Projections'!$AJ$1:$AP$1,0)),50)</f>
        <v>0</v>
      </c>
      <c r="R14" s="114">
        <f>MROUND(R$3*INDEX('College Enrollment Projections'!$AJ$2:$AP$72,MATCH('Campus Enrol Disaggregation'!$O14,'College Enrollment Projections'!$AI$2:$AI$72,0),MATCH('Campus Enrol Disaggregation'!R$2,'College Enrollment Projections'!$AJ$1:$AP$1,0)),50)</f>
        <v>14550</v>
      </c>
      <c r="S14" s="114">
        <f>MROUND(S$3*INDEX('College Enrollment Projections'!$AJ$2:$AP$72,MATCH('Campus Enrol Disaggregation'!$O14,'College Enrollment Projections'!$AI$2:$AI$72,0),MATCH('Campus Enrol Disaggregation'!S$2,'College Enrollment Projections'!$AJ$1:$AP$1,0)),50)</f>
        <v>2850</v>
      </c>
      <c r="T14" s="114">
        <f>MROUND(T$3*INDEX('College Enrollment Projections'!$AJ$2:$AP$72,MATCH('Campus Enrol Disaggregation'!$O14,'College Enrollment Projections'!$AI$2:$AI$72,0),MATCH('Campus Enrol Disaggregation'!T$2,'College Enrollment Projections'!$AJ$1:$AP$1,0)),50)</f>
        <v>350</v>
      </c>
      <c r="U14" s="114">
        <f>MROUND(U$3*INDEX('College Enrollment Projections'!$AJ$2:$AP$72,MATCH('Campus Enrol Disaggregation'!$O14,'College Enrollment Projections'!$AI$2:$AI$72,0),MATCH('Campus Enrol Disaggregation'!U$2,'College Enrollment Projections'!$AJ$1:$AP$1,0)),50)</f>
        <v>2150</v>
      </c>
      <c r="V14" s="114">
        <f>MROUND(V$3*INDEX('College Enrollment Projections'!$AJ$2:$AP$72,MATCH('Campus Enrol Disaggregation'!$O14,'College Enrollment Projections'!$AI$2:$AI$72,0),MATCH('Campus Enrol Disaggregation'!V$2,'College Enrollment Projections'!$AJ$1:$AP$1,0)),50)</f>
        <v>24950</v>
      </c>
      <c r="W14" s="115">
        <f>MROUND(INDEX('MAG College Enrollment Forecast'!$B$4:$H$74,MATCH($O14,'MAG College Enrollment Forecast'!$A$4:$A$74,0),MATCH(W$4,'MAG College Enrollment Forecast'!$B$1:$H$1,0)),50)</f>
        <v>20050</v>
      </c>
      <c r="X14" s="115">
        <f>MROUND(INDEX('MAG College Enrollment Forecast'!$B$4:$H$74,MATCH($O14,'MAG College Enrollment Forecast'!$A$4:$A$74,0),MATCH(X$4,'MAG College Enrollment Forecast'!$B$1:$H$1,0)),50)</f>
        <v>0</v>
      </c>
      <c r="Y14" s="115">
        <f>MROUND(INDEX('MAG College Enrollment Forecast'!$B$4:$H$74,MATCH($O14,'MAG College Enrollment Forecast'!$A$4:$A$74,0),MATCH(Y$4,'MAG College Enrollment Forecast'!$B$1:$H$1,0)),50)</f>
        <v>0</v>
      </c>
      <c r="Z14" s="115">
        <f>MROUND(INDEX('MAG College Enrollment Forecast'!$B$4:$H$74,MATCH($O14,'MAG College Enrollment Forecast'!$A$4:$A$74,0),MATCH(Z$4,'MAG College Enrollment Forecast'!$B$1:$H$1,0)),50)</f>
        <v>0</v>
      </c>
      <c r="AA14" s="116">
        <f>MROUND(AA$3*INDEX('College Enrollment Projections'!$AJ$2:$AP$72,MATCH('Campus Enrol Disaggregation'!$O14,'College Enrollment Projections'!$AI$2:$AI$72,0),MATCH('Campus Enrol Disaggregation'!AA$2,'College Enrollment Projections'!$AJ$1:$AP$1,0)),50)</f>
        <v>12150</v>
      </c>
      <c r="AB14" s="116">
        <f>MROUND(AB$3*INDEX('College Enrollment Projections'!$AJ$2:$AP$72,MATCH('Campus Enrol Disaggregation'!$O14,'College Enrollment Projections'!$AI$2:$AI$72,0),MATCH('Campus Enrol Disaggregation'!AB$2,'College Enrollment Projections'!$AJ$1:$AP$1,0)),50)</f>
        <v>2450</v>
      </c>
      <c r="AC14" s="116">
        <f>MROUND(AC$3*INDEX('College Enrollment Projections'!$AJ$2:$AP$72,MATCH('Campus Enrol Disaggregation'!$O14,'College Enrollment Projections'!$AI$2:$AI$72,0),MATCH('Campus Enrol Disaggregation'!AC$2,'College Enrollment Projections'!$AJ$1:$AP$1,0)),50)</f>
        <v>0</v>
      </c>
      <c r="AD14" s="117">
        <f t="shared" si="0"/>
        <v>112250</v>
      </c>
    </row>
    <row r="15" spans="15:30">
      <c r="O15" s="3">
        <v>2000</v>
      </c>
      <c r="P15" s="114">
        <f>MROUND(P$3*INDEX('College Enrollment Projections'!$AJ$2:$AP$72,MATCH('Campus Enrol Disaggregation'!$O15,'College Enrollment Projections'!$AI$2:$AI$72,0),MATCH('Campus Enrol Disaggregation'!P$2,'College Enrollment Projections'!$AJ$1:$AP$1,0)),50)</f>
        <v>32550</v>
      </c>
      <c r="Q15" s="114">
        <f>MROUND(Q$3*INDEX('College Enrollment Projections'!$AJ$2:$AP$72,MATCH('Campus Enrol Disaggregation'!$O15,'College Enrollment Projections'!$AI$2:$AI$72,0),MATCH('Campus Enrol Disaggregation'!Q$2,'College Enrollment Projections'!$AJ$1:$AP$1,0)),50)</f>
        <v>800</v>
      </c>
      <c r="R15" s="114">
        <f>MROUND(R$3*INDEX('College Enrollment Projections'!$AJ$2:$AP$72,MATCH('Campus Enrol Disaggregation'!$O15,'College Enrollment Projections'!$AI$2:$AI$72,0),MATCH('Campus Enrol Disaggregation'!R$2,'College Enrollment Projections'!$AJ$1:$AP$1,0)),50)</f>
        <v>14750</v>
      </c>
      <c r="S15" s="114">
        <f>MROUND(S$3*INDEX('College Enrollment Projections'!$AJ$2:$AP$72,MATCH('Campus Enrol Disaggregation'!$O15,'College Enrollment Projections'!$AI$2:$AI$72,0),MATCH('Campus Enrol Disaggregation'!S$2,'College Enrollment Projections'!$AJ$1:$AP$1,0)),50)</f>
        <v>2900</v>
      </c>
      <c r="T15" s="114">
        <f>MROUND(T$3*INDEX('College Enrollment Projections'!$AJ$2:$AP$72,MATCH('Campus Enrol Disaggregation'!$O15,'College Enrollment Projections'!$AI$2:$AI$72,0),MATCH('Campus Enrol Disaggregation'!T$2,'College Enrollment Projections'!$AJ$1:$AP$1,0)),50)</f>
        <v>350</v>
      </c>
      <c r="U15" s="114">
        <f>MROUND(U$3*INDEX('College Enrollment Projections'!$AJ$2:$AP$72,MATCH('Campus Enrol Disaggregation'!$O15,'College Enrollment Projections'!$AI$2:$AI$72,0),MATCH('Campus Enrol Disaggregation'!U$2,'College Enrollment Projections'!$AJ$1:$AP$1,0)),50)</f>
        <v>2200</v>
      </c>
      <c r="V15" s="114">
        <f>MROUND(V$3*INDEX('College Enrollment Projections'!$AJ$2:$AP$72,MATCH('Campus Enrol Disaggregation'!$O15,'College Enrollment Projections'!$AI$2:$AI$72,0),MATCH('Campus Enrol Disaggregation'!V$2,'College Enrollment Projections'!$AJ$1:$AP$1,0)),50)</f>
        <v>24150</v>
      </c>
      <c r="W15" s="115">
        <f>MROUND(INDEX('MAG College Enrollment Forecast'!$B$4:$H$74,MATCH($O15,'MAG College Enrollment Forecast'!$A$4:$A$74,0),MATCH(W$4,'MAG College Enrollment Forecast'!$B$1:$H$1,0)),50)</f>
        <v>20950</v>
      </c>
      <c r="X15" s="115">
        <f>MROUND(INDEX('MAG College Enrollment Forecast'!$B$4:$H$74,MATCH($O15,'MAG College Enrollment Forecast'!$A$4:$A$74,0),MATCH(X$4,'MAG College Enrollment Forecast'!$B$1:$H$1,0)),50)</f>
        <v>0</v>
      </c>
      <c r="Y15" s="115">
        <f>MROUND(INDEX('MAG College Enrollment Forecast'!$B$4:$H$74,MATCH($O15,'MAG College Enrollment Forecast'!$A$4:$A$74,0),MATCH(Y$4,'MAG College Enrollment Forecast'!$B$1:$H$1,0)),50)</f>
        <v>0</v>
      </c>
      <c r="Z15" s="115">
        <f>MROUND(INDEX('MAG College Enrollment Forecast'!$B$4:$H$74,MATCH($O15,'MAG College Enrollment Forecast'!$A$4:$A$74,0),MATCH(Z$4,'MAG College Enrollment Forecast'!$B$1:$H$1,0)),50)</f>
        <v>0</v>
      </c>
      <c r="AA15" s="116">
        <f>MROUND(AA$3*INDEX('College Enrollment Projections'!$AJ$2:$AP$72,MATCH('Campus Enrol Disaggregation'!$O15,'College Enrollment Projections'!$AI$2:$AI$72,0),MATCH('Campus Enrol Disaggregation'!AA$2,'College Enrollment Projections'!$AJ$1:$AP$1,0)),50)</f>
        <v>13000</v>
      </c>
      <c r="AB15" s="116">
        <f>MROUND(AB$3*INDEX('College Enrollment Projections'!$AJ$2:$AP$72,MATCH('Campus Enrol Disaggregation'!$O15,'College Enrollment Projections'!$AI$2:$AI$72,0),MATCH('Campus Enrol Disaggregation'!AB$2,'College Enrollment Projections'!$AJ$1:$AP$1,0)),50)</f>
        <v>2600</v>
      </c>
      <c r="AC15" s="116">
        <f>MROUND(AC$3*INDEX('College Enrollment Projections'!$AJ$2:$AP$72,MATCH('Campus Enrol Disaggregation'!$O15,'College Enrollment Projections'!$AI$2:$AI$72,0),MATCH('Campus Enrol Disaggregation'!AC$2,'College Enrollment Projections'!$AJ$1:$AP$1,0)),50)</f>
        <v>2400</v>
      </c>
      <c r="AD15" s="117">
        <f t="shared" si="0"/>
        <v>116650</v>
      </c>
    </row>
    <row r="16" spans="15:30">
      <c r="O16" s="3">
        <v>2001</v>
      </c>
      <c r="P16" s="114">
        <f>MROUND(P$3*INDEX('College Enrollment Projections'!$AJ$2:$AP$72,MATCH('Campus Enrol Disaggregation'!$O16,'College Enrollment Projections'!$AI$2:$AI$72,0),MATCH('Campus Enrol Disaggregation'!P$2,'College Enrollment Projections'!$AJ$1:$AP$1,0)),50)</f>
        <v>32750</v>
      </c>
      <c r="Q16" s="114">
        <f>MROUND(Q$3*INDEX('College Enrollment Projections'!$AJ$2:$AP$72,MATCH('Campus Enrol Disaggregation'!$O16,'College Enrollment Projections'!$AI$2:$AI$72,0),MATCH('Campus Enrol Disaggregation'!Q$2,'College Enrollment Projections'!$AJ$1:$AP$1,0)),50)</f>
        <v>1050</v>
      </c>
      <c r="R16" s="114">
        <f>MROUND(R$3*INDEX('College Enrollment Projections'!$AJ$2:$AP$72,MATCH('Campus Enrol Disaggregation'!$O16,'College Enrollment Projections'!$AI$2:$AI$72,0),MATCH('Campus Enrol Disaggregation'!R$2,'College Enrollment Projections'!$AJ$1:$AP$1,0)),50)</f>
        <v>16200</v>
      </c>
      <c r="S16" s="114">
        <f>MROUND(S$3*INDEX('College Enrollment Projections'!$AJ$2:$AP$72,MATCH('Campus Enrol Disaggregation'!$O16,'College Enrollment Projections'!$AI$2:$AI$72,0),MATCH('Campus Enrol Disaggregation'!S$2,'College Enrollment Projections'!$AJ$1:$AP$1,0)),50)</f>
        <v>3150</v>
      </c>
      <c r="T16" s="114">
        <f>MROUND(T$3*INDEX('College Enrollment Projections'!$AJ$2:$AP$72,MATCH('Campus Enrol Disaggregation'!$O16,'College Enrollment Projections'!$AI$2:$AI$72,0),MATCH('Campus Enrol Disaggregation'!T$2,'College Enrollment Projections'!$AJ$1:$AP$1,0)),50)</f>
        <v>400</v>
      </c>
      <c r="U16" s="114">
        <f>MROUND(U$3*INDEX('College Enrollment Projections'!$AJ$2:$AP$72,MATCH('Campus Enrol Disaggregation'!$O16,'College Enrollment Projections'!$AI$2:$AI$72,0),MATCH('Campus Enrol Disaggregation'!U$2,'College Enrollment Projections'!$AJ$1:$AP$1,0)),50)</f>
        <v>2400</v>
      </c>
      <c r="V16" s="114">
        <f>MROUND(V$3*INDEX('College Enrollment Projections'!$AJ$2:$AP$72,MATCH('Campus Enrol Disaggregation'!$O16,'College Enrollment Projections'!$AI$2:$AI$72,0),MATCH('Campus Enrol Disaggregation'!V$2,'College Enrollment Projections'!$AJ$1:$AP$1,0)),50)</f>
        <v>26800</v>
      </c>
      <c r="W16" s="115">
        <f>MROUND(INDEX('MAG College Enrollment Forecast'!$B$4:$H$74,MATCH($O16,'MAG College Enrollment Forecast'!$A$4:$A$74,0),MATCH(W$4,'MAG College Enrollment Forecast'!$B$1:$H$1,0)),50)</f>
        <v>22600</v>
      </c>
      <c r="X16" s="115">
        <f>MROUND(INDEX('MAG College Enrollment Forecast'!$B$4:$H$74,MATCH($O16,'MAG College Enrollment Forecast'!$A$4:$A$74,0),MATCH(X$4,'MAG College Enrollment Forecast'!$B$1:$H$1,0)),50)</f>
        <v>0</v>
      </c>
      <c r="Y16" s="115">
        <f>MROUND(INDEX('MAG College Enrollment Forecast'!$B$4:$H$74,MATCH($O16,'MAG College Enrollment Forecast'!$A$4:$A$74,0),MATCH(Y$4,'MAG College Enrollment Forecast'!$B$1:$H$1,0)),50)</f>
        <v>0</v>
      </c>
      <c r="Z16" s="115">
        <f>MROUND(INDEX('MAG College Enrollment Forecast'!$B$4:$H$74,MATCH($O16,'MAG College Enrollment Forecast'!$A$4:$A$74,0),MATCH(Z$4,'MAG College Enrollment Forecast'!$B$1:$H$1,0)),50)</f>
        <v>0</v>
      </c>
      <c r="AA16" s="116">
        <f>MROUND(AA$3*INDEX('College Enrollment Projections'!$AJ$2:$AP$72,MATCH('Campus Enrol Disaggregation'!$O16,'College Enrollment Projections'!$AI$2:$AI$72,0),MATCH('Campus Enrol Disaggregation'!AA$2,'College Enrollment Projections'!$AJ$1:$AP$1,0)),50)</f>
        <v>13700</v>
      </c>
      <c r="AB16" s="116">
        <f>MROUND(AB$3*INDEX('College Enrollment Projections'!$AJ$2:$AP$72,MATCH('Campus Enrol Disaggregation'!$O16,'College Enrollment Projections'!$AI$2:$AI$72,0),MATCH('Campus Enrol Disaggregation'!AB$2,'College Enrollment Projections'!$AJ$1:$AP$1,0)),50)</f>
        <v>2750</v>
      </c>
      <c r="AC16" s="116">
        <f>MROUND(AC$3*INDEX('College Enrollment Projections'!$AJ$2:$AP$72,MATCH('Campus Enrol Disaggregation'!$O16,'College Enrollment Projections'!$AI$2:$AI$72,0),MATCH('Campus Enrol Disaggregation'!AC$2,'College Enrollment Projections'!$AJ$1:$AP$1,0)),50)</f>
        <v>2450</v>
      </c>
      <c r="AD16" s="117">
        <f t="shared" si="0"/>
        <v>124250</v>
      </c>
    </row>
    <row r="17" spans="15:30">
      <c r="O17" s="3">
        <v>2002</v>
      </c>
      <c r="P17" s="114">
        <f>MROUND(P$3*INDEX('College Enrollment Projections'!$AJ$2:$AP$72,MATCH('Campus Enrol Disaggregation'!$O17,'College Enrollment Projections'!$AI$2:$AI$72,0),MATCH('Campus Enrol Disaggregation'!P$2,'College Enrollment Projections'!$AJ$1:$AP$1,0)),50)</f>
        <v>32400</v>
      </c>
      <c r="Q17" s="114">
        <f>MROUND(Q$3*INDEX('College Enrollment Projections'!$AJ$2:$AP$72,MATCH('Campus Enrol Disaggregation'!$O17,'College Enrollment Projections'!$AI$2:$AI$72,0),MATCH('Campus Enrol Disaggregation'!Q$2,'College Enrollment Projections'!$AJ$1:$AP$1,0)),50)</f>
        <v>1100</v>
      </c>
      <c r="R17" s="114">
        <f>MROUND(R$3*INDEX('College Enrollment Projections'!$AJ$2:$AP$72,MATCH('Campus Enrol Disaggregation'!$O17,'College Enrollment Projections'!$AI$2:$AI$72,0),MATCH('Campus Enrol Disaggregation'!R$2,'College Enrollment Projections'!$AJ$1:$AP$1,0)),50)</f>
        <v>15950</v>
      </c>
      <c r="S17" s="114">
        <f>MROUND(S$3*INDEX('College Enrollment Projections'!$AJ$2:$AP$72,MATCH('Campus Enrol Disaggregation'!$O17,'College Enrollment Projections'!$AI$2:$AI$72,0),MATCH('Campus Enrol Disaggregation'!S$2,'College Enrollment Projections'!$AJ$1:$AP$1,0)),50)</f>
        <v>3100</v>
      </c>
      <c r="T17" s="114">
        <f>MROUND(T$3*INDEX('College Enrollment Projections'!$AJ$2:$AP$72,MATCH('Campus Enrol Disaggregation'!$O17,'College Enrollment Projections'!$AI$2:$AI$72,0),MATCH('Campus Enrol Disaggregation'!T$2,'College Enrollment Projections'!$AJ$1:$AP$1,0)),50)</f>
        <v>400</v>
      </c>
      <c r="U17" s="114">
        <f>MROUND(U$3*INDEX('College Enrollment Projections'!$AJ$2:$AP$72,MATCH('Campus Enrol Disaggregation'!$O17,'College Enrollment Projections'!$AI$2:$AI$72,0),MATCH('Campus Enrol Disaggregation'!U$2,'College Enrollment Projections'!$AJ$1:$AP$1,0)),50)</f>
        <v>2400</v>
      </c>
      <c r="V17" s="114">
        <f>MROUND(V$3*INDEX('College Enrollment Projections'!$AJ$2:$AP$72,MATCH('Campus Enrol Disaggregation'!$O17,'College Enrollment Projections'!$AI$2:$AI$72,0),MATCH('Campus Enrol Disaggregation'!V$2,'College Enrollment Projections'!$AJ$1:$AP$1,0)),50)</f>
        <v>27450</v>
      </c>
      <c r="W17" s="115">
        <f>MROUND(INDEX('MAG College Enrollment Forecast'!$B$4:$H$74,MATCH($O17,'MAG College Enrollment Forecast'!$A$4:$A$74,0),MATCH(W$4,'MAG College Enrollment Forecast'!$B$1:$H$1,0)),50)</f>
        <v>23600</v>
      </c>
      <c r="X17" s="115">
        <f>MROUND(INDEX('MAG College Enrollment Forecast'!$B$4:$H$74,MATCH($O17,'MAG College Enrollment Forecast'!$A$4:$A$74,0),MATCH(X$4,'MAG College Enrollment Forecast'!$B$1:$H$1,0)),50)</f>
        <v>0</v>
      </c>
      <c r="Y17" s="115">
        <f>MROUND(INDEX('MAG College Enrollment Forecast'!$B$4:$H$74,MATCH($O17,'MAG College Enrollment Forecast'!$A$4:$A$74,0),MATCH(Y$4,'MAG College Enrollment Forecast'!$B$1:$H$1,0)),50)</f>
        <v>0</v>
      </c>
      <c r="Z17" s="115">
        <f>MROUND(INDEX('MAG College Enrollment Forecast'!$B$4:$H$74,MATCH($O17,'MAG College Enrollment Forecast'!$A$4:$A$74,0),MATCH(Z$4,'MAG College Enrollment Forecast'!$B$1:$H$1,0)),50)</f>
        <v>0</v>
      </c>
      <c r="AA17" s="116">
        <f>MROUND(AA$3*INDEX('College Enrollment Projections'!$AJ$2:$AP$72,MATCH('Campus Enrol Disaggregation'!$O17,'College Enrollment Projections'!$AI$2:$AI$72,0),MATCH('Campus Enrol Disaggregation'!AA$2,'College Enrollment Projections'!$AJ$1:$AP$1,0)),50)</f>
        <v>14650</v>
      </c>
      <c r="AB17" s="116">
        <f>MROUND(AB$3*INDEX('College Enrollment Projections'!$AJ$2:$AP$72,MATCH('Campus Enrol Disaggregation'!$O17,'College Enrollment Projections'!$AI$2:$AI$72,0),MATCH('Campus Enrol Disaggregation'!AB$2,'College Enrollment Projections'!$AJ$1:$AP$1,0)),50)</f>
        <v>2950</v>
      </c>
      <c r="AC17" s="116">
        <f>MROUND(AC$3*INDEX('College Enrollment Projections'!$AJ$2:$AP$72,MATCH('Campus Enrol Disaggregation'!$O17,'College Enrollment Projections'!$AI$2:$AI$72,0),MATCH('Campus Enrol Disaggregation'!AC$2,'College Enrollment Projections'!$AJ$1:$AP$1,0)),50)</f>
        <v>2350</v>
      </c>
      <c r="AD17" s="117">
        <f t="shared" si="0"/>
        <v>126350</v>
      </c>
    </row>
    <row r="18" spans="15:30">
      <c r="O18" s="3">
        <v>2003</v>
      </c>
      <c r="P18" s="114">
        <f>MROUND(P$3*INDEX('College Enrollment Projections'!$AJ$2:$AP$72,MATCH('Campus Enrol Disaggregation'!$O18,'College Enrollment Projections'!$AI$2:$AI$72,0),MATCH('Campus Enrol Disaggregation'!P$2,'College Enrollment Projections'!$AJ$1:$AP$1,0)),50)</f>
        <v>33000</v>
      </c>
      <c r="Q18" s="114">
        <f>MROUND(Q$3*INDEX('College Enrollment Projections'!$AJ$2:$AP$72,MATCH('Campus Enrol Disaggregation'!$O18,'College Enrollment Projections'!$AI$2:$AI$72,0),MATCH('Campus Enrol Disaggregation'!Q$2,'College Enrollment Projections'!$AJ$1:$AP$1,0)),50)</f>
        <v>1250</v>
      </c>
      <c r="R18" s="114">
        <f>MROUND(R$3*INDEX('College Enrollment Projections'!$AJ$2:$AP$72,MATCH('Campus Enrol Disaggregation'!$O18,'College Enrollment Projections'!$AI$2:$AI$72,0),MATCH('Campus Enrol Disaggregation'!R$2,'College Enrollment Projections'!$AJ$1:$AP$1,0)),50)</f>
        <v>16450</v>
      </c>
      <c r="S18" s="114">
        <f>MROUND(S$3*INDEX('College Enrollment Projections'!$AJ$2:$AP$72,MATCH('Campus Enrol Disaggregation'!$O18,'College Enrollment Projections'!$AI$2:$AI$72,0),MATCH('Campus Enrol Disaggregation'!S$2,'College Enrollment Projections'!$AJ$1:$AP$1,0)),50)</f>
        <v>3200</v>
      </c>
      <c r="T18" s="114">
        <f>MROUND(T$3*INDEX('College Enrollment Projections'!$AJ$2:$AP$72,MATCH('Campus Enrol Disaggregation'!$O18,'College Enrollment Projections'!$AI$2:$AI$72,0),MATCH('Campus Enrol Disaggregation'!T$2,'College Enrollment Projections'!$AJ$1:$AP$1,0)),50)</f>
        <v>400</v>
      </c>
      <c r="U18" s="114">
        <f>MROUND(U$3*INDEX('College Enrollment Projections'!$AJ$2:$AP$72,MATCH('Campus Enrol Disaggregation'!$O18,'College Enrollment Projections'!$AI$2:$AI$72,0),MATCH('Campus Enrol Disaggregation'!U$2,'College Enrollment Projections'!$AJ$1:$AP$1,0)),50)</f>
        <v>2450</v>
      </c>
      <c r="V18" s="114">
        <f>MROUND(V$3*INDEX('College Enrollment Projections'!$AJ$2:$AP$72,MATCH('Campus Enrol Disaggregation'!$O18,'College Enrollment Projections'!$AI$2:$AI$72,0),MATCH('Campus Enrol Disaggregation'!V$2,'College Enrollment Projections'!$AJ$1:$AP$1,0)),50)</f>
        <v>27550</v>
      </c>
      <c r="W18" s="115">
        <f>MROUND(INDEX('MAG College Enrollment Forecast'!$B$4:$H$74,MATCH($O18,'MAG College Enrollment Forecast'!$A$4:$A$74,0),MATCH(W$4,'MAG College Enrollment Forecast'!$B$1:$H$1,0)),50)</f>
        <v>23800</v>
      </c>
      <c r="X18" s="115">
        <f>MROUND(INDEX('MAG College Enrollment Forecast'!$B$4:$H$74,MATCH($O18,'MAG College Enrollment Forecast'!$A$4:$A$74,0),MATCH(X$4,'MAG College Enrollment Forecast'!$B$1:$H$1,0)),50)</f>
        <v>0</v>
      </c>
      <c r="Y18" s="115">
        <f>MROUND(INDEX('MAG College Enrollment Forecast'!$B$4:$H$74,MATCH($O18,'MAG College Enrollment Forecast'!$A$4:$A$74,0),MATCH(Y$4,'MAG College Enrollment Forecast'!$B$1:$H$1,0)),50)</f>
        <v>0</v>
      </c>
      <c r="Z18" s="115">
        <f>MROUND(INDEX('MAG College Enrollment Forecast'!$B$4:$H$74,MATCH($O18,'MAG College Enrollment Forecast'!$A$4:$A$74,0),MATCH(Z$4,'MAG College Enrollment Forecast'!$B$1:$H$1,0)),50)</f>
        <v>0</v>
      </c>
      <c r="AA18" s="116">
        <f>MROUND(AA$3*INDEX('College Enrollment Projections'!$AJ$2:$AP$72,MATCH('Campus Enrol Disaggregation'!$O18,'College Enrollment Projections'!$AI$2:$AI$72,0),MATCH('Campus Enrol Disaggregation'!AA$2,'College Enrollment Projections'!$AJ$1:$AP$1,0)),50)</f>
        <v>15250</v>
      </c>
      <c r="AB18" s="116">
        <f>MROUND(AB$3*INDEX('College Enrollment Projections'!$AJ$2:$AP$72,MATCH('Campus Enrol Disaggregation'!$O18,'College Enrollment Projections'!$AI$2:$AI$72,0),MATCH('Campus Enrol Disaggregation'!AB$2,'College Enrollment Projections'!$AJ$1:$AP$1,0)),50)</f>
        <v>3050</v>
      </c>
      <c r="AC18" s="116">
        <f>MROUND(AC$3*INDEX('College Enrollment Projections'!$AJ$2:$AP$72,MATCH('Campus Enrol Disaggregation'!$O18,'College Enrollment Projections'!$AI$2:$AI$72,0),MATCH('Campus Enrol Disaggregation'!AC$2,'College Enrollment Projections'!$AJ$1:$AP$1,0)),50)</f>
        <v>2450</v>
      </c>
      <c r="AD18" s="117">
        <f t="shared" si="0"/>
        <v>128850</v>
      </c>
    </row>
    <row r="19" spans="15:30">
      <c r="O19" s="3">
        <v>2004</v>
      </c>
      <c r="P19" s="114">
        <f>MROUND(P$3*INDEX('College Enrollment Projections'!$AJ$2:$AP$72,MATCH('Campus Enrol Disaggregation'!$O19,'College Enrollment Projections'!$AI$2:$AI$72,0),MATCH('Campus Enrol Disaggregation'!P$2,'College Enrollment Projections'!$AJ$1:$AP$1,0)),50)</f>
        <v>34350</v>
      </c>
      <c r="Q19" s="114">
        <f>MROUND(Q$3*INDEX('College Enrollment Projections'!$AJ$2:$AP$72,MATCH('Campus Enrol Disaggregation'!$O19,'College Enrollment Projections'!$AI$2:$AI$72,0),MATCH('Campus Enrol Disaggregation'!Q$2,'College Enrollment Projections'!$AJ$1:$AP$1,0)),50)</f>
        <v>1250</v>
      </c>
      <c r="R19" s="114">
        <f>MROUND(R$3*INDEX('College Enrollment Projections'!$AJ$2:$AP$72,MATCH('Campus Enrol Disaggregation'!$O19,'College Enrollment Projections'!$AI$2:$AI$72,0),MATCH('Campus Enrol Disaggregation'!R$2,'College Enrollment Projections'!$AJ$1:$AP$1,0)),50)</f>
        <v>16900</v>
      </c>
      <c r="S19" s="114">
        <f>MROUND(S$3*INDEX('College Enrollment Projections'!$AJ$2:$AP$72,MATCH('Campus Enrol Disaggregation'!$O19,'College Enrollment Projections'!$AI$2:$AI$72,0),MATCH('Campus Enrol Disaggregation'!S$2,'College Enrollment Projections'!$AJ$1:$AP$1,0)),50)</f>
        <v>3300</v>
      </c>
      <c r="T19" s="114">
        <f>MROUND(T$3*INDEX('College Enrollment Projections'!$AJ$2:$AP$72,MATCH('Campus Enrol Disaggregation'!$O19,'College Enrollment Projections'!$AI$2:$AI$72,0),MATCH('Campus Enrol Disaggregation'!T$2,'College Enrollment Projections'!$AJ$1:$AP$1,0)),50)</f>
        <v>400</v>
      </c>
      <c r="U19" s="114">
        <f>MROUND(U$3*INDEX('College Enrollment Projections'!$AJ$2:$AP$72,MATCH('Campus Enrol Disaggregation'!$O19,'College Enrollment Projections'!$AI$2:$AI$72,0),MATCH('Campus Enrol Disaggregation'!U$2,'College Enrollment Projections'!$AJ$1:$AP$1,0)),50)</f>
        <v>2500</v>
      </c>
      <c r="V19" s="114">
        <f>MROUND(V$3*INDEX('College Enrollment Projections'!$AJ$2:$AP$72,MATCH('Campus Enrol Disaggregation'!$O19,'College Enrollment Projections'!$AI$2:$AI$72,0),MATCH('Campus Enrol Disaggregation'!V$2,'College Enrollment Projections'!$AJ$1:$AP$1,0)),50)</f>
        <v>28000</v>
      </c>
      <c r="W19" s="115">
        <f>MROUND(INDEX('MAG College Enrollment Forecast'!$B$4:$H$74,MATCH($O19,'MAG College Enrollment Forecast'!$A$4:$A$74,0),MATCH(W$4,'MAG College Enrollment Forecast'!$B$1:$H$1,0)),50)</f>
        <v>24150</v>
      </c>
      <c r="X19" s="115">
        <f>MROUND(INDEX('MAG College Enrollment Forecast'!$B$4:$H$74,MATCH($O19,'MAG College Enrollment Forecast'!$A$4:$A$74,0),MATCH(X$4,'MAG College Enrollment Forecast'!$B$1:$H$1,0)),50)</f>
        <v>0</v>
      </c>
      <c r="Y19" s="115">
        <f>MROUND(INDEX('MAG College Enrollment Forecast'!$B$4:$H$74,MATCH($O19,'MAG College Enrollment Forecast'!$A$4:$A$74,0),MATCH(Y$4,'MAG College Enrollment Forecast'!$B$1:$H$1,0)),50)</f>
        <v>0</v>
      </c>
      <c r="Z19" s="115">
        <f>MROUND(INDEX('MAG College Enrollment Forecast'!$B$4:$H$74,MATCH($O19,'MAG College Enrollment Forecast'!$A$4:$A$74,0),MATCH(Z$4,'MAG College Enrollment Forecast'!$B$1:$H$1,0)),50)</f>
        <v>0</v>
      </c>
      <c r="AA19" s="116">
        <f>MROUND(AA$3*INDEX('College Enrollment Projections'!$AJ$2:$AP$72,MATCH('Campus Enrol Disaggregation'!$O19,'College Enrollment Projections'!$AI$2:$AI$72,0),MATCH('Campus Enrol Disaggregation'!AA$2,'College Enrollment Projections'!$AJ$1:$AP$1,0)),50)</f>
        <v>15000</v>
      </c>
      <c r="AB19" s="116">
        <f>MROUND(AB$3*INDEX('College Enrollment Projections'!$AJ$2:$AP$72,MATCH('Campus Enrol Disaggregation'!$O19,'College Enrollment Projections'!$AI$2:$AI$72,0),MATCH('Campus Enrol Disaggregation'!AB$2,'College Enrollment Projections'!$AJ$1:$AP$1,0)),50)</f>
        <v>3000</v>
      </c>
      <c r="AC19" s="116">
        <f>MROUND(AC$3*INDEX('College Enrollment Projections'!$AJ$2:$AP$72,MATCH('Campus Enrol Disaggregation'!$O19,'College Enrollment Projections'!$AI$2:$AI$72,0),MATCH('Campus Enrol Disaggregation'!AC$2,'College Enrollment Projections'!$AJ$1:$AP$1,0)),50)</f>
        <v>2400</v>
      </c>
      <c r="AD19" s="117">
        <f t="shared" si="0"/>
        <v>131250</v>
      </c>
    </row>
    <row r="20" spans="15:30">
      <c r="O20" s="3">
        <v>2005</v>
      </c>
      <c r="P20" s="114">
        <f>MROUND(P$3*INDEX('College Enrollment Projections'!$AJ$2:$AP$72,MATCH('Campus Enrol Disaggregation'!$O20,'College Enrollment Projections'!$AI$2:$AI$72,0),MATCH('Campus Enrol Disaggregation'!P$2,'College Enrollment Projections'!$AJ$1:$AP$1,0)),50)</f>
        <v>34050</v>
      </c>
      <c r="Q20" s="114">
        <f>MROUND(Q$3*INDEX('College Enrollment Projections'!$AJ$2:$AP$72,MATCH('Campus Enrol Disaggregation'!$O20,'College Enrollment Projections'!$AI$2:$AI$72,0),MATCH('Campus Enrol Disaggregation'!Q$2,'College Enrollment Projections'!$AJ$1:$AP$1,0)),50)</f>
        <v>1250</v>
      </c>
      <c r="R20" s="114">
        <f>MROUND(R$3*INDEX('College Enrollment Projections'!$AJ$2:$AP$72,MATCH('Campus Enrol Disaggregation'!$O20,'College Enrollment Projections'!$AI$2:$AI$72,0),MATCH('Campus Enrol Disaggregation'!R$2,'College Enrollment Projections'!$AJ$1:$AP$1,0)),50)</f>
        <v>16500</v>
      </c>
      <c r="S20" s="114">
        <f>MROUND(S$3*INDEX('College Enrollment Projections'!$AJ$2:$AP$72,MATCH('Campus Enrol Disaggregation'!$O20,'College Enrollment Projections'!$AI$2:$AI$72,0),MATCH('Campus Enrol Disaggregation'!S$2,'College Enrollment Projections'!$AJ$1:$AP$1,0)),50)</f>
        <v>3200</v>
      </c>
      <c r="T20" s="114">
        <f>MROUND(T$3*INDEX('College Enrollment Projections'!$AJ$2:$AP$72,MATCH('Campus Enrol Disaggregation'!$O20,'College Enrollment Projections'!$AI$2:$AI$72,0),MATCH('Campus Enrol Disaggregation'!T$2,'College Enrollment Projections'!$AJ$1:$AP$1,0)),50)</f>
        <v>400</v>
      </c>
      <c r="U20" s="114">
        <f>MROUND(U$3*INDEX('College Enrollment Projections'!$AJ$2:$AP$72,MATCH('Campus Enrol Disaggregation'!$O20,'College Enrollment Projections'!$AI$2:$AI$72,0),MATCH('Campus Enrol Disaggregation'!U$2,'College Enrollment Projections'!$AJ$1:$AP$1,0)),50)</f>
        <v>2450</v>
      </c>
      <c r="V20" s="114">
        <f>MROUND(V$3*INDEX('College Enrollment Projections'!$AJ$2:$AP$72,MATCH('Campus Enrol Disaggregation'!$O20,'College Enrollment Projections'!$AI$2:$AI$72,0),MATCH('Campus Enrol Disaggregation'!V$2,'College Enrollment Projections'!$AJ$1:$AP$1,0)),50)</f>
        <v>29600</v>
      </c>
      <c r="W20" s="115">
        <f>MROUND(INDEX('MAG College Enrollment Forecast'!$B$4:$H$74,MATCH($O20,'MAG College Enrollment Forecast'!$A$4:$A$74,0),MATCH(W$4,'MAG College Enrollment Forecast'!$B$1:$H$1,0)),50)</f>
        <v>24500</v>
      </c>
      <c r="X20" s="115">
        <f>MROUND(INDEX('MAG College Enrollment Forecast'!$B$4:$H$74,MATCH($O20,'MAG College Enrollment Forecast'!$A$4:$A$74,0),MATCH(X$4,'MAG College Enrollment Forecast'!$B$1:$H$1,0)),50)</f>
        <v>0</v>
      </c>
      <c r="Y20" s="115">
        <f>MROUND(INDEX('MAG College Enrollment Forecast'!$B$4:$H$74,MATCH($O20,'MAG College Enrollment Forecast'!$A$4:$A$74,0),MATCH(Y$4,'MAG College Enrollment Forecast'!$B$1:$H$1,0)),50)</f>
        <v>0</v>
      </c>
      <c r="Z20" s="115">
        <f>MROUND(INDEX('MAG College Enrollment Forecast'!$B$4:$H$74,MATCH($O20,'MAG College Enrollment Forecast'!$A$4:$A$74,0),MATCH(Z$4,'MAG College Enrollment Forecast'!$B$1:$H$1,0)),50)</f>
        <v>0</v>
      </c>
      <c r="AA20" s="116">
        <f>MROUND(AA$3*INDEX('College Enrollment Projections'!$AJ$2:$AP$72,MATCH('Campus Enrol Disaggregation'!$O20,'College Enrollment Projections'!$AI$2:$AI$72,0),MATCH('Campus Enrol Disaggregation'!AA$2,'College Enrollment Projections'!$AJ$1:$AP$1,0)),50)</f>
        <v>14700</v>
      </c>
      <c r="AB20" s="116">
        <f>MROUND(AB$3*INDEX('College Enrollment Projections'!$AJ$2:$AP$72,MATCH('Campus Enrol Disaggregation'!$O20,'College Enrollment Projections'!$AI$2:$AI$72,0),MATCH('Campus Enrol Disaggregation'!AB$2,'College Enrollment Projections'!$AJ$1:$AP$1,0)),50)</f>
        <v>2950</v>
      </c>
      <c r="AC20" s="116">
        <f>MROUND(AC$3*INDEX('College Enrollment Projections'!$AJ$2:$AP$72,MATCH('Campus Enrol Disaggregation'!$O20,'College Enrollment Projections'!$AI$2:$AI$72,0),MATCH('Campus Enrol Disaggregation'!AC$2,'College Enrollment Projections'!$AJ$1:$AP$1,0)),50)</f>
        <v>2450</v>
      </c>
      <c r="AD20" s="117">
        <f t="shared" si="0"/>
        <v>132050</v>
      </c>
    </row>
    <row r="21" spans="15:30">
      <c r="O21" s="3">
        <v>2006</v>
      </c>
      <c r="P21" s="114">
        <f>MROUND(P$3*INDEX('College Enrollment Projections'!$AJ$2:$AP$72,MATCH('Campus Enrol Disaggregation'!$O21,'College Enrollment Projections'!$AI$2:$AI$72,0),MATCH('Campus Enrol Disaggregation'!P$2,'College Enrollment Projections'!$AJ$1:$AP$1,0)),50)</f>
        <v>34200</v>
      </c>
      <c r="Q21" s="114">
        <f>MROUND(Q$3*INDEX('College Enrollment Projections'!$AJ$2:$AP$72,MATCH('Campus Enrol Disaggregation'!$O21,'College Enrollment Projections'!$AI$2:$AI$72,0),MATCH('Campus Enrol Disaggregation'!Q$2,'College Enrollment Projections'!$AJ$1:$AP$1,0)),50)</f>
        <v>1300</v>
      </c>
      <c r="R21" s="114">
        <f>MROUND(R$3*INDEX('College Enrollment Projections'!$AJ$2:$AP$72,MATCH('Campus Enrol Disaggregation'!$O21,'College Enrollment Projections'!$AI$2:$AI$72,0),MATCH('Campus Enrol Disaggregation'!R$2,'College Enrollment Projections'!$AJ$1:$AP$1,0)),50)</f>
        <v>16600</v>
      </c>
      <c r="S21" s="114">
        <f>MROUND(S$3*INDEX('College Enrollment Projections'!$AJ$2:$AP$72,MATCH('Campus Enrol Disaggregation'!$O21,'College Enrollment Projections'!$AI$2:$AI$72,0),MATCH('Campus Enrol Disaggregation'!S$2,'College Enrollment Projections'!$AJ$1:$AP$1,0)),50)</f>
        <v>3250</v>
      </c>
      <c r="T21" s="114">
        <f>MROUND(T$3*INDEX('College Enrollment Projections'!$AJ$2:$AP$72,MATCH('Campus Enrol Disaggregation'!$O21,'College Enrollment Projections'!$AI$2:$AI$72,0),MATCH('Campus Enrol Disaggregation'!T$2,'College Enrollment Projections'!$AJ$1:$AP$1,0)),50)</f>
        <v>400</v>
      </c>
      <c r="U21" s="114">
        <f>MROUND(U$3*INDEX('College Enrollment Projections'!$AJ$2:$AP$72,MATCH('Campus Enrol Disaggregation'!$O21,'College Enrollment Projections'!$AI$2:$AI$72,0),MATCH('Campus Enrol Disaggregation'!U$2,'College Enrollment Projections'!$AJ$1:$AP$1,0)),50)</f>
        <v>2450</v>
      </c>
      <c r="V21" s="114">
        <f>MROUND(V$3*INDEX('College Enrollment Projections'!$AJ$2:$AP$72,MATCH('Campus Enrol Disaggregation'!$O21,'College Enrollment Projections'!$AI$2:$AI$72,0),MATCH('Campus Enrol Disaggregation'!V$2,'College Enrollment Projections'!$AJ$1:$AP$1,0)),50)</f>
        <v>29550</v>
      </c>
      <c r="W21" s="115">
        <f>MROUND(INDEX('MAG College Enrollment Forecast'!$B$4:$H$74,MATCH($O21,'MAG College Enrollment Forecast'!$A$4:$A$74,0),MATCH(W$4,'MAG College Enrollment Forecast'!$B$1:$H$1,0)),50)</f>
        <v>23300</v>
      </c>
      <c r="X21" s="115">
        <f>MROUND(INDEX('MAG College Enrollment Forecast'!$B$4:$H$74,MATCH($O21,'MAG College Enrollment Forecast'!$A$4:$A$74,0),MATCH(X$4,'MAG College Enrollment Forecast'!$B$1:$H$1,0)),50)</f>
        <v>0</v>
      </c>
      <c r="Y21" s="115">
        <f>MROUND(INDEX('MAG College Enrollment Forecast'!$B$4:$H$74,MATCH($O21,'MAG College Enrollment Forecast'!$A$4:$A$74,0),MATCH(Y$4,'MAG College Enrollment Forecast'!$B$1:$H$1,0)),50)</f>
        <v>0</v>
      </c>
      <c r="Z21" s="115">
        <f>MROUND(INDEX('MAG College Enrollment Forecast'!$B$4:$H$74,MATCH($O21,'MAG College Enrollment Forecast'!$A$4:$A$74,0),MATCH(Z$4,'MAG College Enrollment Forecast'!$B$1:$H$1,0)),50)</f>
        <v>0</v>
      </c>
      <c r="AA21" s="116">
        <f>MROUND(AA$3*INDEX('College Enrollment Projections'!$AJ$2:$AP$72,MATCH('Campus Enrol Disaggregation'!$O21,'College Enrollment Projections'!$AI$2:$AI$72,0),MATCH('Campus Enrol Disaggregation'!AA$2,'College Enrollment Projections'!$AJ$1:$AP$1,0)),50)</f>
        <v>14850</v>
      </c>
      <c r="AB21" s="116">
        <f>MROUND(AB$3*INDEX('College Enrollment Projections'!$AJ$2:$AP$72,MATCH('Campus Enrol Disaggregation'!$O21,'College Enrollment Projections'!$AI$2:$AI$72,0),MATCH('Campus Enrol Disaggregation'!AB$2,'College Enrollment Projections'!$AJ$1:$AP$1,0)),50)</f>
        <v>3000</v>
      </c>
      <c r="AC21" s="116">
        <f>MROUND(AC$3*INDEX('College Enrollment Projections'!$AJ$2:$AP$72,MATCH('Campus Enrol Disaggregation'!$O21,'College Enrollment Projections'!$AI$2:$AI$72,0),MATCH('Campus Enrol Disaggregation'!AC$2,'College Enrollment Projections'!$AJ$1:$AP$1,0)),50)</f>
        <v>2500</v>
      </c>
      <c r="AD21" s="117">
        <f t="shared" si="0"/>
        <v>131400</v>
      </c>
    </row>
    <row r="22" spans="15:30">
      <c r="O22" s="3">
        <v>2007</v>
      </c>
      <c r="P22" s="114">
        <f>MROUND(P$3*INDEX('College Enrollment Projections'!$AJ$2:$AP$72,MATCH('Campus Enrol Disaggregation'!$O22,'College Enrollment Projections'!$AI$2:$AI$72,0),MATCH('Campus Enrol Disaggregation'!P$2,'College Enrollment Projections'!$AJ$1:$AP$1,0)),50)</f>
        <v>34150</v>
      </c>
      <c r="Q22" s="114">
        <f>MROUND(Q$3*INDEX('College Enrollment Projections'!$AJ$2:$AP$72,MATCH('Campus Enrol Disaggregation'!$O22,'College Enrollment Projections'!$AI$2:$AI$72,0),MATCH('Campus Enrol Disaggregation'!Q$2,'College Enrollment Projections'!$AJ$1:$AP$1,0)),50)</f>
        <v>1300</v>
      </c>
      <c r="R22" s="114">
        <f>MROUND(R$3*INDEX('College Enrollment Projections'!$AJ$2:$AP$72,MATCH('Campus Enrol Disaggregation'!$O22,'College Enrollment Projections'!$AI$2:$AI$72,0),MATCH('Campus Enrol Disaggregation'!R$2,'College Enrollment Projections'!$AJ$1:$AP$1,0)),50)</f>
        <v>17250</v>
      </c>
      <c r="S22" s="114">
        <f>MROUND(S$3*INDEX('College Enrollment Projections'!$AJ$2:$AP$72,MATCH('Campus Enrol Disaggregation'!$O22,'College Enrollment Projections'!$AI$2:$AI$72,0),MATCH('Campus Enrol Disaggregation'!S$2,'College Enrollment Projections'!$AJ$1:$AP$1,0)),50)</f>
        <v>3350</v>
      </c>
      <c r="T22" s="114">
        <f>MROUND(T$3*INDEX('College Enrollment Projections'!$AJ$2:$AP$72,MATCH('Campus Enrol Disaggregation'!$O22,'College Enrollment Projections'!$AI$2:$AI$72,0),MATCH('Campus Enrol Disaggregation'!T$2,'College Enrollment Projections'!$AJ$1:$AP$1,0)),50)</f>
        <v>400</v>
      </c>
      <c r="U22" s="114">
        <f>MROUND(U$3*INDEX('College Enrollment Projections'!$AJ$2:$AP$72,MATCH('Campus Enrol Disaggregation'!$O22,'College Enrollment Projections'!$AI$2:$AI$72,0),MATCH('Campus Enrol Disaggregation'!U$2,'College Enrollment Projections'!$AJ$1:$AP$1,0)),50)</f>
        <v>2550</v>
      </c>
      <c r="V22" s="114">
        <f>MROUND(V$3*INDEX('College Enrollment Projections'!$AJ$2:$AP$72,MATCH('Campus Enrol Disaggregation'!$O22,'College Enrollment Projections'!$AI$2:$AI$72,0),MATCH('Campus Enrol Disaggregation'!V$2,'College Enrollment Projections'!$AJ$1:$AP$1,0)),50)</f>
        <v>27150</v>
      </c>
      <c r="W22" s="115">
        <f>MROUND(INDEX('MAG College Enrollment Forecast'!$B$4:$H$74,MATCH($O22,'MAG College Enrollment Forecast'!$A$4:$A$74,0),MATCH(W$4,'MAG College Enrollment Forecast'!$B$1:$H$1,0)),50)</f>
        <v>23850</v>
      </c>
      <c r="X22" s="115">
        <f>MROUND(INDEX('MAG College Enrollment Forecast'!$B$4:$H$74,MATCH($O22,'MAG College Enrollment Forecast'!$A$4:$A$74,0),MATCH(X$4,'MAG College Enrollment Forecast'!$B$1:$H$1,0)),50)</f>
        <v>0</v>
      </c>
      <c r="Y22" s="115">
        <f>MROUND(INDEX('MAG College Enrollment Forecast'!$B$4:$H$74,MATCH($O22,'MAG College Enrollment Forecast'!$A$4:$A$74,0),MATCH(Y$4,'MAG College Enrollment Forecast'!$B$1:$H$1,0)),50)</f>
        <v>0</v>
      </c>
      <c r="Z22" s="115">
        <f>MROUND(INDEX('MAG College Enrollment Forecast'!$B$4:$H$74,MATCH($O22,'MAG College Enrollment Forecast'!$A$4:$A$74,0),MATCH(Z$4,'MAG College Enrollment Forecast'!$B$1:$H$1,0)),50)</f>
        <v>0</v>
      </c>
      <c r="AA22" s="116">
        <f>MROUND(AA$3*INDEX('College Enrollment Projections'!$AJ$2:$AP$72,MATCH('Campus Enrol Disaggregation'!$O22,'College Enrollment Projections'!$AI$2:$AI$72,0),MATCH('Campus Enrol Disaggregation'!AA$2,'College Enrollment Projections'!$AJ$1:$AP$1,0)),50)</f>
        <v>14650</v>
      </c>
      <c r="AB22" s="116">
        <f>MROUND(AB$3*INDEX('College Enrollment Projections'!$AJ$2:$AP$72,MATCH('Campus Enrol Disaggregation'!$O22,'College Enrollment Projections'!$AI$2:$AI$72,0),MATCH('Campus Enrol Disaggregation'!AB$2,'College Enrollment Projections'!$AJ$1:$AP$1,0)),50)</f>
        <v>2950</v>
      </c>
      <c r="AC22" s="116">
        <f>MROUND(AC$3*INDEX('College Enrollment Projections'!$AJ$2:$AP$72,MATCH('Campus Enrol Disaggregation'!$O22,'College Enrollment Projections'!$AI$2:$AI$72,0),MATCH('Campus Enrol Disaggregation'!AC$2,'College Enrollment Projections'!$AJ$1:$AP$1,0)),50)</f>
        <v>2650</v>
      </c>
      <c r="AD22" s="117">
        <f t="shared" si="0"/>
        <v>130250</v>
      </c>
    </row>
    <row r="23" spans="15:30">
      <c r="O23" s="3">
        <v>2008</v>
      </c>
      <c r="P23" s="114">
        <f>MROUND(P$3*INDEX('College Enrollment Projections'!$AJ$2:$AP$72,MATCH('Campus Enrol Disaggregation'!$O23,'College Enrollment Projections'!$AI$2:$AI$72,0),MATCH('Campus Enrol Disaggregation'!P$2,'College Enrollment Projections'!$AJ$1:$AP$1,0)),50)</f>
        <v>34250</v>
      </c>
      <c r="Q23" s="114">
        <f>MROUND(Q$3*INDEX('College Enrollment Projections'!$AJ$2:$AP$72,MATCH('Campus Enrol Disaggregation'!$O23,'College Enrollment Projections'!$AI$2:$AI$72,0),MATCH('Campus Enrol Disaggregation'!Q$2,'College Enrollment Projections'!$AJ$1:$AP$1,0)),50)</f>
        <v>1400</v>
      </c>
      <c r="R23" s="114">
        <f>MROUND(R$3*INDEX('College Enrollment Projections'!$AJ$2:$AP$72,MATCH('Campus Enrol Disaggregation'!$O23,'College Enrollment Projections'!$AI$2:$AI$72,0),MATCH('Campus Enrol Disaggregation'!R$2,'College Enrollment Projections'!$AJ$1:$AP$1,0)),50)</f>
        <v>20100</v>
      </c>
      <c r="S23" s="114">
        <f>MROUND(S$3*INDEX('College Enrollment Projections'!$AJ$2:$AP$72,MATCH('Campus Enrol Disaggregation'!$O23,'College Enrollment Projections'!$AI$2:$AI$72,0),MATCH('Campus Enrol Disaggregation'!S$2,'College Enrollment Projections'!$AJ$1:$AP$1,0)),50)</f>
        <v>3900</v>
      </c>
      <c r="T23" s="114">
        <f>MROUND(T$3*INDEX('College Enrollment Projections'!$AJ$2:$AP$72,MATCH('Campus Enrol Disaggregation'!$O23,'College Enrollment Projections'!$AI$2:$AI$72,0),MATCH('Campus Enrol Disaggregation'!T$2,'College Enrollment Projections'!$AJ$1:$AP$1,0)),50)</f>
        <v>500</v>
      </c>
      <c r="U23" s="114">
        <f>MROUND(U$3*INDEX('College Enrollment Projections'!$AJ$2:$AP$72,MATCH('Campus Enrol Disaggregation'!$O23,'College Enrollment Projections'!$AI$2:$AI$72,0),MATCH('Campus Enrol Disaggregation'!U$2,'College Enrollment Projections'!$AJ$1:$AP$1,0)),50)</f>
        <v>3000</v>
      </c>
      <c r="V23" s="114">
        <f>MROUND(V$3*INDEX('College Enrollment Projections'!$AJ$2:$AP$72,MATCH('Campus Enrol Disaggregation'!$O23,'College Enrollment Projections'!$AI$2:$AI$72,0),MATCH('Campus Enrol Disaggregation'!V$2,'College Enrollment Projections'!$AJ$1:$AP$1,0)),50)</f>
        <v>27300</v>
      </c>
      <c r="W23" s="115">
        <f>MROUND(INDEX('MAG College Enrollment Forecast'!$B$4:$H$74,MATCH($O23,'MAG College Enrollment Forecast'!$A$4:$A$74,0),MATCH(W$4,'MAG College Enrollment Forecast'!$B$1:$H$1,0)),50)</f>
        <v>27050</v>
      </c>
      <c r="X23" s="115">
        <f>MROUND(INDEX('MAG College Enrollment Forecast'!$B$4:$H$74,MATCH($O23,'MAG College Enrollment Forecast'!$A$4:$A$74,0),MATCH(X$4,'MAG College Enrollment Forecast'!$B$1:$H$1,0)),50)</f>
        <v>0</v>
      </c>
      <c r="Y23" s="115">
        <f>MROUND(INDEX('MAG College Enrollment Forecast'!$B$4:$H$74,MATCH($O23,'MAG College Enrollment Forecast'!$A$4:$A$74,0),MATCH(Y$4,'MAG College Enrollment Forecast'!$B$1:$H$1,0)),50)</f>
        <v>0</v>
      </c>
      <c r="Z23" s="115">
        <f>MROUND(INDEX('MAG College Enrollment Forecast'!$B$4:$H$74,MATCH($O23,'MAG College Enrollment Forecast'!$A$4:$A$74,0),MATCH(Z$4,'MAG College Enrollment Forecast'!$B$1:$H$1,0)),50)</f>
        <v>0</v>
      </c>
      <c r="AA23" s="116">
        <f>MROUND(AA$3*INDEX('College Enrollment Projections'!$AJ$2:$AP$72,MATCH('Campus Enrol Disaggregation'!$O23,'College Enrollment Projections'!$AI$2:$AI$72,0),MATCH('Campus Enrol Disaggregation'!AA$2,'College Enrollment Projections'!$AJ$1:$AP$1,0)),50)</f>
        <v>17350</v>
      </c>
      <c r="AB23" s="116">
        <f>MROUND(AB$3*INDEX('College Enrollment Projections'!$AJ$2:$AP$72,MATCH('Campus Enrol Disaggregation'!$O23,'College Enrollment Projections'!$AI$2:$AI$72,0),MATCH('Campus Enrol Disaggregation'!AB$2,'College Enrollment Projections'!$AJ$1:$AP$1,0)),50)</f>
        <v>3500</v>
      </c>
      <c r="AC23" s="116">
        <f>MROUND(AC$3*INDEX('College Enrollment Projections'!$AJ$2:$AP$72,MATCH('Campus Enrol Disaggregation'!$O23,'College Enrollment Projections'!$AI$2:$AI$72,0),MATCH('Campus Enrol Disaggregation'!AC$2,'College Enrollment Projections'!$AJ$1:$AP$1,0)),50)</f>
        <v>2850</v>
      </c>
      <c r="AD23" s="117">
        <f t="shared" si="0"/>
        <v>141200</v>
      </c>
    </row>
    <row r="24" spans="15:30">
      <c r="O24" s="3">
        <v>2009</v>
      </c>
      <c r="P24" s="114">
        <f>MROUND(P$3*INDEX('College Enrollment Projections'!$AJ$2:$AP$72,MATCH('Campus Enrol Disaggregation'!$O24,'College Enrollment Projections'!$AI$2:$AI$72,0),MATCH('Campus Enrol Disaggregation'!P$2,'College Enrollment Projections'!$AJ$1:$AP$1,0)),50)</f>
        <v>34150</v>
      </c>
      <c r="Q24" s="114">
        <f>MROUND(Q$3*INDEX('College Enrollment Projections'!$AJ$2:$AP$72,MATCH('Campus Enrol Disaggregation'!$O24,'College Enrollment Projections'!$AI$2:$AI$72,0),MATCH('Campus Enrol Disaggregation'!Q$2,'College Enrollment Projections'!$AJ$1:$AP$1,0)),50)</f>
        <v>1600</v>
      </c>
      <c r="R24" s="114">
        <f>MROUND(R$3*INDEX('College Enrollment Projections'!$AJ$2:$AP$72,MATCH('Campus Enrol Disaggregation'!$O24,'College Enrollment Projections'!$AI$2:$AI$72,0),MATCH('Campus Enrol Disaggregation'!R$2,'College Enrollment Projections'!$AJ$1:$AP$1,0)),50)</f>
        <v>23900</v>
      </c>
      <c r="S24" s="114">
        <f>MROUND(S$3*INDEX('College Enrollment Projections'!$AJ$2:$AP$72,MATCH('Campus Enrol Disaggregation'!$O24,'College Enrollment Projections'!$AI$2:$AI$72,0),MATCH('Campus Enrol Disaggregation'!S$2,'College Enrollment Projections'!$AJ$1:$AP$1,0)),50)</f>
        <v>4650</v>
      </c>
      <c r="T24" s="114">
        <f>MROUND(T$3*INDEX('College Enrollment Projections'!$AJ$2:$AP$72,MATCH('Campus Enrol Disaggregation'!$O24,'College Enrollment Projections'!$AI$2:$AI$72,0),MATCH('Campus Enrol Disaggregation'!T$2,'College Enrollment Projections'!$AJ$1:$AP$1,0)),50)</f>
        <v>550</v>
      </c>
      <c r="U24" s="114">
        <f>MROUND(U$3*INDEX('College Enrollment Projections'!$AJ$2:$AP$72,MATCH('Campus Enrol Disaggregation'!$O24,'College Enrollment Projections'!$AI$2:$AI$72,0),MATCH('Campus Enrol Disaggregation'!U$2,'College Enrollment Projections'!$AJ$1:$AP$1,0)),50)</f>
        <v>3550</v>
      </c>
      <c r="V24" s="114">
        <f>MROUND(V$3*INDEX('College Enrollment Projections'!$AJ$2:$AP$72,MATCH('Campus Enrol Disaggregation'!$O24,'College Enrollment Projections'!$AI$2:$AI$72,0),MATCH('Campus Enrol Disaggregation'!V$2,'College Enrollment Projections'!$AJ$1:$AP$1,0)),50)</f>
        <v>28350</v>
      </c>
      <c r="W24" s="115">
        <f>MROUND(INDEX('MAG College Enrollment Forecast'!$B$4:$H$74,MATCH($O24,'MAG College Enrollment Forecast'!$A$4:$A$74,0),MATCH(W$4,'MAG College Enrollment Forecast'!$B$1:$H$1,0)),50)</f>
        <v>29050</v>
      </c>
      <c r="X24" s="115">
        <f>MROUND(INDEX('MAG College Enrollment Forecast'!$B$4:$H$74,MATCH($O24,'MAG College Enrollment Forecast'!$A$4:$A$74,0),MATCH(X$4,'MAG College Enrollment Forecast'!$B$1:$H$1,0)),50)</f>
        <v>0</v>
      </c>
      <c r="Y24" s="115">
        <f>MROUND(INDEX('MAG College Enrollment Forecast'!$B$4:$H$74,MATCH($O24,'MAG College Enrollment Forecast'!$A$4:$A$74,0),MATCH(Y$4,'MAG College Enrollment Forecast'!$B$1:$H$1,0)),50)</f>
        <v>0</v>
      </c>
      <c r="Z24" s="115">
        <f>MROUND(INDEX('MAG College Enrollment Forecast'!$B$4:$H$74,MATCH($O24,'MAG College Enrollment Forecast'!$A$4:$A$74,0),MATCH(Z$4,'MAG College Enrollment Forecast'!$B$1:$H$1,0)),50)</f>
        <v>0</v>
      </c>
      <c r="AA24" s="116">
        <f>MROUND(AA$3*INDEX('College Enrollment Projections'!$AJ$2:$AP$72,MATCH('Campus Enrol Disaggregation'!$O24,'College Enrollment Projections'!$AI$2:$AI$72,0),MATCH('Campus Enrol Disaggregation'!AA$2,'College Enrollment Projections'!$AJ$1:$AP$1,0)),50)</f>
        <v>18650</v>
      </c>
      <c r="AB24" s="116">
        <f>MROUND(AB$3*INDEX('College Enrollment Projections'!$AJ$2:$AP$72,MATCH('Campus Enrol Disaggregation'!$O24,'College Enrollment Projections'!$AI$2:$AI$72,0),MATCH('Campus Enrol Disaggregation'!AB$2,'College Enrollment Projections'!$AJ$1:$AP$1,0)),50)</f>
        <v>3750</v>
      </c>
      <c r="AC24" s="116">
        <f>MROUND(AC$3*INDEX('College Enrollment Projections'!$AJ$2:$AP$72,MATCH('Campus Enrol Disaggregation'!$O24,'College Enrollment Projections'!$AI$2:$AI$72,0),MATCH('Campus Enrol Disaggregation'!AC$2,'College Enrollment Projections'!$AJ$1:$AP$1,0)),50)</f>
        <v>3050</v>
      </c>
      <c r="AD24" s="117">
        <f t="shared" si="0"/>
        <v>151250</v>
      </c>
    </row>
    <row r="25" spans="15:30">
      <c r="O25" s="3">
        <v>2010</v>
      </c>
      <c r="P25" s="114">
        <f>MROUND(P$3*INDEX('College Enrollment Projections'!$AJ$2:$AP$72,MATCH('Campus Enrol Disaggregation'!$O25,'College Enrollment Projections'!$AI$2:$AI$72,0),MATCH('Campus Enrol Disaggregation'!P$2,'College Enrollment Projections'!$AJ$1:$AP$1,0)),50)</f>
        <v>33850</v>
      </c>
      <c r="Q25" s="114">
        <f>MROUND(Q$3*INDEX('College Enrollment Projections'!$AJ$2:$AP$72,MATCH('Campus Enrol Disaggregation'!$O25,'College Enrollment Projections'!$AI$2:$AI$72,0),MATCH('Campus Enrol Disaggregation'!Q$2,'College Enrollment Projections'!$AJ$1:$AP$1,0)),50)</f>
        <v>1800</v>
      </c>
      <c r="R25" s="114">
        <f>MROUND(R$3*INDEX('College Enrollment Projections'!$AJ$2:$AP$72,MATCH('Campus Enrol Disaggregation'!$O25,'College Enrollment Projections'!$AI$2:$AI$72,0),MATCH('Campus Enrol Disaggregation'!R$2,'College Enrollment Projections'!$AJ$1:$AP$1,0)),50)</f>
        <v>23700</v>
      </c>
      <c r="S25" s="114">
        <f>MROUND(S$3*INDEX('College Enrollment Projections'!$AJ$2:$AP$72,MATCH('Campus Enrol Disaggregation'!$O25,'College Enrollment Projections'!$AI$2:$AI$72,0),MATCH('Campus Enrol Disaggregation'!S$2,'College Enrollment Projections'!$AJ$1:$AP$1,0)),50)</f>
        <v>4600</v>
      </c>
      <c r="T25" s="114">
        <f>MROUND(T$3*INDEX('College Enrollment Projections'!$AJ$2:$AP$72,MATCH('Campus Enrol Disaggregation'!$O25,'College Enrollment Projections'!$AI$2:$AI$72,0),MATCH('Campus Enrol Disaggregation'!T$2,'College Enrollment Projections'!$AJ$1:$AP$1,0)),50)</f>
        <v>550</v>
      </c>
      <c r="U25" s="114">
        <f>MROUND(U$3*INDEX('College Enrollment Projections'!$AJ$2:$AP$72,MATCH('Campus Enrol Disaggregation'!$O25,'College Enrollment Projections'!$AI$2:$AI$72,0),MATCH('Campus Enrol Disaggregation'!U$2,'College Enrollment Projections'!$AJ$1:$AP$1,0)),50)</f>
        <v>3550</v>
      </c>
      <c r="V25" s="114">
        <f>MROUND(V$3*INDEX('College Enrollment Projections'!$AJ$2:$AP$72,MATCH('Campus Enrol Disaggregation'!$O25,'College Enrollment Projections'!$AI$2:$AI$72,0),MATCH('Campus Enrol Disaggregation'!V$2,'College Enrollment Projections'!$AJ$1:$AP$1,0)),50)</f>
        <v>29850</v>
      </c>
      <c r="W25" s="115">
        <f>MROUND(INDEX('MAG College Enrollment Forecast'!$B$4:$H$74,MATCH($O25,'MAG College Enrollment Forecast'!$A$4:$A$74,0),MATCH(W$4,'MAG College Enrollment Forecast'!$B$1:$H$1,0)),50)</f>
        <v>31750</v>
      </c>
      <c r="X25" s="115">
        <f>MROUND(INDEX('MAG College Enrollment Forecast'!$B$4:$H$74,MATCH($O25,'MAG College Enrollment Forecast'!$A$4:$A$74,0),MATCH(X$4,'MAG College Enrollment Forecast'!$B$1:$H$1,0)),50)</f>
        <v>0</v>
      </c>
      <c r="Y25" s="115">
        <f>MROUND(INDEX('MAG College Enrollment Forecast'!$B$4:$H$74,MATCH($O25,'MAG College Enrollment Forecast'!$A$4:$A$74,0),MATCH(Y$4,'MAG College Enrollment Forecast'!$B$1:$H$1,0)),50)</f>
        <v>0</v>
      </c>
      <c r="Z25" s="115">
        <f>MROUND(INDEX('MAG College Enrollment Forecast'!$B$4:$H$74,MATCH($O25,'MAG College Enrollment Forecast'!$A$4:$A$74,0),MATCH(Z$4,'MAG College Enrollment Forecast'!$B$1:$H$1,0)),50)</f>
        <v>0</v>
      </c>
      <c r="AA25" s="116">
        <f>MROUND(AA$3*INDEX('College Enrollment Projections'!$AJ$2:$AP$72,MATCH('Campus Enrol Disaggregation'!$O25,'College Enrollment Projections'!$AI$2:$AI$72,0),MATCH('Campus Enrol Disaggregation'!AA$2,'College Enrollment Projections'!$AJ$1:$AP$1,0)),50)</f>
        <v>19500</v>
      </c>
      <c r="AB25" s="116">
        <f>MROUND(AB$3*INDEX('College Enrollment Projections'!$AJ$2:$AP$72,MATCH('Campus Enrol Disaggregation'!$O25,'College Enrollment Projections'!$AI$2:$AI$72,0),MATCH('Campus Enrol Disaggregation'!AB$2,'College Enrollment Projections'!$AJ$1:$AP$1,0)),50)</f>
        <v>3900</v>
      </c>
      <c r="AC25" s="116">
        <f>MROUND(AC$3*INDEX('College Enrollment Projections'!$AJ$2:$AP$72,MATCH('Campus Enrol Disaggregation'!$O25,'College Enrollment Projections'!$AI$2:$AI$72,0),MATCH('Campus Enrol Disaggregation'!AC$2,'College Enrollment Projections'!$AJ$1:$AP$1,0)),50)</f>
        <v>3150</v>
      </c>
      <c r="AD25" s="117">
        <f t="shared" si="0"/>
        <v>156200</v>
      </c>
    </row>
    <row r="26" spans="15:30">
      <c r="O26" s="3">
        <v>2011</v>
      </c>
      <c r="P26" s="114">
        <f>MROUND(P$3*INDEX('College Enrollment Projections'!$AJ$2:$AP$72,MATCH('Campus Enrol Disaggregation'!$O26,'College Enrollment Projections'!$AI$2:$AI$72,0),MATCH('Campus Enrol Disaggregation'!P$2,'College Enrollment Projections'!$AJ$1:$AP$1,0)),50)</f>
        <v>34100</v>
      </c>
      <c r="Q26" s="114">
        <f>MROUND(Q$3*INDEX('College Enrollment Projections'!$AJ$2:$AP$72,MATCH('Campus Enrol Disaggregation'!$O26,'College Enrollment Projections'!$AI$2:$AI$72,0),MATCH('Campus Enrol Disaggregation'!Q$2,'College Enrollment Projections'!$AJ$1:$AP$1,0)),50)</f>
        <v>2000</v>
      </c>
      <c r="R26" s="114">
        <f>MROUND(R$3*INDEX('College Enrollment Projections'!$AJ$2:$AP$72,MATCH('Campus Enrol Disaggregation'!$O26,'College Enrollment Projections'!$AI$2:$AI$72,0),MATCH('Campus Enrol Disaggregation'!R$2,'College Enrollment Projections'!$AJ$1:$AP$1,0)),50)</f>
        <v>22850</v>
      </c>
      <c r="S26" s="114">
        <f>MROUND(S$3*INDEX('College Enrollment Projections'!$AJ$2:$AP$72,MATCH('Campus Enrol Disaggregation'!$O26,'College Enrollment Projections'!$AI$2:$AI$72,0),MATCH('Campus Enrol Disaggregation'!S$2,'College Enrollment Projections'!$AJ$1:$AP$1,0)),50)</f>
        <v>4450</v>
      </c>
      <c r="T26" s="114">
        <f>MROUND(T$3*INDEX('College Enrollment Projections'!$AJ$2:$AP$72,MATCH('Campus Enrol Disaggregation'!$O26,'College Enrollment Projections'!$AI$2:$AI$72,0),MATCH('Campus Enrol Disaggregation'!T$2,'College Enrollment Projections'!$AJ$1:$AP$1,0)),50)</f>
        <v>550</v>
      </c>
      <c r="U26" s="114">
        <f>MROUND(U$3*INDEX('College Enrollment Projections'!$AJ$2:$AP$72,MATCH('Campus Enrol Disaggregation'!$O26,'College Enrollment Projections'!$AI$2:$AI$72,0),MATCH('Campus Enrol Disaggregation'!U$2,'College Enrollment Projections'!$AJ$1:$AP$1,0)),50)</f>
        <v>3400</v>
      </c>
      <c r="V26" s="114">
        <f>MROUND(V$3*INDEX('College Enrollment Projections'!$AJ$2:$AP$72,MATCH('Campus Enrol Disaggregation'!$O26,'College Enrollment Projections'!$AI$2:$AI$72,0),MATCH('Campus Enrol Disaggregation'!V$2,'College Enrollment Projections'!$AJ$1:$AP$1,0)),50)</f>
        <v>30650</v>
      </c>
      <c r="W26" s="115">
        <f>MROUND(INDEX('MAG College Enrollment Forecast'!$B$4:$H$74,MATCH($O26,'MAG College Enrollment Forecast'!$A$4:$A$74,0),MATCH(W$4,'MAG College Enrollment Forecast'!$B$1:$H$1,0)),50)</f>
        <v>32750</v>
      </c>
      <c r="X26" s="115">
        <f>MROUND(INDEX('MAG College Enrollment Forecast'!$B$4:$H$74,MATCH($O26,'MAG College Enrollment Forecast'!$A$4:$A$74,0),MATCH(X$4,'MAG College Enrollment Forecast'!$B$1:$H$1,0)),50)</f>
        <v>0</v>
      </c>
      <c r="Y26" s="115">
        <f>MROUND(INDEX('MAG College Enrollment Forecast'!$B$4:$H$74,MATCH($O26,'MAG College Enrollment Forecast'!$A$4:$A$74,0),MATCH(Y$4,'MAG College Enrollment Forecast'!$B$1:$H$1,0)),50)</f>
        <v>0</v>
      </c>
      <c r="Z26" s="115">
        <f>MROUND(INDEX('MAG College Enrollment Forecast'!$B$4:$H$74,MATCH($O26,'MAG College Enrollment Forecast'!$A$4:$A$74,0),MATCH(Z$4,'MAG College Enrollment Forecast'!$B$1:$H$1,0)),50)</f>
        <v>0</v>
      </c>
      <c r="AA26" s="116">
        <f>MROUND(AA$3*INDEX('College Enrollment Projections'!$AJ$2:$AP$72,MATCH('Campus Enrol Disaggregation'!$O26,'College Enrollment Projections'!$AI$2:$AI$72,0),MATCH('Campus Enrol Disaggregation'!AA$2,'College Enrollment Projections'!$AJ$1:$AP$1,0)),50)</f>
        <v>20550</v>
      </c>
      <c r="AB26" s="116">
        <f>MROUND(AB$3*INDEX('College Enrollment Projections'!$AJ$2:$AP$72,MATCH('Campus Enrol Disaggregation'!$O26,'College Enrollment Projections'!$AI$2:$AI$72,0),MATCH('Campus Enrol Disaggregation'!AB$2,'College Enrollment Projections'!$AJ$1:$AP$1,0)),50)</f>
        <v>4100</v>
      </c>
      <c r="AC26" s="116">
        <f>MROUND(AC$3*INDEX('College Enrollment Projections'!$AJ$2:$AP$72,MATCH('Campus Enrol Disaggregation'!$O26,'College Enrollment Projections'!$AI$2:$AI$72,0),MATCH('Campus Enrol Disaggregation'!AC$2,'College Enrollment Projections'!$AJ$1:$AP$1,0)),50)</f>
        <v>3350</v>
      </c>
      <c r="AD26" s="117">
        <f t="shared" si="0"/>
        <v>158750</v>
      </c>
    </row>
    <row r="27" spans="15:30">
      <c r="O27" s="3">
        <v>2012</v>
      </c>
      <c r="P27" s="114">
        <f>MROUND(P$3*INDEX('College Enrollment Projections'!$AJ$2:$AP$72,MATCH('Campus Enrol Disaggregation'!$O27,'College Enrollment Projections'!$AI$2:$AI$72,0),MATCH('Campus Enrol Disaggregation'!P$2,'College Enrollment Projections'!$AJ$1:$AP$1,0)),50)</f>
        <v>34400</v>
      </c>
      <c r="Q27" s="114">
        <f>MROUND(Q$3*INDEX('College Enrollment Projections'!$AJ$2:$AP$72,MATCH('Campus Enrol Disaggregation'!$O27,'College Enrollment Projections'!$AI$2:$AI$72,0),MATCH('Campus Enrol Disaggregation'!Q$2,'College Enrollment Projections'!$AJ$1:$AP$1,0)),50)</f>
        <v>2200</v>
      </c>
      <c r="R27" s="114">
        <f>MROUND(R$3*INDEX('College Enrollment Projections'!$AJ$2:$AP$72,MATCH('Campus Enrol Disaggregation'!$O27,'College Enrollment Projections'!$AI$2:$AI$72,0),MATCH('Campus Enrol Disaggregation'!R$2,'College Enrollment Projections'!$AJ$1:$AP$1,0)),50)</f>
        <v>20500</v>
      </c>
      <c r="S27" s="114">
        <f>MROUND(S$3*INDEX('College Enrollment Projections'!$AJ$2:$AP$72,MATCH('Campus Enrol Disaggregation'!$O27,'College Enrollment Projections'!$AI$2:$AI$72,0),MATCH('Campus Enrol Disaggregation'!S$2,'College Enrollment Projections'!$AJ$1:$AP$1,0)),50)</f>
        <v>4000</v>
      </c>
      <c r="T27" s="114">
        <f>MROUND(T$3*INDEX('College Enrollment Projections'!$AJ$2:$AP$72,MATCH('Campus Enrol Disaggregation'!$O27,'College Enrollment Projections'!$AI$2:$AI$72,0),MATCH('Campus Enrol Disaggregation'!T$2,'College Enrollment Projections'!$AJ$1:$AP$1,0)),50)</f>
        <v>500</v>
      </c>
      <c r="U27" s="114">
        <f>MROUND(U$3*INDEX('College Enrollment Projections'!$AJ$2:$AP$72,MATCH('Campus Enrol Disaggregation'!$O27,'College Enrollment Projections'!$AI$2:$AI$72,0),MATCH('Campus Enrol Disaggregation'!U$2,'College Enrollment Projections'!$AJ$1:$AP$1,0)),50)</f>
        <v>3050</v>
      </c>
      <c r="V27" s="114">
        <f>MROUND(V$3*INDEX('College Enrollment Projections'!$AJ$2:$AP$72,MATCH('Campus Enrol Disaggregation'!$O27,'College Enrollment Projections'!$AI$2:$AI$72,0),MATCH('Campus Enrol Disaggregation'!V$2,'College Enrollment Projections'!$AJ$1:$AP$1,0)),50)</f>
        <v>31350</v>
      </c>
      <c r="W27" s="115">
        <f>MROUND(INDEX('MAG College Enrollment Forecast'!$B$4:$H$74,MATCH($O27,'MAG College Enrollment Forecast'!$A$4:$A$74,0),MATCH(W$4,'MAG College Enrollment Forecast'!$B$1:$H$1,0)),50)</f>
        <v>31800</v>
      </c>
      <c r="X27" s="115">
        <f>MROUND(INDEX('MAG College Enrollment Forecast'!$B$4:$H$74,MATCH($O27,'MAG College Enrollment Forecast'!$A$4:$A$74,0),MATCH(X$4,'MAG College Enrollment Forecast'!$B$1:$H$1,0)),50)</f>
        <v>0</v>
      </c>
      <c r="Y27" s="115">
        <f>MROUND(INDEX('MAG College Enrollment Forecast'!$B$4:$H$74,MATCH($O27,'MAG College Enrollment Forecast'!$A$4:$A$74,0),MATCH(Y$4,'MAG College Enrollment Forecast'!$B$1:$H$1,0)),50)</f>
        <v>0</v>
      </c>
      <c r="Z27" s="115">
        <f>MROUND(INDEX('MAG College Enrollment Forecast'!$B$4:$H$74,MATCH($O27,'MAG College Enrollment Forecast'!$A$4:$A$74,0),MATCH(Z$4,'MAG College Enrollment Forecast'!$B$1:$H$1,0)),50)</f>
        <v>0</v>
      </c>
      <c r="AA27" s="116">
        <f>MROUND(AA$3*INDEX('College Enrollment Projections'!$AJ$2:$AP$72,MATCH('Campus Enrol Disaggregation'!$O27,'College Enrollment Projections'!$AI$2:$AI$72,0),MATCH('Campus Enrol Disaggregation'!AA$2,'College Enrollment Projections'!$AJ$1:$AP$1,0)),50)</f>
        <v>21550</v>
      </c>
      <c r="AB27" s="116">
        <f>MROUND(AB$3*INDEX('College Enrollment Projections'!$AJ$2:$AP$72,MATCH('Campus Enrol Disaggregation'!$O27,'College Enrollment Projections'!$AI$2:$AI$72,0),MATCH('Campus Enrol Disaggregation'!AB$2,'College Enrollment Projections'!$AJ$1:$AP$1,0)),50)</f>
        <v>4300</v>
      </c>
      <c r="AC27" s="116">
        <f>MROUND(AC$3*INDEX('College Enrollment Projections'!$AJ$2:$AP$72,MATCH('Campus Enrol Disaggregation'!$O27,'College Enrollment Projections'!$AI$2:$AI$72,0),MATCH('Campus Enrol Disaggregation'!AC$2,'College Enrollment Projections'!$AJ$1:$AP$1,0)),50)</f>
        <v>3300</v>
      </c>
      <c r="AD27" s="117">
        <f t="shared" si="0"/>
        <v>156950</v>
      </c>
    </row>
    <row r="28" spans="15:30">
      <c r="O28" s="3">
        <v>2013</v>
      </c>
      <c r="P28" s="114">
        <f>MROUND(P$3*INDEX('College Enrollment Projections'!$AJ$2:$AP$72,MATCH('Campus Enrol Disaggregation'!$O28,'College Enrollment Projections'!$AI$2:$AI$72,0),MATCH('Campus Enrol Disaggregation'!P$2,'College Enrollment Projections'!$AJ$1:$AP$1,0)),50)</f>
        <v>31100</v>
      </c>
      <c r="Q28" s="114">
        <f>MROUND(Q$3*INDEX('College Enrollment Projections'!$AJ$2:$AP$72,MATCH('Campus Enrol Disaggregation'!$O28,'College Enrollment Projections'!$AI$2:$AI$72,0),MATCH('Campus Enrol Disaggregation'!Q$2,'College Enrollment Projections'!$AJ$1:$AP$1,0)),50)</f>
        <v>2050</v>
      </c>
      <c r="R28" s="114">
        <f>MROUND(R$3*INDEX('College Enrollment Projections'!$AJ$2:$AP$72,MATCH('Campus Enrol Disaggregation'!$O28,'College Enrollment Projections'!$AI$2:$AI$72,0),MATCH('Campus Enrol Disaggregation'!R$2,'College Enrollment Projections'!$AJ$1:$AP$1,0)),50)</f>
        <v>21900</v>
      </c>
      <c r="S28" s="114">
        <f>MROUND(S$3*INDEX('College Enrollment Projections'!$AJ$2:$AP$72,MATCH('Campus Enrol Disaggregation'!$O28,'College Enrollment Projections'!$AI$2:$AI$72,0),MATCH('Campus Enrol Disaggregation'!S$2,'College Enrollment Projections'!$AJ$1:$AP$1,0)),50)</f>
        <v>4250</v>
      </c>
      <c r="T28" s="114">
        <f>MROUND(T$3*INDEX('College Enrollment Projections'!$AJ$2:$AP$72,MATCH('Campus Enrol Disaggregation'!$O28,'College Enrollment Projections'!$AI$2:$AI$72,0),MATCH('Campus Enrol Disaggregation'!T$2,'College Enrollment Projections'!$AJ$1:$AP$1,0)),50)</f>
        <v>500</v>
      </c>
      <c r="U28" s="114">
        <f>MROUND(U$3*INDEX('College Enrollment Projections'!$AJ$2:$AP$72,MATCH('Campus Enrol Disaggregation'!$O28,'College Enrollment Projections'!$AI$2:$AI$72,0),MATCH('Campus Enrol Disaggregation'!U$2,'College Enrollment Projections'!$AJ$1:$AP$1,0)),50)</f>
        <v>3250</v>
      </c>
      <c r="V28" s="114">
        <f>MROUND(V$3*INDEX('College Enrollment Projections'!$AJ$2:$AP$72,MATCH('Campus Enrol Disaggregation'!$O28,'College Enrollment Projections'!$AI$2:$AI$72,0),MATCH('Campus Enrol Disaggregation'!V$2,'College Enrollment Projections'!$AJ$1:$AP$1,0)),50)</f>
        <v>31050</v>
      </c>
      <c r="W28" s="115">
        <f>MROUND(INDEX('MAG College Enrollment Forecast'!$B$4:$H$74,MATCH($O28,'MAG College Enrollment Forecast'!$A$4:$A$74,0),MATCH(W$4,'MAG College Enrollment Forecast'!$B$1:$H$1,0)),50)</f>
        <v>30900</v>
      </c>
      <c r="X28" s="115">
        <f>MROUND(INDEX('MAG College Enrollment Forecast'!$B$4:$H$74,MATCH($O28,'MAG College Enrollment Forecast'!$A$4:$A$74,0),MATCH(X$4,'MAG College Enrollment Forecast'!$B$1:$H$1,0)),50)</f>
        <v>0</v>
      </c>
      <c r="Y28" s="115">
        <f>MROUND(INDEX('MAG College Enrollment Forecast'!$B$4:$H$74,MATCH($O28,'MAG College Enrollment Forecast'!$A$4:$A$74,0),MATCH(Y$4,'MAG College Enrollment Forecast'!$B$1:$H$1,0)),50)</f>
        <v>0</v>
      </c>
      <c r="Z28" s="115">
        <f>MROUND(INDEX('MAG College Enrollment Forecast'!$B$4:$H$74,MATCH($O28,'MAG College Enrollment Forecast'!$A$4:$A$74,0),MATCH(Z$4,'MAG College Enrollment Forecast'!$B$1:$H$1,0)),50)</f>
        <v>0</v>
      </c>
      <c r="AA28" s="116">
        <f>MROUND(AA$3*INDEX('College Enrollment Projections'!$AJ$2:$AP$72,MATCH('Campus Enrol Disaggregation'!$O28,'College Enrollment Projections'!$AI$2:$AI$72,0),MATCH('Campus Enrol Disaggregation'!AA$2,'College Enrollment Projections'!$AJ$1:$AP$1,0)),50)</f>
        <v>20400</v>
      </c>
      <c r="AB28" s="116">
        <f>MROUND(AB$3*INDEX('College Enrollment Projections'!$AJ$2:$AP$72,MATCH('Campus Enrol Disaggregation'!$O28,'College Enrollment Projections'!$AI$2:$AI$72,0),MATCH('Campus Enrol Disaggregation'!AB$2,'College Enrollment Projections'!$AJ$1:$AP$1,0)),50)</f>
        <v>4100</v>
      </c>
      <c r="AC28" s="116">
        <f>MROUND(AC$3*INDEX('College Enrollment Projections'!$AJ$2:$AP$72,MATCH('Campus Enrol Disaggregation'!$O28,'College Enrollment Projections'!$AI$2:$AI$72,0),MATCH('Campus Enrol Disaggregation'!AC$2,'College Enrollment Projections'!$AJ$1:$AP$1,0)),50)</f>
        <v>3100</v>
      </c>
      <c r="AD28" s="117">
        <f t="shared" si="0"/>
        <v>152600</v>
      </c>
    </row>
    <row r="29" spans="15:30">
      <c r="O29" s="3">
        <v>2014</v>
      </c>
      <c r="P29" s="114">
        <f>MROUND(P$3*INDEX('College Enrollment Projections'!$AJ$2:$AP$72,MATCH('Campus Enrol Disaggregation'!$O29,'College Enrollment Projections'!$AI$2:$AI$72,0),MATCH('Campus Enrol Disaggregation'!P$2,'College Enrollment Projections'!$AJ$1:$AP$1,0)),50)</f>
        <v>30500</v>
      </c>
      <c r="Q29" s="114">
        <f>MROUND(Q$3*INDEX('College Enrollment Projections'!$AJ$2:$AP$72,MATCH('Campus Enrol Disaggregation'!$O29,'College Enrollment Projections'!$AI$2:$AI$72,0),MATCH('Campus Enrol Disaggregation'!Q$2,'College Enrollment Projections'!$AJ$1:$AP$1,0)),50)</f>
        <v>2000</v>
      </c>
      <c r="R29" s="114">
        <f>MROUND(R$3*INDEX('College Enrollment Projections'!$AJ$2:$AP$72,MATCH('Campus Enrol Disaggregation'!$O29,'College Enrollment Projections'!$AI$2:$AI$72,0),MATCH('Campus Enrol Disaggregation'!R$2,'College Enrollment Projections'!$AJ$1:$AP$1,0)),50)</f>
        <v>20700</v>
      </c>
      <c r="S29" s="114">
        <f>MROUND(S$3*INDEX('College Enrollment Projections'!$AJ$2:$AP$72,MATCH('Campus Enrol Disaggregation'!$O29,'College Enrollment Projections'!$AI$2:$AI$72,0),MATCH('Campus Enrol Disaggregation'!S$2,'College Enrollment Projections'!$AJ$1:$AP$1,0)),50)</f>
        <v>4050</v>
      </c>
      <c r="T29" s="114">
        <f>MROUND(T$3*INDEX('College Enrollment Projections'!$AJ$2:$AP$72,MATCH('Campus Enrol Disaggregation'!$O29,'College Enrollment Projections'!$AI$2:$AI$72,0),MATCH('Campus Enrol Disaggregation'!T$2,'College Enrollment Projections'!$AJ$1:$AP$1,0)),50)</f>
        <v>500</v>
      </c>
      <c r="U29" s="114">
        <f>MROUND(U$3*INDEX('College Enrollment Projections'!$AJ$2:$AP$72,MATCH('Campus Enrol Disaggregation'!$O29,'College Enrollment Projections'!$AI$2:$AI$72,0),MATCH('Campus Enrol Disaggregation'!U$2,'College Enrollment Projections'!$AJ$1:$AP$1,0)),50)</f>
        <v>3100</v>
      </c>
      <c r="V29" s="114">
        <f>MROUND(V$3*INDEX('College Enrollment Projections'!$AJ$2:$AP$72,MATCH('Campus Enrol Disaggregation'!$O29,'College Enrollment Projections'!$AI$2:$AI$72,0),MATCH('Campus Enrol Disaggregation'!V$2,'College Enrollment Projections'!$AJ$1:$AP$1,0)),50)</f>
        <v>30500</v>
      </c>
      <c r="W29" s="115">
        <f>MROUND(INDEX('MAG College Enrollment Forecast'!$B$4:$H$74,MATCH($O29,'MAG College Enrollment Forecast'!$A$4:$A$74,0),MATCH(W$4,'MAG College Enrollment Forecast'!$B$1:$H$1,0)),50)</f>
        <v>31600</v>
      </c>
      <c r="X29" s="115">
        <f>MROUND(INDEX('MAG College Enrollment Forecast'!$B$4:$H$74,MATCH($O29,'MAG College Enrollment Forecast'!$A$4:$A$74,0),MATCH(X$4,'MAG College Enrollment Forecast'!$B$1:$H$1,0)),50)</f>
        <v>0</v>
      </c>
      <c r="Y29" s="115">
        <f>MROUND(INDEX('MAG College Enrollment Forecast'!$B$4:$H$74,MATCH($O29,'MAG College Enrollment Forecast'!$A$4:$A$74,0),MATCH(Y$4,'MAG College Enrollment Forecast'!$B$1:$H$1,0)),50)</f>
        <v>0</v>
      </c>
      <c r="Z29" s="115">
        <f>MROUND(INDEX('MAG College Enrollment Forecast'!$B$4:$H$74,MATCH($O29,'MAG College Enrollment Forecast'!$A$4:$A$74,0),MATCH(Z$4,'MAG College Enrollment Forecast'!$B$1:$H$1,0)),50)</f>
        <v>0</v>
      </c>
      <c r="AA29" s="116">
        <f>MROUND(AA$3*INDEX('College Enrollment Projections'!$AJ$2:$AP$72,MATCH('Campus Enrol Disaggregation'!$O29,'College Enrollment Projections'!$AI$2:$AI$72,0),MATCH('Campus Enrol Disaggregation'!AA$2,'College Enrollment Projections'!$AJ$1:$AP$1,0)),50)</f>
        <v>21050</v>
      </c>
      <c r="AB29" s="116">
        <f>MROUND(AB$3*INDEX('College Enrollment Projections'!$AJ$2:$AP$72,MATCH('Campus Enrol Disaggregation'!$O29,'College Enrollment Projections'!$AI$2:$AI$72,0),MATCH('Campus Enrol Disaggregation'!AB$2,'College Enrollment Projections'!$AJ$1:$AP$1,0)),50)</f>
        <v>4250</v>
      </c>
      <c r="AC29" s="116">
        <f>MROUND(AC$3*INDEX('College Enrollment Projections'!$AJ$2:$AP$72,MATCH('Campus Enrol Disaggregation'!$O29,'College Enrollment Projections'!$AI$2:$AI$72,0),MATCH('Campus Enrol Disaggregation'!AC$2,'College Enrollment Projections'!$AJ$1:$AP$1,0)),50)</f>
        <v>3000</v>
      </c>
      <c r="AD29" s="117">
        <f t="shared" si="0"/>
        <v>151250</v>
      </c>
    </row>
    <row r="30" spans="15:30">
      <c r="O30" s="3">
        <v>2015</v>
      </c>
      <c r="P30" s="114">
        <f>MROUND(P$3*INDEX('College Enrollment Projections'!$AJ$2:$AP$72,MATCH('Campus Enrol Disaggregation'!$O30,'College Enrollment Projections'!$AI$2:$AI$72,0),MATCH('Campus Enrol Disaggregation'!P$2,'College Enrollment Projections'!$AJ$1:$AP$1,0)),50)</f>
        <v>33450</v>
      </c>
      <c r="Q30" s="114">
        <f>MROUND(Q$3*INDEX('College Enrollment Projections'!$AJ$2:$AP$72,MATCH('Campus Enrol Disaggregation'!$O30,'College Enrollment Projections'!$AI$2:$AI$72,0),MATCH('Campus Enrol Disaggregation'!Q$2,'College Enrollment Projections'!$AJ$1:$AP$1,0)),50)</f>
        <v>2150</v>
      </c>
      <c r="R30" s="114">
        <f>MROUND(R$3*INDEX('College Enrollment Projections'!$AJ$2:$AP$72,MATCH('Campus Enrol Disaggregation'!$O30,'College Enrollment Projections'!$AI$2:$AI$72,0),MATCH('Campus Enrol Disaggregation'!R$2,'College Enrollment Projections'!$AJ$1:$AP$1,0)),50)</f>
        <v>20100</v>
      </c>
      <c r="S30" s="114">
        <f>MROUND(S$3*INDEX('College Enrollment Projections'!$AJ$2:$AP$72,MATCH('Campus Enrol Disaggregation'!$O30,'College Enrollment Projections'!$AI$2:$AI$72,0),MATCH('Campus Enrol Disaggregation'!S$2,'College Enrollment Projections'!$AJ$1:$AP$1,0)),50)</f>
        <v>3900</v>
      </c>
      <c r="T30" s="114">
        <f>MROUND(T$3*INDEX('College Enrollment Projections'!$AJ$2:$AP$72,MATCH('Campus Enrol Disaggregation'!$O30,'College Enrollment Projections'!$AI$2:$AI$72,0),MATCH('Campus Enrol Disaggregation'!T$2,'College Enrollment Projections'!$AJ$1:$AP$1,0)),50)</f>
        <v>450</v>
      </c>
      <c r="U30" s="114">
        <f>MROUND(U$3*INDEX('College Enrollment Projections'!$AJ$2:$AP$72,MATCH('Campus Enrol Disaggregation'!$O30,'College Enrollment Projections'!$AI$2:$AI$72,0),MATCH('Campus Enrol Disaggregation'!U$2,'College Enrollment Projections'!$AJ$1:$AP$1,0)),50)</f>
        <v>3000</v>
      </c>
      <c r="V30" s="114">
        <f>MROUND(V$3*INDEX('College Enrollment Projections'!$AJ$2:$AP$72,MATCH('Campus Enrol Disaggregation'!$O30,'College Enrollment Projections'!$AI$2:$AI$72,0),MATCH('Campus Enrol Disaggregation'!V$2,'College Enrollment Projections'!$AJ$1:$AP$1,0)),50)</f>
        <v>30600</v>
      </c>
      <c r="W30" s="115">
        <f>MROUND(INDEX('MAG College Enrollment Forecast'!$B$4:$H$74,MATCH($O30,'MAG College Enrollment Forecast'!$A$4:$A$74,0),MATCH(W$4,'MAG College Enrollment Forecast'!$B$1:$H$1,0)),50)</f>
        <v>33550</v>
      </c>
      <c r="X30" s="115">
        <f>MROUND(INDEX('MAG College Enrollment Forecast'!$B$4:$H$74,MATCH($O30,'MAG College Enrollment Forecast'!$A$4:$A$74,0),MATCH(X$4,'MAG College Enrollment Forecast'!$B$1:$H$1,0)),50)</f>
        <v>0</v>
      </c>
      <c r="Y30" s="115">
        <f>MROUND(INDEX('MAG College Enrollment Forecast'!$B$4:$H$74,MATCH($O30,'MAG College Enrollment Forecast'!$A$4:$A$74,0),MATCH(Y$4,'MAG College Enrollment Forecast'!$B$1:$H$1,0)),50)</f>
        <v>0</v>
      </c>
      <c r="Z30" s="115">
        <f>MROUND(INDEX('MAG College Enrollment Forecast'!$B$4:$H$74,MATCH($O30,'MAG College Enrollment Forecast'!$A$4:$A$74,0),MATCH(Z$4,'MAG College Enrollment Forecast'!$B$1:$H$1,0)),50)</f>
        <v>0</v>
      </c>
      <c r="AA30" s="116">
        <f>MROUND(AA$3*INDEX('College Enrollment Projections'!$AJ$2:$AP$72,MATCH('Campus Enrol Disaggregation'!$O30,'College Enrollment Projections'!$AI$2:$AI$72,0),MATCH('Campus Enrol Disaggregation'!AA$2,'College Enrollment Projections'!$AJ$1:$AP$1,0)),50)</f>
        <v>21050</v>
      </c>
      <c r="AB30" s="116">
        <f>MROUND(AB$3*INDEX('College Enrollment Projections'!$AJ$2:$AP$72,MATCH('Campus Enrol Disaggregation'!$O30,'College Enrollment Projections'!$AI$2:$AI$72,0),MATCH('Campus Enrol Disaggregation'!AB$2,'College Enrollment Projections'!$AJ$1:$AP$1,0)),50)</f>
        <v>4250</v>
      </c>
      <c r="AC30" s="116">
        <f>MROUND(AC$3*INDEX('College Enrollment Projections'!$AJ$2:$AP$72,MATCH('Campus Enrol Disaggregation'!$O30,'College Enrollment Projections'!$AI$2:$AI$72,0),MATCH('Campus Enrol Disaggregation'!AC$2,'College Enrollment Projections'!$AJ$1:$AP$1,0)),50)</f>
        <v>2800</v>
      </c>
      <c r="AD30" s="117">
        <f t="shared" si="0"/>
        <v>155300</v>
      </c>
    </row>
    <row r="31" spans="15:30">
      <c r="O31" s="3">
        <v>2016</v>
      </c>
      <c r="P31" s="114">
        <f>MROUND(P$3*INDEX('College Enrollment Projections'!$AJ$2:$AP$72,MATCH('Campus Enrol Disaggregation'!$O31,'College Enrollment Projections'!$AI$2:$AI$72,0),MATCH('Campus Enrol Disaggregation'!P$2,'College Enrollment Projections'!$AJ$1:$AP$1,0)),50)</f>
        <v>34250</v>
      </c>
      <c r="Q31" s="114">
        <f>MROUND(Q$3*INDEX('College Enrollment Projections'!$AJ$2:$AP$72,MATCH('Campus Enrol Disaggregation'!$O31,'College Enrollment Projections'!$AI$2:$AI$72,0),MATCH('Campus Enrol Disaggregation'!Q$2,'College Enrollment Projections'!$AJ$1:$AP$1,0)),50)</f>
        <v>2100</v>
      </c>
      <c r="R31" s="114">
        <f>MROUND(R$3*INDEX('College Enrollment Projections'!$AJ$2:$AP$72,MATCH('Campus Enrol Disaggregation'!$O31,'College Enrollment Projections'!$AI$2:$AI$72,0),MATCH('Campus Enrol Disaggregation'!R$2,'College Enrollment Projections'!$AJ$1:$AP$1,0)),50)</f>
        <v>20450</v>
      </c>
      <c r="S31" s="114">
        <f>MROUND(S$3*INDEX('College Enrollment Projections'!$AJ$2:$AP$72,MATCH('Campus Enrol Disaggregation'!$O31,'College Enrollment Projections'!$AI$2:$AI$72,0),MATCH('Campus Enrol Disaggregation'!S$2,'College Enrollment Projections'!$AJ$1:$AP$1,0)),50)</f>
        <v>4000</v>
      </c>
      <c r="T31" s="114">
        <f>MROUND(T$3*INDEX('College Enrollment Projections'!$AJ$2:$AP$72,MATCH('Campus Enrol Disaggregation'!$O31,'College Enrollment Projections'!$AI$2:$AI$72,0),MATCH('Campus Enrol Disaggregation'!T$2,'College Enrollment Projections'!$AJ$1:$AP$1,0)),50)</f>
        <v>500</v>
      </c>
      <c r="U31" s="114">
        <f>MROUND(U$3*INDEX('College Enrollment Projections'!$AJ$2:$AP$72,MATCH('Campus Enrol Disaggregation'!$O31,'College Enrollment Projections'!$AI$2:$AI$72,0),MATCH('Campus Enrol Disaggregation'!U$2,'College Enrollment Projections'!$AJ$1:$AP$1,0)),50)</f>
        <v>3050</v>
      </c>
      <c r="V31" s="114">
        <f>MROUND(V$3*INDEX('College Enrollment Projections'!$AJ$2:$AP$72,MATCH('Campus Enrol Disaggregation'!$O31,'College Enrollment Projections'!$AI$2:$AI$72,0),MATCH('Campus Enrol Disaggregation'!V$2,'College Enrollment Projections'!$AJ$1:$AP$1,0)),50)</f>
        <v>30850</v>
      </c>
      <c r="W31" s="115">
        <f>MROUND(INDEX('MAG College Enrollment Forecast'!$B$4:$H$74,MATCH($O31,'MAG College Enrollment Forecast'!$A$4:$A$74,0),MATCH(W$4,'MAG College Enrollment Forecast'!$B$1:$H$1,0)),50)</f>
        <v>35150</v>
      </c>
      <c r="X31" s="115">
        <f>MROUND(INDEX('MAG College Enrollment Forecast'!$B$4:$H$74,MATCH($O31,'MAG College Enrollment Forecast'!$A$4:$A$74,0),MATCH(X$4,'MAG College Enrollment Forecast'!$B$1:$H$1,0)),50)</f>
        <v>0</v>
      </c>
      <c r="Y31" s="115">
        <f>MROUND(INDEX('MAG College Enrollment Forecast'!$B$4:$H$74,MATCH($O31,'MAG College Enrollment Forecast'!$A$4:$A$74,0),MATCH(Y$4,'MAG College Enrollment Forecast'!$B$1:$H$1,0)),50)</f>
        <v>0</v>
      </c>
      <c r="Z31" s="115">
        <f>MROUND(INDEX('MAG College Enrollment Forecast'!$B$4:$H$74,MATCH($O31,'MAG College Enrollment Forecast'!$A$4:$A$74,0),MATCH(Z$4,'MAG College Enrollment Forecast'!$B$1:$H$1,0)),50)</f>
        <v>0</v>
      </c>
      <c r="AA31" s="116">
        <f>MROUND(AA$3*INDEX('College Enrollment Projections'!$AJ$2:$AP$72,MATCH('Campus Enrol Disaggregation'!$O31,'College Enrollment Projections'!$AI$2:$AI$72,0),MATCH('Campus Enrol Disaggregation'!AA$2,'College Enrollment Projections'!$AJ$1:$AP$1,0)),50)</f>
        <v>21750</v>
      </c>
      <c r="AB31" s="116">
        <f>MROUND(AB$3*INDEX('College Enrollment Projections'!$AJ$2:$AP$72,MATCH('Campus Enrol Disaggregation'!$O31,'College Enrollment Projections'!$AI$2:$AI$72,0),MATCH('Campus Enrol Disaggregation'!AB$2,'College Enrollment Projections'!$AJ$1:$AP$1,0)),50)</f>
        <v>4350</v>
      </c>
      <c r="AC31" s="116">
        <f>MROUND(AC$3*INDEX('College Enrollment Projections'!$AJ$2:$AP$72,MATCH('Campus Enrol Disaggregation'!$O31,'College Enrollment Projections'!$AI$2:$AI$72,0),MATCH('Campus Enrol Disaggregation'!AC$2,'College Enrollment Projections'!$AJ$1:$AP$1,0)),50)</f>
        <v>2700</v>
      </c>
      <c r="AD31" s="117">
        <f t="shared" si="0"/>
        <v>159150</v>
      </c>
    </row>
    <row r="32" spans="15:30">
      <c r="O32" s="3">
        <v>2017</v>
      </c>
      <c r="P32" s="114">
        <f>MROUND(P$3*INDEX('College Enrollment Projections'!$AJ$2:$AP$72,MATCH('Campus Enrol Disaggregation'!$O32,'College Enrollment Projections'!$AI$2:$AI$72,0),MATCH('Campus Enrol Disaggregation'!P$2,'College Enrollment Projections'!$AJ$1:$AP$1,0)),50)</f>
        <v>34350</v>
      </c>
      <c r="Q32" s="114">
        <f>MROUND(Q$3*INDEX('College Enrollment Projections'!$AJ$2:$AP$72,MATCH('Campus Enrol Disaggregation'!$O32,'College Enrollment Projections'!$AI$2:$AI$72,0),MATCH('Campus Enrol Disaggregation'!Q$2,'College Enrollment Projections'!$AJ$1:$AP$1,0)),50)</f>
        <v>2050</v>
      </c>
      <c r="R32" s="114">
        <f>MROUND(R$3*INDEX('College Enrollment Projections'!$AJ$2:$AP$72,MATCH('Campus Enrol Disaggregation'!$O32,'College Enrollment Projections'!$AI$2:$AI$72,0),MATCH('Campus Enrol Disaggregation'!R$2,'College Enrollment Projections'!$AJ$1:$AP$1,0)),50)</f>
        <v>20250</v>
      </c>
      <c r="S32" s="114">
        <f>MROUND(S$3*INDEX('College Enrollment Projections'!$AJ$2:$AP$72,MATCH('Campus Enrol Disaggregation'!$O32,'College Enrollment Projections'!$AI$2:$AI$72,0),MATCH('Campus Enrol Disaggregation'!S$2,'College Enrollment Projections'!$AJ$1:$AP$1,0)),50)</f>
        <v>3950</v>
      </c>
      <c r="T32" s="114">
        <f>MROUND(T$3*INDEX('College Enrollment Projections'!$AJ$2:$AP$72,MATCH('Campus Enrol Disaggregation'!$O32,'College Enrollment Projections'!$AI$2:$AI$72,0),MATCH('Campus Enrol Disaggregation'!T$2,'College Enrollment Projections'!$AJ$1:$AP$1,0)),50)</f>
        <v>500</v>
      </c>
      <c r="U32" s="114">
        <f>MROUND(U$3*INDEX('College Enrollment Projections'!$AJ$2:$AP$72,MATCH('Campus Enrol Disaggregation'!$O32,'College Enrollment Projections'!$AI$2:$AI$72,0),MATCH('Campus Enrol Disaggregation'!U$2,'College Enrollment Projections'!$AJ$1:$AP$1,0)),50)</f>
        <v>3000</v>
      </c>
      <c r="V32" s="114">
        <f>MROUND(V$3*INDEX('College Enrollment Projections'!$AJ$2:$AP$72,MATCH('Campus Enrol Disaggregation'!$O32,'College Enrollment Projections'!$AI$2:$AI$72,0),MATCH('Campus Enrol Disaggregation'!V$2,'College Enrollment Projections'!$AJ$1:$AP$1,0)),50)</f>
        <v>31750</v>
      </c>
      <c r="W32" s="115">
        <f>MROUND(INDEX('MAG College Enrollment Forecast'!$B$4:$H$74,MATCH($O32,'MAG College Enrollment Forecast'!$A$4:$A$74,0),MATCH(W$4,'MAG College Enrollment Forecast'!$B$1:$H$1,0)),50)</f>
        <v>37800</v>
      </c>
      <c r="X32" s="115">
        <f>MROUND(INDEX('MAG College Enrollment Forecast'!$B$4:$H$74,MATCH($O32,'MAG College Enrollment Forecast'!$A$4:$A$74,0),MATCH(X$4,'MAG College Enrollment Forecast'!$B$1:$H$1,0)),50)</f>
        <v>0</v>
      </c>
      <c r="Y32" s="115">
        <f>MROUND(INDEX('MAG College Enrollment Forecast'!$B$4:$H$74,MATCH($O32,'MAG College Enrollment Forecast'!$A$4:$A$74,0),MATCH(Y$4,'MAG College Enrollment Forecast'!$B$1:$H$1,0)),50)</f>
        <v>0</v>
      </c>
      <c r="Z32" s="115">
        <f>MROUND(INDEX('MAG College Enrollment Forecast'!$B$4:$H$74,MATCH($O32,'MAG College Enrollment Forecast'!$A$4:$A$74,0),MATCH(Z$4,'MAG College Enrollment Forecast'!$B$1:$H$1,0)),50)</f>
        <v>0</v>
      </c>
      <c r="AA32" s="116">
        <f>MROUND(AA$3*INDEX('College Enrollment Projections'!$AJ$2:$AP$72,MATCH('Campus Enrol Disaggregation'!$O32,'College Enrollment Projections'!$AI$2:$AI$72,0),MATCH('Campus Enrol Disaggregation'!AA$2,'College Enrollment Projections'!$AJ$1:$AP$1,0)),50)</f>
        <v>22700</v>
      </c>
      <c r="AB32" s="116">
        <f>MROUND(AB$3*INDEX('College Enrollment Projections'!$AJ$2:$AP$72,MATCH('Campus Enrol Disaggregation'!$O32,'College Enrollment Projections'!$AI$2:$AI$72,0),MATCH('Campus Enrol Disaggregation'!AB$2,'College Enrollment Projections'!$AJ$1:$AP$1,0)),50)</f>
        <v>4550</v>
      </c>
      <c r="AC32" s="116">
        <f>MROUND(AC$3*INDEX('College Enrollment Projections'!$AJ$2:$AP$72,MATCH('Campus Enrol Disaggregation'!$O32,'College Enrollment Projections'!$AI$2:$AI$72,0),MATCH('Campus Enrol Disaggregation'!AC$2,'College Enrollment Projections'!$AJ$1:$AP$1,0)),50)</f>
        <v>2550</v>
      </c>
      <c r="AD32" s="117">
        <f t="shared" si="0"/>
        <v>163450</v>
      </c>
    </row>
    <row r="33" spans="15:30">
      <c r="O33" s="3">
        <v>2018</v>
      </c>
      <c r="P33" s="114">
        <f>MROUND(P$3*INDEX('College Enrollment Projections'!$AJ$2:$AP$72,MATCH('Campus Enrol Disaggregation'!$O33,'College Enrollment Projections'!$AI$2:$AI$72,0),MATCH('Campus Enrol Disaggregation'!P$2,'College Enrollment Projections'!$AJ$1:$AP$1,0)),50)</f>
        <v>34500</v>
      </c>
      <c r="Q33" s="114">
        <f>MROUND(Q$3*INDEX('College Enrollment Projections'!$AJ$2:$AP$72,MATCH('Campus Enrol Disaggregation'!$O33,'College Enrollment Projections'!$AI$2:$AI$72,0),MATCH('Campus Enrol Disaggregation'!Q$2,'College Enrollment Projections'!$AJ$1:$AP$1,0)),50)</f>
        <v>2000</v>
      </c>
      <c r="R33" s="114">
        <f>MROUND(R$3*INDEX('College Enrollment Projections'!$AJ$2:$AP$72,MATCH('Campus Enrol Disaggregation'!$O33,'College Enrollment Projections'!$AI$2:$AI$72,0),MATCH('Campus Enrol Disaggregation'!R$2,'College Enrollment Projections'!$AJ$1:$AP$1,0)),50)</f>
        <v>19950</v>
      </c>
      <c r="S33" s="114">
        <f>MROUND(S$3*INDEX('College Enrollment Projections'!$AJ$2:$AP$72,MATCH('Campus Enrol Disaggregation'!$O33,'College Enrollment Projections'!$AI$2:$AI$72,0),MATCH('Campus Enrol Disaggregation'!S$2,'College Enrollment Projections'!$AJ$1:$AP$1,0)),50)</f>
        <v>3900</v>
      </c>
      <c r="T33" s="114">
        <f>MROUND(T$3*INDEX('College Enrollment Projections'!$AJ$2:$AP$72,MATCH('Campus Enrol Disaggregation'!$O33,'College Enrollment Projections'!$AI$2:$AI$72,0),MATCH('Campus Enrol Disaggregation'!T$2,'College Enrollment Projections'!$AJ$1:$AP$1,0)),50)</f>
        <v>450</v>
      </c>
      <c r="U33" s="114">
        <f>MROUND(U$3*INDEX('College Enrollment Projections'!$AJ$2:$AP$72,MATCH('Campus Enrol Disaggregation'!$O33,'College Enrollment Projections'!$AI$2:$AI$72,0),MATCH('Campus Enrol Disaggregation'!U$2,'College Enrollment Projections'!$AJ$1:$AP$1,0)),50)</f>
        <v>2950</v>
      </c>
      <c r="V33" s="114">
        <f>MROUND(V$3*INDEX('College Enrollment Projections'!$AJ$2:$AP$72,MATCH('Campus Enrol Disaggregation'!$O33,'College Enrollment Projections'!$AI$2:$AI$72,0),MATCH('Campus Enrol Disaggregation'!V$2,'College Enrollment Projections'!$AJ$1:$AP$1,0)),50)</f>
        <v>31950</v>
      </c>
      <c r="W33" s="115">
        <f>MROUND(INDEX('MAG College Enrollment Forecast'!$B$4:$H$74,MATCH($O33,'MAG College Enrollment Forecast'!$A$4:$A$74,0),MATCH(W$4,'MAG College Enrollment Forecast'!$B$1:$H$1,0)),50)</f>
        <v>39950</v>
      </c>
      <c r="X33" s="115">
        <f>MROUND(INDEX('MAG College Enrollment Forecast'!$B$4:$H$74,MATCH($O33,'MAG College Enrollment Forecast'!$A$4:$A$74,0),MATCH(X$4,'MAG College Enrollment Forecast'!$B$1:$H$1,0)),50)</f>
        <v>0</v>
      </c>
      <c r="Y33" s="115">
        <f>MROUND(INDEX('MAG College Enrollment Forecast'!$B$4:$H$74,MATCH($O33,'MAG College Enrollment Forecast'!$A$4:$A$74,0),MATCH(Y$4,'MAG College Enrollment Forecast'!$B$1:$H$1,0)),50)</f>
        <v>0</v>
      </c>
      <c r="Z33" s="115">
        <f>MROUND(INDEX('MAG College Enrollment Forecast'!$B$4:$H$74,MATCH($O33,'MAG College Enrollment Forecast'!$A$4:$A$74,0),MATCH(Z$4,'MAG College Enrollment Forecast'!$B$1:$H$1,0)),50)</f>
        <v>0</v>
      </c>
      <c r="AA33" s="116">
        <f>MROUND(AA$3*INDEX('College Enrollment Projections'!$AJ$2:$AP$72,MATCH('Campus Enrol Disaggregation'!$O33,'College Enrollment Projections'!$AI$2:$AI$72,0),MATCH('Campus Enrol Disaggregation'!AA$2,'College Enrollment Projections'!$AJ$1:$AP$1,0)),50)</f>
        <v>22900</v>
      </c>
      <c r="AB33" s="116">
        <f>MROUND(AB$3*INDEX('College Enrollment Projections'!$AJ$2:$AP$72,MATCH('Campus Enrol Disaggregation'!$O33,'College Enrollment Projections'!$AI$2:$AI$72,0),MATCH('Campus Enrol Disaggregation'!AB$2,'College Enrollment Projections'!$AJ$1:$AP$1,0)),50)</f>
        <v>4600</v>
      </c>
      <c r="AC33" s="116">
        <f>MROUND(AC$3*INDEX('College Enrollment Projections'!$AJ$2:$AP$72,MATCH('Campus Enrol Disaggregation'!$O33,'College Enrollment Projections'!$AI$2:$AI$72,0),MATCH('Campus Enrol Disaggregation'!AC$2,'College Enrollment Projections'!$AJ$1:$AP$1,0)),50)</f>
        <v>2500</v>
      </c>
      <c r="AD33" s="117">
        <f t="shared" si="0"/>
        <v>165650</v>
      </c>
    </row>
    <row r="34" spans="15:30">
      <c r="O34" s="3">
        <v>2019</v>
      </c>
      <c r="P34" s="114">
        <f>MROUND(P$3*INDEX('College Enrollment Projections'!$AJ$2:$AP$72,MATCH('Campus Enrol Disaggregation'!$O34,'College Enrollment Projections'!$AI$2:$AI$72,0),MATCH('Campus Enrol Disaggregation'!P$2,'College Enrollment Projections'!$AJ$1:$AP$1,0)),50)</f>
        <v>34300</v>
      </c>
      <c r="Q34" s="114">
        <f>MROUND(Q$3*INDEX('College Enrollment Projections'!$AJ$2:$AP$72,MATCH('Campus Enrol Disaggregation'!$O34,'College Enrollment Projections'!$AI$2:$AI$72,0),MATCH('Campus Enrol Disaggregation'!Q$2,'College Enrollment Projections'!$AJ$1:$AP$1,0)),50)</f>
        <v>1950</v>
      </c>
      <c r="R34" s="114">
        <f>MROUND(R$3*INDEX('College Enrollment Projections'!$AJ$2:$AP$72,MATCH('Campus Enrol Disaggregation'!$O34,'College Enrollment Projections'!$AI$2:$AI$72,0),MATCH('Campus Enrol Disaggregation'!R$2,'College Enrollment Projections'!$AJ$1:$AP$1,0)),50)</f>
        <v>20200</v>
      </c>
      <c r="S34" s="114">
        <f>MROUND(S$3*INDEX('College Enrollment Projections'!$AJ$2:$AP$72,MATCH('Campus Enrol Disaggregation'!$O34,'College Enrollment Projections'!$AI$2:$AI$72,0),MATCH('Campus Enrol Disaggregation'!S$2,'College Enrollment Projections'!$AJ$1:$AP$1,0)),50)</f>
        <v>3950</v>
      </c>
      <c r="T34" s="114">
        <f>MROUND(T$3*INDEX('College Enrollment Projections'!$AJ$2:$AP$72,MATCH('Campus Enrol Disaggregation'!$O34,'College Enrollment Projections'!$AI$2:$AI$72,0),MATCH('Campus Enrol Disaggregation'!T$2,'College Enrollment Projections'!$AJ$1:$AP$1,0)),50)</f>
        <v>500</v>
      </c>
      <c r="U34" s="114">
        <f>MROUND(U$3*INDEX('College Enrollment Projections'!$AJ$2:$AP$72,MATCH('Campus Enrol Disaggregation'!$O34,'College Enrollment Projections'!$AI$2:$AI$72,0),MATCH('Campus Enrol Disaggregation'!U$2,'College Enrollment Projections'!$AJ$1:$AP$1,0)),50)</f>
        <v>3000</v>
      </c>
      <c r="V34" s="114">
        <f>MROUND(V$3*INDEX('College Enrollment Projections'!$AJ$2:$AP$72,MATCH('Campus Enrol Disaggregation'!$O34,'College Enrollment Projections'!$AI$2:$AI$72,0),MATCH('Campus Enrol Disaggregation'!V$2,'College Enrollment Projections'!$AJ$1:$AP$1,0)),50)</f>
        <v>31800</v>
      </c>
      <c r="W34" s="115">
        <f>MROUND(INDEX('MAG College Enrollment Forecast'!$B$4:$H$74,MATCH($O34,'MAG College Enrollment Forecast'!$A$4:$A$74,0),MATCH(W$4,'MAG College Enrollment Forecast'!$B$1:$H$1,0)),50)</f>
        <v>40300</v>
      </c>
      <c r="X34" s="115">
        <f>MROUND(INDEX('MAG College Enrollment Forecast'!$B$4:$H$74,MATCH($O34,'MAG College Enrollment Forecast'!$A$4:$A$74,0),MATCH(X$4,'MAG College Enrollment Forecast'!$B$1:$H$1,0)),50)</f>
        <v>1300</v>
      </c>
      <c r="Y34" s="115">
        <f>MROUND(INDEX('MAG College Enrollment Forecast'!$B$4:$H$74,MATCH($O34,'MAG College Enrollment Forecast'!$A$4:$A$74,0),MATCH(Y$4,'MAG College Enrollment Forecast'!$B$1:$H$1,0)),50)</f>
        <v>0</v>
      </c>
      <c r="Z34" s="115">
        <f>MROUND(INDEX('MAG College Enrollment Forecast'!$B$4:$H$74,MATCH($O34,'MAG College Enrollment Forecast'!$A$4:$A$74,0),MATCH(Z$4,'MAG College Enrollment Forecast'!$B$1:$H$1,0)),50)</f>
        <v>0</v>
      </c>
      <c r="AA34" s="116">
        <f>MROUND(AA$3*INDEX('College Enrollment Projections'!$AJ$2:$AP$72,MATCH('Campus Enrol Disaggregation'!$O34,'College Enrollment Projections'!$AI$2:$AI$72,0),MATCH('Campus Enrol Disaggregation'!AA$2,'College Enrollment Projections'!$AJ$1:$AP$1,0)),50)</f>
        <v>24050</v>
      </c>
      <c r="AB34" s="116">
        <f>MROUND(AB$3*INDEX('College Enrollment Projections'!$AJ$2:$AP$72,MATCH('Campus Enrol Disaggregation'!$O34,'College Enrollment Projections'!$AI$2:$AI$72,0),MATCH('Campus Enrol Disaggregation'!AB$2,'College Enrollment Projections'!$AJ$1:$AP$1,0)),50)</f>
        <v>4850</v>
      </c>
      <c r="AC34" s="116">
        <f>MROUND(AC$3*INDEX('College Enrollment Projections'!$AJ$2:$AP$72,MATCH('Campus Enrol Disaggregation'!$O34,'College Enrollment Projections'!$AI$2:$AI$72,0),MATCH('Campus Enrol Disaggregation'!AC$2,'College Enrollment Projections'!$AJ$1:$AP$1,0)),50)</f>
        <v>2200</v>
      </c>
      <c r="AD34" s="117">
        <f t="shared" si="0"/>
        <v>168400</v>
      </c>
    </row>
    <row r="35" spans="15:30">
      <c r="O35" s="3">
        <v>2020</v>
      </c>
      <c r="P35" s="114">
        <f>MROUND(P$3*INDEX('College Enrollment Projections'!$AJ$2:$AP$72,MATCH('Campus Enrol Disaggregation'!$O35,'College Enrollment Projections'!$AI$2:$AI$72,0),MATCH('Campus Enrol Disaggregation'!P$2,'College Enrollment Projections'!$AJ$1:$AP$1,0)),50)</f>
        <v>36450</v>
      </c>
      <c r="Q35" s="114">
        <f>MROUND(Q$3*INDEX('College Enrollment Projections'!$AJ$2:$AP$72,MATCH('Campus Enrol Disaggregation'!$O35,'College Enrollment Projections'!$AI$2:$AI$72,0),MATCH('Campus Enrol Disaggregation'!Q$2,'College Enrollment Projections'!$AJ$1:$AP$1,0)),50)</f>
        <v>1850</v>
      </c>
      <c r="R35" s="114">
        <f>MROUND(R$3*INDEX('College Enrollment Projections'!$AJ$2:$AP$72,MATCH('Campus Enrol Disaggregation'!$O35,'College Enrollment Projections'!$AI$2:$AI$72,0),MATCH('Campus Enrol Disaggregation'!R$2,'College Enrollment Projections'!$AJ$1:$AP$1,0)),50)</f>
        <v>18650</v>
      </c>
      <c r="S35" s="114">
        <f>MROUND(S$3*INDEX('College Enrollment Projections'!$AJ$2:$AP$72,MATCH('Campus Enrol Disaggregation'!$O35,'College Enrollment Projections'!$AI$2:$AI$72,0),MATCH('Campus Enrol Disaggregation'!S$2,'College Enrollment Projections'!$AJ$1:$AP$1,0)),50)</f>
        <v>3650</v>
      </c>
      <c r="T35" s="114">
        <f>MROUND(T$3*INDEX('College Enrollment Projections'!$AJ$2:$AP$72,MATCH('Campus Enrol Disaggregation'!$O35,'College Enrollment Projections'!$AI$2:$AI$72,0),MATCH('Campus Enrol Disaggregation'!T$2,'College Enrollment Projections'!$AJ$1:$AP$1,0)),50)</f>
        <v>450</v>
      </c>
      <c r="U35" s="114">
        <f>MROUND(U$3*INDEX('College Enrollment Projections'!$AJ$2:$AP$72,MATCH('Campus Enrol Disaggregation'!$O35,'College Enrollment Projections'!$AI$2:$AI$72,0),MATCH('Campus Enrol Disaggregation'!U$2,'College Enrollment Projections'!$AJ$1:$AP$1,0)),50)</f>
        <v>2800</v>
      </c>
      <c r="V35" s="114">
        <f>MROUND(V$3*INDEX('College Enrollment Projections'!$AJ$2:$AP$72,MATCH('Campus Enrol Disaggregation'!$O35,'College Enrollment Projections'!$AI$2:$AI$72,0),MATCH('Campus Enrol Disaggregation'!V$2,'College Enrollment Projections'!$AJ$1:$AP$1,0)),50)</f>
        <v>32050</v>
      </c>
      <c r="W35" s="115">
        <f>MROUND(INDEX('MAG College Enrollment Forecast'!$B$4:$H$74,MATCH($O35,'MAG College Enrollment Forecast'!$A$4:$A$74,0),MATCH(W$4,'MAG College Enrollment Forecast'!$B$1:$H$1,0)),50)</f>
        <v>39450</v>
      </c>
      <c r="X35" s="115">
        <f>MROUND(INDEX('MAG College Enrollment Forecast'!$B$4:$H$74,MATCH($O35,'MAG College Enrollment Forecast'!$A$4:$A$74,0),MATCH(X$4,'MAG College Enrollment Forecast'!$B$1:$H$1,0)),50)</f>
        <v>1350</v>
      </c>
      <c r="Y35" s="115">
        <f>MROUND(INDEX('MAG College Enrollment Forecast'!$B$4:$H$74,MATCH($O35,'MAG College Enrollment Forecast'!$A$4:$A$74,0),MATCH(Y$4,'MAG College Enrollment Forecast'!$B$1:$H$1,0)),50)</f>
        <v>0</v>
      </c>
      <c r="Z35" s="115">
        <f>MROUND(INDEX('MAG College Enrollment Forecast'!$B$4:$H$74,MATCH($O35,'MAG College Enrollment Forecast'!$A$4:$A$74,0),MATCH(Z$4,'MAG College Enrollment Forecast'!$B$1:$H$1,0)),50)</f>
        <v>0</v>
      </c>
      <c r="AA35" s="116">
        <f>MROUND(AA$3*INDEX('College Enrollment Projections'!$AJ$2:$AP$72,MATCH('Campus Enrol Disaggregation'!$O35,'College Enrollment Projections'!$AI$2:$AI$72,0),MATCH('Campus Enrol Disaggregation'!AA$2,'College Enrollment Projections'!$AJ$1:$AP$1,0)),50)</f>
        <v>24000</v>
      </c>
      <c r="AB35" s="116">
        <f>MROUND(AB$3*INDEX('College Enrollment Projections'!$AJ$2:$AP$72,MATCH('Campus Enrol Disaggregation'!$O35,'College Enrollment Projections'!$AI$2:$AI$72,0),MATCH('Campus Enrol Disaggregation'!AB$2,'College Enrollment Projections'!$AJ$1:$AP$1,0)),50)</f>
        <v>4800</v>
      </c>
      <c r="AC35" s="116">
        <f>MROUND(AC$3*INDEX('College Enrollment Projections'!$AJ$2:$AP$72,MATCH('Campus Enrol Disaggregation'!$O35,'College Enrollment Projections'!$AI$2:$AI$72,0),MATCH('Campus Enrol Disaggregation'!AC$2,'College Enrollment Projections'!$AJ$1:$AP$1,0)),50)</f>
        <v>1850</v>
      </c>
      <c r="AD35" s="117">
        <f t="shared" si="0"/>
        <v>167350</v>
      </c>
    </row>
    <row r="36" spans="15:30">
      <c r="O36" s="3">
        <v>2021</v>
      </c>
      <c r="P36" s="114">
        <f>MROUND(P$3*INDEX('College Enrollment Projections'!$AJ$2:$AP$72,MATCH('Campus Enrol Disaggregation'!$O36,'College Enrollment Projections'!$AI$2:$AI$72,0),MATCH('Campus Enrol Disaggregation'!P$2,'College Enrollment Projections'!$AJ$1:$AP$1,0)),50)</f>
        <v>34800</v>
      </c>
      <c r="Q36" s="114">
        <f>MROUND(Q$3*INDEX('College Enrollment Projections'!$AJ$2:$AP$72,MATCH('Campus Enrol Disaggregation'!$O36,'College Enrollment Projections'!$AI$2:$AI$72,0),MATCH('Campus Enrol Disaggregation'!Q$2,'College Enrollment Projections'!$AJ$1:$AP$1,0)),50)</f>
        <v>1750</v>
      </c>
      <c r="R36" s="114">
        <f>MROUND(R$3*INDEX('College Enrollment Projections'!$AJ$2:$AP$72,MATCH('Campus Enrol Disaggregation'!$O36,'College Enrollment Projections'!$AI$2:$AI$72,0),MATCH('Campus Enrol Disaggregation'!R$2,'College Enrollment Projections'!$AJ$1:$AP$1,0)),50)</f>
        <v>18600</v>
      </c>
      <c r="S36" s="114">
        <f>MROUND(S$3*INDEX('College Enrollment Projections'!$AJ$2:$AP$72,MATCH('Campus Enrol Disaggregation'!$O36,'College Enrollment Projections'!$AI$2:$AI$72,0),MATCH('Campus Enrol Disaggregation'!S$2,'College Enrollment Projections'!$AJ$1:$AP$1,0)),50)</f>
        <v>3650</v>
      </c>
      <c r="T36" s="114">
        <f>MROUND(T$3*INDEX('College Enrollment Projections'!$AJ$2:$AP$72,MATCH('Campus Enrol Disaggregation'!$O36,'College Enrollment Projections'!$AI$2:$AI$72,0),MATCH('Campus Enrol Disaggregation'!T$2,'College Enrollment Projections'!$AJ$1:$AP$1,0)),50)</f>
        <v>450</v>
      </c>
      <c r="U36" s="114">
        <f>MROUND(U$3*INDEX('College Enrollment Projections'!$AJ$2:$AP$72,MATCH('Campus Enrol Disaggregation'!$O36,'College Enrollment Projections'!$AI$2:$AI$72,0),MATCH('Campus Enrol Disaggregation'!U$2,'College Enrollment Projections'!$AJ$1:$AP$1,0)),50)</f>
        <v>2750</v>
      </c>
      <c r="V36" s="114">
        <f>MROUND(V$3*INDEX('College Enrollment Projections'!$AJ$2:$AP$72,MATCH('Campus Enrol Disaggregation'!$O36,'College Enrollment Projections'!$AI$2:$AI$72,0),MATCH('Campus Enrol Disaggregation'!V$2,'College Enrollment Projections'!$AJ$1:$AP$1,0)),50)</f>
        <v>33350</v>
      </c>
      <c r="W36" s="115">
        <f>MROUND(INDEX('MAG College Enrollment Forecast'!$B$4:$H$74,MATCH($O36,'MAG College Enrollment Forecast'!$A$4:$A$74,0),MATCH(W$4,'MAG College Enrollment Forecast'!$B$1:$H$1,0)),50)</f>
        <v>39700</v>
      </c>
      <c r="X36" s="115">
        <f>MROUND(INDEX('MAG College Enrollment Forecast'!$B$4:$H$74,MATCH($O36,'MAG College Enrollment Forecast'!$A$4:$A$74,0),MATCH(X$4,'MAG College Enrollment Forecast'!$B$1:$H$1,0)),50)</f>
        <v>1400</v>
      </c>
      <c r="Y36" s="115">
        <f>MROUND(INDEX('MAG College Enrollment Forecast'!$B$4:$H$74,MATCH($O36,'MAG College Enrollment Forecast'!$A$4:$A$74,0),MATCH(Y$4,'MAG College Enrollment Forecast'!$B$1:$H$1,0)),50)</f>
        <v>0</v>
      </c>
      <c r="Z36" s="115">
        <f>MROUND(INDEX('MAG College Enrollment Forecast'!$B$4:$H$74,MATCH($O36,'MAG College Enrollment Forecast'!$A$4:$A$74,0),MATCH(Z$4,'MAG College Enrollment Forecast'!$B$1:$H$1,0)),50)</f>
        <v>0</v>
      </c>
      <c r="AA36" s="116">
        <f>MROUND(AA$3*INDEX('College Enrollment Projections'!$AJ$2:$AP$72,MATCH('Campus Enrol Disaggregation'!$O36,'College Enrollment Projections'!$AI$2:$AI$72,0),MATCH('Campus Enrol Disaggregation'!AA$2,'College Enrollment Projections'!$AJ$1:$AP$1,0)),50)</f>
        <v>24150</v>
      </c>
      <c r="AB36" s="116">
        <f>MROUND(AB$3*INDEX('College Enrollment Projections'!$AJ$2:$AP$72,MATCH('Campus Enrol Disaggregation'!$O36,'College Enrollment Projections'!$AI$2:$AI$72,0),MATCH('Campus Enrol Disaggregation'!AB$2,'College Enrollment Projections'!$AJ$1:$AP$1,0)),50)</f>
        <v>4850</v>
      </c>
      <c r="AC36" s="116">
        <f>MROUND(AC$3*INDEX('College Enrollment Projections'!$AJ$2:$AP$72,MATCH('Campus Enrol Disaggregation'!$O36,'College Enrollment Projections'!$AI$2:$AI$72,0),MATCH('Campus Enrol Disaggregation'!AC$2,'College Enrollment Projections'!$AJ$1:$AP$1,0)),50)</f>
        <v>1550</v>
      </c>
      <c r="AD36" s="117">
        <f t="shared" si="0"/>
        <v>167000</v>
      </c>
    </row>
    <row r="37" spans="15:30">
      <c r="O37" s="3">
        <v>2022</v>
      </c>
      <c r="P37" s="114">
        <f>MROUND(P$3*INDEX('College Enrollment Projections'!$AJ$2:$AP$72,MATCH('Campus Enrol Disaggregation'!$O37,'College Enrollment Projections'!$AI$2:$AI$72,0),MATCH('Campus Enrol Disaggregation'!P$2,'College Enrollment Projections'!$AJ$1:$AP$1,0)),50)</f>
        <v>34450</v>
      </c>
      <c r="Q37" s="114">
        <f>MROUND(Q$3*INDEX('College Enrollment Projections'!$AJ$2:$AP$72,MATCH('Campus Enrol Disaggregation'!$O37,'College Enrollment Projections'!$AI$2:$AI$72,0),MATCH('Campus Enrol Disaggregation'!Q$2,'College Enrollment Projections'!$AJ$1:$AP$1,0)),50)</f>
        <v>1600</v>
      </c>
      <c r="R37" s="114">
        <f>MROUND(R$3*INDEX('College Enrollment Projections'!$AJ$2:$AP$72,MATCH('Campus Enrol Disaggregation'!$O37,'College Enrollment Projections'!$AI$2:$AI$72,0),MATCH('Campus Enrol Disaggregation'!R$2,'College Enrollment Projections'!$AJ$1:$AP$1,0)),50)</f>
        <v>18000</v>
      </c>
      <c r="S37" s="114">
        <f>MROUND(S$3*INDEX('College Enrollment Projections'!$AJ$2:$AP$72,MATCH('Campus Enrol Disaggregation'!$O37,'College Enrollment Projections'!$AI$2:$AI$72,0),MATCH('Campus Enrol Disaggregation'!S$2,'College Enrollment Projections'!$AJ$1:$AP$1,0)),50)</f>
        <v>3500</v>
      </c>
      <c r="T37" s="114">
        <f>MROUND(T$3*INDEX('College Enrollment Projections'!$AJ$2:$AP$72,MATCH('Campus Enrol Disaggregation'!$O37,'College Enrollment Projections'!$AI$2:$AI$72,0),MATCH('Campus Enrol Disaggregation'!T$2,'College Enrollment Projections'!$AJ$1:$AP$1,0)),50)</f>
        <v>450</v>
      </c>
      <c r="U37" s="114">
        <f>MROUND(U$3*INDEX('College Enrollment Projections'!$AJ$2:$AP$72,MATCH('Campus Enrol Disaggregation'!$O37,'College Enrollment Projections'!$AI$2:$AI$72,0),MATCH('Campus Enrol Disaggregation'!U$2,'College Enrollment Projections'!$AJ$1:$AP$1,0)),50)</f>
        <v>2700</v>
      </c>
      <c r="V37" s="114">
        <f>MROUND(V$3*INDEX('College Enrollment Projections'!$AJ$2:$AP$72,MATCH('Campus Enrol Disaggregation'!$O37,'College Enrollment Projections'!$AI$2:$AI$72,0),MATCH('Campus Enrol Disaggregation'!V$2,'College Enrollment Projections'!$AJ$1:$AP$1,0)),50)</f>
        <v>33650</v>
      </c>
      <c r="W37" s="115">
        <f>MROUND(INDEX('MAG College Enrollment Forecast'!$B$4:$H$74,MATCH($O37,'MAG College Enrollment Forecast'!$A$4:$A$74,0),MATCH(W$4,'MAG College Enrollment Forecast'!$B$1:$H$1,0)),50)</f>
        <v>41500</v>
      </c>
      <c r="X37" s="115">
        <f>MROUND(INDEX('MAG College Enrollment Forecast'!$B$4:$H$74,MATCH($O37,'MAG College Enrollment Forecast'!$A$4:$A$74,0),MATCH(X$4,'MAG College Enrollment Forecast'!$B$1:$H$1,0)),50)</f>
        <v>1450</v>
      </c>
      <c r="Y37" s="115">
        <f>MROUND(INDEX('MAG College Enrollment Forecast'!$B$4:$H$74,MATCH($O37,'MAG College Enrollment Forecast'!$A$4:$A$74,0),MATCH(Y$4,'MAG College Enrollment Forecast'!$B$1:$H$1,0)),50)</f>
        <v>0</v>
      </c>
      <c r="Z37" s="115">
        <f>MROUND(INDEX('MAG College Enrollment Forecast'!$B$4:$H$74,MATCH($O37,'MAG College Enrollment Forecast'!$A$4:$A$74,0),MATCH(Z$4,'MAG College Enrollment Forecast'!$B$1:$H$1,0)),50)</f>
        <v>0</v>
      </c>
      <c r="AA37" s="116">
        <f>MROUND(AA$3*INDEX('College Enrollment Projections'!$AJ$2:$AP$72,MATCH('Campus Enrol Disaggregation'!$O37,'College Enrollment Projections'!$AI$2:$AI$72,0),MATCH('Campus Enrol Disaggregation'!AA$2,'College Enrollment Projections'!$AJ$1:$AP$1,0)),50)</f>
        <v>24250</v>
      </c>
      <c r="AB37" s="116">
        <f>MROUND(AB$3*INDEX('College Enrollment Projections'!$AJ$2:$AP$72,MATCH('Campus Enrol Disaggregation'!$O37,'College Enrollment Projections'!$AI$2:$AI$72,0),MATCH('Campus Enrol Disaggregation'!AB$2,'College Enrollment Projections'!$AJ$1:$AP$1,0)),50)</f>
        <v>4850</v>
      </c>
      <c r="AC37" s="116">
        <f>MROUND(AC$3*INDEX('College Enrollment Projections'!$AJ$2:$AP$72,MATCH('Campus Enrol Disaggregation'!$O37,'College Enrollment Projections'!$AI$2:$AI$72,0),MATCH('Campus Enrol Disaggregation'!AC$2,'College Enrollment Projections'!$AJ$1:$AP$1,0)),50)</f>
        <v>1300</v>
      </c>
      <c r="AD37" s="117">
        <f t="shared" si="0"/>
        <v>167700</v>
      </c>
    </row>
    <row r="38" spans="15:30">
      <c r="O38" s="3">
        <v>2023</v>
      </c>
      <c r="P38" s="114">
        <f>MROUND(P$3*INDEX('College Enrollment Projections'!$AJ$2:$AP$72,MATCH('Campus Enrol Disaggregation'!$O38,'College Enrollment Projections'!$AI$2:$AI$72,0),MATCH('Campus Enrol Disaggregation'!P$2,'College Enrollment Projections'!$AJ$1:$AP$1,0)),50)</f>
        <v>35050</v>
      </c>
      <c r="Q38" s="114">
        <f>MROUND(Q$3*INDEX('College Enrollment Projections'!$AJ$2:$AP$72,MATCH('Campus Enrol Disaggregation'!$O38,'College Enrollment Projections'!$AI$2:$AI$72,0),MATCH('Campus Enrol Disaggregation'!Q$2,'College Enrollment Projections'!$AJ$1:$AP$1,0)),50)</f>
        <v>1850</v>
      </c>
      <c r="R38" s="114">
        <f>MROUND(R$3*INDEX('College Enrollment Projections'!$AJ$2:$AP$72,MATCH('Campus Enrol Disaggregation'!$O38,'College Enrollment Projections'!$AI$2:$AI$72,0),MATCH('Campus Enrol Disaggregation'!R$2,'College Enrollment Projections'!$AJ$1:$AP$1,0)),50)</f>
        <v>18300</v>
      </c>
      <c r="S38" s="114">
        <f>MROUND(S$3*INDEX('College Enrollment Projections'!$AJ$2:$AP$72,MATCH('Campus Enrol Disaggregation'!$O38,'College Enrollment Projections'!$AI$2:$AI$72,0),MATCH('Campus Enrol Disaggregation'!S$2,'College Enrollment Projections'!$AJ$1:$AP$1,0)),50)</f>
        <v>3550</v>
      </c>
      <c r="T38" s="114">
        <f>MROUND(T$3*INDEX('College Enrollment Projections'!$AJ$2:$AP$72,MATCH('Campus Enrol Disaggregation'!$O38,'College Enrollment Projections'!$AI$2:$AI$72,0),MATCH('Campus Enrol Disaggregation'!T$2,'College Enrollment Projections'!$AJ$1:$AP$1,0)),50)</f>
        <v>450</v>
      </c>
      <c r="U38" s="114">
        <f>MROUND(U$3*INDEX('College Enrollment Projections'!$AJ$2:$AP$72,MATCH('Campus Enrol Disaggregation'!$O38,'College Enrollment Projections'!$AI$2:$AI$72,0),MATCH('Campus Enrol Disaggregation'!U$2,'College Enrollment Projections'!$AJ$1:$AP$1,0)),50)</f>
        <v>2700</v>
      </c>
      <c r="V38" s="114">
        <f>MROUND(V$3*INDEX('College Enrollment Projections'!$AJ$2:$AP$72,MATCH('Campus Enrol Disaggregation'!$O38,'College Enrollment Projections'!$AI$2:$AI$72,0),MATCH('Campus Enrol Disaggregation'!V$2,'College Enrollment Projections'!$AJ$1:$AP$1,0)),50)</f>
        <v>34150</v>
      </c>
      <c r="W38" s="115">
        <f>MROUND(INDEX('MAG College Enrollment Forecast'!$B$4:$H$74,MATCH($O38,'MAG College Enrollment Forecast'!$A$4:$A$74,0),MATCH(W$4,'MAG College Enrollment Forecast'!$B$1:$H$1,0)),50)</f>
        <v>43100</v>
      </c>
      <c r="X38" s="115">
        <f>MROUND(INDEX('MAG College Enrollment Forecast'!$B$4:$H$74,MATCH($O38,'MAG College Enrollment Forecast'!$A$4:$A$74,0),MATCH(X$4,'MAG College Enrollment Forecast'!$B$1:$H$1,0)),50)</f>
        <v>1450</v>
      </c>
      <c r="Y38" s="115">
        <f>MROUND(INDEX('MAG College Enrollment Forecast'!$B$4:$H$74,MATCH($O38,'MAG College Enrollment Forecast'!$A$4:$A$74,0),MATCH(Y$4,'MAG College Enrollment Forecast'!$B$1:$H$1,0)),50)</f>
        <v>0</v>
      </c>
      <c r="Z38" s="115">
        <f>MROUND(INDEX('MAG College Enrollment Forecast'!$B$4:$H$74,MATCH($O38,'MAG College Enrollment Forecast'!$A$4:$A$74,0),MATCH(Z$4,'MAG College Enrollment Forecast'!$B$1:$H$1,0)),50)</f>
        <v>0</v>
      </c>
      <c r="AA38" s="116">
        <f>MROUND(AA$3*INDEX('College Enrollment Projections'!$AJ$2:$AP$72,MATCH('Campus Enrol Disaggregation'!$O38,'College Enrollment Projections'!$AI$2:$AI$72,0),MATCH('Campus Enrol Disaggregation'!AA$2,'College Enrollment Projections'!$AJ$1:$AP$1,0)),50)</f>
        <v>24800</v>
      </c>
      <c r="AB38" s="116">
        <f>MROUND(AB$3*INDEX('College Enrollment Projections'!$AJ$2:$AP$72,MATCH('Campus Enrol Disaggregation'!$O38,'College Enrollment Projections'!$AI$2:$AI$72,0),MATCH('Campus Enrol Disaggregation'!AB$2,'College Enrollment Projections'!$AJ$1:$AP$1,0)),50)</f>
        <v>4950</v>
      </c>
      <c r="AC38" s="116">
        <f>MROUND(AC$3*INDEX('College Enrollment Projections'!$AJ$2:$AP$72,MATCH('Campus Enrol Disaggregation'!$O38,'College Enrollment Projections'!$AI$2:$AI$72,0),MATCH('Campus Enrol Disaggregation'!AC$2,'College Enrollment Projections'!$AJ$1:$AP$1,0)),50)</f>
        <v>1200</v>
      </c>
      <c r="AD38" s="117">
        <f t="shared" si="0"/>
        <v>171550</v>
      </c>
    </row>
    <row r="39" spans="15:30">
      <c r="O39" s="3">
        <v>2024</v>
      </c>
      <c r="P39" s="114">
        <f>MROUND(P$3*INDEX('College Enrollment Projections'!$AJ$2:$AP$72,MATCH('Campus Enrol Disaggregation'!$O39,'College Enrollment Projections'!$AI$2:$AI$72,0),MATCH('Campus Enrol Disaggregation'!P$2,'College Enrollment Projections'!$AJ$1:$AP$1,0)),50)</f>
        <v>36900</v>
      </c>
      <c r="Q39" s="114">
        <f>MROUND(Q$3*INDEX('College Enrollment Projections'!$AJ$2:$AP$72,MATCH('Campus Enrol Disaggregation'!$O39,'College Enrollment Projections'!$AI$2:$AI$72,0),MATCH('Campus Enrol Disaggregation'!Q$2,'College Enrollment Projections'!$AJ$1:$AP$1,0)),50)</f>
        <v>1950</v>
      </c>
      <c r="R39" s="114">
        <f>MROUND(R$3*INDEX('College Enrollment Projections'!$AJ$2:$AP$72,MATCH('Campus Enrol Disaggregation'!$O39,'College Enrollment Projections'!$AI$2:$AI$72,0),MATCH('Campus Enrol Disaggregation'!R$2,'College Enrollment Projections'!$AJ$1:$AP$1,0)),50)</f>
        <v>22250</v>
      </c>
      <c r="S39" s="114">
        <f>MROUND(S$3*INDEX('College Enrollment Projections'!$AJ$2:$AP$72,MATCH('Campus Enrol Disaggregation'!$O39,'College Enrollment Projections'!$AI$2:$AI$72,0),MATCH('Campus Enrol Disaggregation'!S$2,'College Enrollment Projections'!$AJ$1:$AP$1,0)),50)</f>
        <v>4350</v>
      </c>
      <c r="T39" s="114">
        <f>MROUND(T$3*INDEX('College Enrollment Projections'!$AJ$2:$AP$72,MATCH('Campus Enrol Disaggregation'!$O39,'College Enrollment Projections'!$AI$2:$AI$72,0),MATCH('Campus Enrol Disaggregation'!T$2,'College Enrollment Projections'!$AJ$1:$AP$1,0)),50)</f>
        <v>550</v>
      </c>
      <c r="U39" s="114">
        <f>MROUND(U$3*INDEX('College Enrollment Projections'!$AJ$2:$AP$72,MATCH('Campus Enrol Disaggregation'!$O39,'College Enrollment Projections'!$AI$2:$AI$72,0),MATCH('Campus Enrol Disaggregation'!U$2,'College Enrollment Projections'!$AJ$1:$AP$1,0)),50)</f>
        <v>3300</v>
      </c>
      <c r="V39" s="114">
        <f>MROUND(V$3*INDEX('College Enrollment Projections'!$AJ$2:$AP$72,MATCH('Campus Enrol Disaggregation'!$O39,'College Enrollment Projections'!$AI$2:$AI$72,0),MATCH('Campus Enrol Disaggregation'!V$2,'College Enrollment Projections'!$AJ$1:$AP$1,0)),50)</f>
        <v>35400</v>
      </c>
      <c r="W39" s="115">
        <f>MROUND(INDEX('MAG College Enrollment Forecast'!$B$4:$H$74,MATCH($O39,'MAG College Enrollment Forecast'!$A$4:$A$74,0),MATCH(W$4,'MAG College Enrollment Forecast'!$B$1:$H$1,0)),50)</f>
        <v>44700</v>
      </c>
      <c r="X39" s="115">
        <f>MROUND(INDEX('MAG College Enrollment Forecast'!$B$4:$H$74,MATCH($O39,'MAG College Enrollment Forecast'!$A$4:$A$74,0),MATCH(X$4,'MAG College Enrollment Forecast'!$B$1:$H$1,0)),50)</f>
        <v>1500</v>
      </c>
      <c r="Y39" s="115">
        <f>MROUND(INDEX('MAG College Enrollment Forecast'!$B$4:$H$74,MATCH($O39,'MAG College Enrollment Forecast'!$A$4:$A$74,0),MATCH(Y$4,'MAG College Enrollment Forecast'!$B$1:$H$1,0)),50)</f>
        <v>0</v>
      </c>
      <c r="Z39" s="115">
        <f>MROUND(INDEX('MAG College Enrollment Forecast'!$B$4:$H$74,MATCH($O39,'MAG College Enrollment Forecast'!$A$4:$A$74,0),MATCH(Z$4,'MAG College Enrollment Forecast'!$B$1:$H$1,0)),50)</f>
        <v>0</v>
      </c>
      <c r="AA39" s="116">
        <f>MROUND(AA$3*INDEX('College Enrollment Projections'!$AJ$2:$AP$72,MATCH('Campus Enrol Disaggregation'!$O39,'College Enrollment Projections'!$AI$2:$AI$72,0),MATCH('Campus Enrol Disaggregation'!AA$2,'College Enrollment Projections'!$AJ$1:$AP$1,0)),50)</f>
        <v>25800</v>
      </c>
      <c r="AB39" s="116">
        <f>MROUND(AB$3*INDEX('College Enrollment Projections'!$AJ$2:$AP$72,MATCH('Campus Enrol Disaggregation'!$O39,'College Enrollment Projections'!$AI$2:$AI$72,0),MATCH('Campus Enrol Disaggregation'!AB$2,'College Enrollment Projections'!$AJ$1:$AP$1,0)),50)</f>
        <v>5200</v>
      </c>
      <c r="AC39" s="116">
        <f>MROUND(AC$3*INDEX('College Enrollment Projections'!$AJ$2:$AP$72,MATCH('Campus Enrol Disaggregation'!$O39,'College Enrollment Projections'!$AI$2:$AI$72,0),MATCH('Campus Enrol Disaggregation'!AC$2,'College Enrollment Projections'!$AJ$1:$AP$1,0)),50)</f>
        <v>1300</v>
      </c>
      <c r="AD39" s="117">
        <f t="shared" si="0"/>
        <v>183200</v>
      </c>
    </row>
    <row r="40" spans="15:30">
      <c r="O40" s="3">
        <v>2025</v>
      </c>
      <c r="P40" s="114">
        <f>MROUND(P$3*INDEX('College Enrollment Projections'!$AJ$2:$AP$72,MATCH('Campus Enrol Disaggregation'!$O40,'College Enrollment Projections'!$AI$2:$AI$72,0),MATCH('Campus Enrol Disaggregation'!P$2,'College Enrollment Projections'!$AJ$1:$AP$1,0)),50)</f>
        <v>37500</v>
      </c>
      <c r="Q40" s="114">
        <f>MROUND(Q$3*INDEX('College Enrollment Projections'!$AJ$2:$AP$72,MATCH('Campus Enrol Disaggregation'!$O40,'College Enrollment Projections'!$AI$2:$AI$72,0),MATCH('Campus Enrol Disaggregation'!Q$2,'College Enrollment Projections'!$AJ$1:$AP$1,0)),50)</f>
        <v>1950</v>
      </c>
      <c r="R40" s="114">
        <f>MROUND(R$3*INDEX('College Enrollment Projections'!$AJ$2:$AP$72,MATCH('Campus Enrol Disaggregation'!$O40,'College Enrollment Projections'!$AI$2:$AI$72,0),MATCH('Campus Enrol Disaggregation'!R$2,'College Enrollment Projections'!$AJ$1:$AP$1,0)),50)</f>
        <v>22250</v>
      </c>
      <c r="S40" s="114">
        <f>MROUND(S$3*INDEX('College Enrollment Projections'!$AJ$2:$AP$72,MATCH('Campus Enrol Disaggregation'!$O40,'College Enrollment Projections'!$AI$2:$AI$72,0),MATCH('Campus Enrol Disaggregation'!S$2,'College Enrollment Projections'!$AJ$1:$AP$1,0)),50)</f>
        <v>4350</v>
      </c>
      <c r="T40" s="114">
        <f>MROUND(T$3*INDEX('College Enrollment Projections'!$AJ$2:$AP$72,MATCH('Campus Enrol Disaggregation'!$O40,'College Enrollment Projections'!$AI$2:$AI$72,0),MATCH('Campus Enrol Disaggregation'!T$2,'College Enrollment Projections'!$AJ$1:$AP$1,0)),50)</f>
        <v>550</v>
      </c>
      <c r="U40" s="114">
        <f>MROUND(U$3*INDEX('College Enrollment Projections'!$AJ$2:$AP$72,MATCH('Campus Enrol Disaggregation'!$O40,'College Enrollment Projections'!$AI$2:$AI$72,0),MATCH('Campus Enrol Disaggregation'!U$2,'College Enrollment Projections'!$AJ$1:$AP$1,0)),50)</f>
        <v>3300</v>
      </c>
      <c r="V40" s="114">
        <f>MROUND(V$3*INDEX('College Enrollment Projections'!$AJ$2:$AP$72,MATCH('Campus Enrol Disaggregation'!$O40,'College Enrollment Projections'!$AI$2:$AI$72,0),MATCH('Campus Enrol Disaggregation'!V$2,'College Enrollment Projections'!$AJ$1:$AP$1,0)),50)</f>
        <v>35700</v>
      </c>
      <c r="W40" s="115">
        <f>MROUND(INDEX('MAG College Enrollment Forecast'!$B$4:$H$74,MATCH($O40,'MAG College Enrollment Forecast'!$A$4:$A$74,0),MATCH(W$4,'MAG College Enrollment Forecast'!$B$1:$H$1,0)),50)</f>
        <v>46400</v>
      </c>
      <c r="X40" s="115">
        <f>MROUND(INDEX('MAG College Enrollment Forecast'!$B$4:$H$74,MATCH($O40,'MAG College Enrollment Forecast'!$A$4:$A$74,0),MATCH(X$4,'MAG College Enrollment Forecast'!$B$1:$H$1,0)),50)</f>
        <v>1550</v>
      </c>
      <c r="Y40" s="115">
        <f>MROUND(INDEX('MAG College Enrollment Forecast'!$B$4:$H$74,MATCH($O40,'MAG College Enrollment Forecast'!$A$4:$A$74,0),MATCH(Y$4,'MAG College Enrollment Forecast'!$B$1:$H$1,0)),50)</f>
        <v>0</v>
      </c>
      <c r="Z40" s="115">
        <f>MROUND(INDEX('MAG College Enrollment Forecast'!$B$4:$H$74,MATCH($O40,'MAG College Enrollment Forecast'!$A$4:$A$74,0),MATCH(Z$4,'MAG College Enrollment Forecast'!$B$1:$H$1,0)),50)</f>
        <v>0</v>
      </c>
      <c r="AA40" s="116">
        <f>MROUND(AA$3*INDEX('College Enrollment Projections'!$AJ$2:$AP$72,MATCH('Campus Enrol Disaggregation'!$O40,'College Enrollment Projections'!$AI$2:$AI$72,0),MATCH('Campus Enrol Disaggregation'!AA$2,'College Enrollment Projections'!$AJ$1:$AP$1,0)),50)</f>
        <v>26000</v>
      </c>
      <c r="AB40" s="116">
        <f>MROUND(AB$3*INDEX('College Enrollment Projections'!$AJ$2:$AP$72,MATCH('Campus Enrol Disaggregation'!$O40,'College Enrollment Projections'!$AI$2:$AI$72,0),MATCH('Campus Enrol Disaggregation'!AB$2,'College Enrollment Projections'!$AJ$1:$AP$1,0)),50)</f>
        <v>5200</v>
      </c>
      <c r="AC40" s="116">
        <f>MROUND(AC$3*INDEX('College Enrollment Projections'!$AJ$2:$AP$72,MATCH('Campus Enrol Disaggregation'!$O40,'College Enrollment Projections'!$AI$2:$AI$72,0),MATCH('Campus Enrol Disaggregation'!AC$2,'College Enrollment Projections'!$AJ$1:$AP$1,0)),50)</f>
        <v>1350</v>
      </c>
      <c r="AD40" s="117">
        <f t="shared" si="0"/>
        <v>186100</v>
      </c>
    </row>
    <row r="41" spans="15:30">
      <c r="O41" s="3">
        <v>2026</v>
      </c>
      <c r="P41" s="114">
        <f>MROUND(P$3*INDEX('College Enrollment Projections'!$AJ$2:$AP$72,MATCH('Campus Enrol Disaggregation'!$O41,'College Enrollment Projections'!$AI$2:$AI$72,0),MATCH('Campus Enrol Disaggregation'!P$2,'College Enrollment Projections'!$AJ$1:$AP$1,0)),50)</f>
        <v>37500</v>
      </c>
      <c r="Q41" s="114">
        <f>MROUND(Q$3*INDEX('College Enrollment Projections'!$AJ$2:$AP$72,MATCH('Campus Enrol Disaggregation'!$O41,'College Enrollment Projections'!$AI$2:$AI$72,0),MATCH('Campus Enrol Disaggregation'!Q$2,'College Enrollment Projections'!$AJ$1:$AP$1,0)),50)</f>
        <v>2000</v>
      </c>
      <c r="R41" s="114">
        <f>MROUND(R$3*INDEX('College Enrollment Projections'!$AJ$2:$AP$72,MATCH('Campus Enrol Disaggregation'!$O41,'College Enrollment Projections'!$AI$2:$AI$72,0),MATCH('Campus Enrol Disaggregation'!R$2,'College Enrollment Projections'!$AJ$1:$AP$1,0)),50)</f>
        <v>22250</v>
      </c>
      <c r="S41" s="114">
        <f>MROUND(S$3*INDEX('College Enrollment Projections'!$AJ$2:$AP$72,MATCH('Campus Enrol Disaggregation'!$O41,'College Enrollment Projections'!$AI$2:$AI$72,0),MATCH('Campus Enrol Disaggregation'!S$2,'College Enrollment Projections'!$AJ$1:$AP$1,0)),50)</f>
        <v>4350</v>
      </c>
      <c r="T41" s="114">
        <f>MROUND(T$3*INDEX('College Enrollment Projections'!$AJ$2:$AP$72,MATCH('Campus Enrol Disaggregation'!$O41,'College Enrollment Projections'!$AI$2:$AI$72,0),MATCH('Campus Enrol Disaggregation'!T$2,'College Enrollment Projections'!$AJ$1:$AP$1,0)),50)</f>
        <v>550</v>
      </c>
      <c r="U41" s="114">
        <f>MROUND(U$3*INDEX('College Enrollment Projections'!$AJ$2:$AP$72,MATCH('Campus Enrol Disaggregation'!$O41,'College Enrollment Projections'!$AI$2:$AI$72,0),MATCH('Campus Enrol Disaggregation'!U$2,'College Enrollment Projections'!$AJ$1:$AP$1,0)),50)</f>
        <v>3300</v>
      </c>
      <c r="V41" s="114">
        <f>MROUND(V$3*INDEX('College Enrollment Projections'!$AJ$2:$AP$72,MATCH('Campus Enrol Disaggregation'!$O41,'College Enrollment Projections'!$AI$2:$AI$72,0),MATCH('Campus Enrol Disaggregation'!V$2,'College Enrollment Projections'!$AJ$1:$AP$1,0)),50)</f>
        <v>35900</v>
      </c>
      <c r="W41" s="115">
        <f>MROUND(INDEX('MAG College Enrollment Forecast'!$B$4:$H$74,MATCH($O41,'MAG College Enrollment Forecast'!$A$4:$A$74,0),MATCH(W$4,'MAG College Enrollment Forecast'!$B$1:$H$1,0)),50)</f>
        <v>47150</v>
      </c>
      <c r="X41" s="115">
        <f>MROUND(INDEX('MAG College Enrollment Forecast'!$B$4:$H$74,MATCH($O41,'MAG College Enrollment Forecast'!$A$4:$A$74,0),MATCH(X$4,'MAG College Enrollment Forecast'!$B$1:$H$1,0)),50)</f>
        <v>1600</v>
      </c>
      <c r="Y41" s="115">
        <f>MROUND(INDEX('MAG College Enrollment Forecast'!$B$4:$H$74,MATCH($O41,'MAG College Enrollment Forecast'!$A$4:$A$74,0),MATCH(Y$4,'MAG College Enrollment Forecast'!$B$1:$H$1,0)),50)</f>
        <v>0</v>
      </c>
      <c r="Z41" s="115">
        <f>MROUND(INDEX('MAG College Enrollment Forecast'!$B$4:$H$74,MATCH($O41,'MAG College Enrollment Forecast'!$A$4:$A$74,0),MATCH(Z$4,'MAG College Enrollment Forecast'!$B$1:$H$1,0)),50)</f>
        <v>550</v>
      </c>
      <c r="AA41" s="116">
        <f>MROUND(AA$3*INDEX('College Enrollment Projections'!$AJ$2:$AP$72,MATCH('Campus Enrol Disaggregation'!$O41,'College Enrollment Projections'!$AI$2:$AI$72,0),MATCH('Campus Enrol Disaggregation'!AA$2,'College Enrollment Projections'!$AJ$1:$AP$1,0)),50)</f>
        <v>26250</v>
      </c>
      <c r="AB41" s="116">
        <f>MROUND(AB$3*INDEX('College Enrollment Projections'!$AJ$2:$AP$72,MATCH('Campus Enrol Disaggregation'!$O41,'College Enrollment Projections'!$AI$2:$AI$72,0),MATCH('Campus Enrol Disaggregation'!AB$2,'College Enrollment Projections'!$AJ$1:$AP$1,0)),50)</f>
        <v>5250</v>
      </c>
      <c r="AC41" s="116">
        <f>MROUND(AC$3*INDEX('College Enrollment Projections'!$AJ$2:$AP$72,MATCH('Campus Enrol Disaggregation'!$O41,'College Enrollment Projections'!$AI$2:$AI$72,0),MATCH('Campus Enrol Disaggregation'!AC$2,'College Enrollment Projections'!$AJ$1:$AP$1,0)),50)</f>
        <v>1400</v>
      </c>
      <c r="AD41" s="117">
        <f t="shared" si="0"/>
        <v>188050</v>
      </c>
    </row>
    <row r="42" spans="15:30">
      <c r="O42" s="3">
        <v>2027</v>
      </c>
      <c r="P42" s="114">
        <f>MROUND(P$3*INDEX('College Enrollment Projections'!$AJ$2:$AP$72,MATCH('Campus Enrol Disaggregation'!$O42,'College Enrollment Projections'!$AI$2:$AI$72,0),MATCH('Campus Enrol Disaggregation'!P$2,'College Enrollment Projections'!$AJ$1:$AP$1,0)),50)</f>
        <v>37550</v>
      </c>
      <c r="Q42" s="114">
        <f>MROUND(Q$3*INDEX('College Enrollment Projections'!$AJ$2:$AP$72,MATCH('Campus Enrol Disaggregation'!$O42,'College Enrollment Projections'!$AI$2:$AI$72,0),MATCH('Campus Enrol Disaggregation'!Q$2,'College Enrollment Projections'!$AJ$1:$AP$1,0)),50)</f>
        <v>2050</v>
      </c>
      <c r="R42" s="114">
        <f>MROUND(R$3*INDEX('College Enrollment Projections'!$AJ$2:$AP$72,MATCH('Campus Enrol Disaggregation'!$O42,'College Enrollment Projections'!$AI$2:$AI$72,0),MATCH('Campus Enrol Disaggregation'!R$2,'College Enrollment Projections'!$AJ$1:$AP$1,0)),50)</f>
        <v>22150</v>
      </c>
      <c r="S42" s="114">
        <f>MROUND(S$3*INDEX('College Enrollment Projections'!$AJ$2:$AP$72,MATCH('Campus Enrol Disaggregation'!$O42,'College Enrollment Projections'!$AI$2:$AI$72,0),MATCH('Campus Enrol Disaggregation'!S$2,'College Enrollment Projections'!$AJ$1:$AP$1,0)),50)</f>
        <v>4300</v>
      </c>
      <c r="T42" s="114">
        <f>MROUND(T$3*INDEX('College Enrollment Projections'!$AJ$2:$AP$72,MATCH('Campus Enrol Disaggregation'!$O42,'College Enrollment Projections'!$AI$2:$AI$72,0),MATCH('Campus Enrol Disaggregation'!T$2,'College Enrollment Projections'!$AJ$1:$AP$1,0)),50)</f>
        <v>500</v>
      </c>
      <c r="U42" s="114">
        <f>MROUND(U$3*INDEX('College Enrollment Projections'!$AJ$2:$AP$72,MATCH('Campus Enrol Disaggregation'!$O42,'College Enrollment Projections'!$AI$2:$AI$72,0),MATCH('Campus Enrol Disaggregation'!U$2,'College Enrollment Projections'!$AJ$1:$AP$1,0)),50)</f>
        <v>3300</v>
      </c>
      <c r="V42" s="114">
        <f>MROUND(V$3*INDEX('College Enrollment Projections'!$AJ$2:$AP$72,MATCH('Campus Enrol Disaggregation'!$O42,'College Enrollment Projections'!$AI$2:$AI$72,0),MATCH('Campus Enrol Disaggregation'!V$2,'College Enrollment Projections'!$AJ$1:$AP$1,0)),50)</f>
        <v>36100</v>
      </c>
      <c r="W42" s="115">
        <f>MROUND(INDEX('MAG College Enrollment Forecast'!$B$4:$H$74,MATCH($O42,'MAG College Enrollment Forecast'!$A$4:$A$74,0),MATCH(W$4,'MAG College Enrollment Forecast'!$B$1:$H$1,0)),50)</f>
        <v>48100</v>
      </c>
      <c r="X42" s="115">
        <f>MROUND(INDEX('MAG College Enrollment Forecast'!$B$4:$H$74,MATCH($O42,'MAG College Enrollment Forecast'!$A$4:$A$74,0),MATCH(X$4,'MAG College Enrollment Forecast'!$B$1:$H$1,0)),50)</f>
        <v>1650</v>
      </c>
      <c r="Y42" s="115">
        <f>MROUND(INDEX('MAG College Enrollment Forecast'!$B$4:$H$74,MATCH($O42,'MAG College Enrollment Forecast'!$A$4:$A$74,0),MATCH(Y$4,'MAG College Enrollment Forecast'!$B$1:$H$1,0)),50)</f>
        <v>0</v>
      </c>
      <c r="Z42" s="115">
        <f>MROUND(INDEX('MAG College Enrollment Forecast'!$B$4:$H$74,MATCH($O42,'MAG College Enrollment Forecast'!$A$4:$A$74,0),MATCH(Z$4,'MAG College Enrollment Forecast'!$B$1:$H$1,0)),50)</f>
        <v>750</v>
      </c>
      <c r="AA42" s="116">
        <f>MROUND(AA$3*INDEX('College Enrollment Projections'!$AJ$2:$AP$72,MATCH('Campus Enrol Disaggregation'!$O42,'College Enrollment Projections'!$AI$2:$AI$72,0),MATCH('Campus Enrol Disaggregation'!AA$2,'College Enrollment Projections'!$AJ$1:$AP$1,0)),50)</f>
        <v>26550</v>
      </c>
      <c r="AB42" s="116">
        <f>MROUND(AB$3*INDEX('College Enrollment Projections'!$AJ$2:$AP$72,MATCH('Campus Enrol Disaggregation'!$O42,'College Enrollment Projections'!$AI$2:$AI$72,0),MATCH('Campus Enrol Disaggregation'!AB$2,'College Enrollment Projections'!$AJ$1:$AP$1,0)),50)</f>
        <v>5350</v>
      </c>
      <c r="AC42" s="116">
        <f>MROUND(AC$3*INDEX('College Enrollment Projections'!$AJ$2:$AP$72,MATCH('Campus Enrol Disaggregation'!$O42,'College Enrollment Projections'!$AI$2:$AI$72,0),MATCH('Campus Enrol Disaggregation'!AC$2,'College Enrollment Projections'!$AJ$1:$AP$1,0)),50)</f>
        <v>1450</v>
      </c>
      <c r="AD42" s="117">
        <f t="shared" si="0"/>
        <v>189800</v>
      </c>
    </row>
    <row r="43" spans="15:30">
      <c r="O43" s="3">
        <v>2028</v>
      </c>
      <c r="P43" s="114">
        <f>MROUND(P$3*INDEX('College Enrollment Projections'!$AJ$2:$AP$72,MATCH('Campus Enrol Disaggregation'!$O43,'College Enrollment Projections'!$AI$2:$AI$72,0),MATCH('Campus Enrol Disaggregation'!P$2,'College Enrollment Projections'!$AJ$1:$AP$1,0)),50)</f>
        <v>37600</v>
      </c>
      <c r="Q43" s="114">
        <f>MROUND(Q$3*INDEX('College Enrollment Projections'!$AJ$2:$AP$72,MATCH('Campus Enrol Disaggregation'!$O43,'College Enrollment Projections'!$AI$2:$AI$72,0),MATCH('Campus Enrol Disaggregation'!Q$2,'College Enrollment Projections'!$AJ$1:$AP$1,0)),50)</f>
        <v>2100</v>
      </c>
      <c r="R43" s="114">
        <f>MROUND(R$3*INDEX('College Enrollment Projections'!$AJ$2:$AP$72,MATCH('Campus Enrol Disaggregation'!$O43,'College Enrollment Projections'!$AI$2:$AI$72,0),MATCH('Campus Enrol Disaggregation'!R$2,'College Enrollment Projections'!$AJ$1:$AP$1,0)),50)</f>
        <v>22050</v>
      </c>
      <c r="S43" s="114">
        <f>MROUND(S$3*INDEX('College Enrollment Projections'!$AJ$2:$AP$72,MATCH('Campus Enrol Disaggregation'!$O43,'College Enrollment Projections'!$AI$2:$AI$72,0),MATCH('Campus Enrol Disaggregation'!S$2,'College Enrollment Projections'!$AJ$1:$AP$1,0)),50)</f>
        <v>4300</v>
      </c>
      <c r="T43" s="114">
        <f>MROUND(T$3*INDEX('College Enrollment Projections'!$AJ$2:$AP$72,MATCH('Campus Enrol Disaggregation'!$O43,'College Enrollment Projections'!$AI$2:$AI$72,0),MATCH('Campus Enrol Disaggregation'!T$2,'College Enrollment Projections'!$AJ$1:$AP$1,0)),50)</f>
        <v>500</v>
      </c>
      <c r="U43" s="114">
        <f>MROUND(U$3*INDEX('College Enrollment Projections'!$AJ$2:$AP$72,MATCH('Campus Enrol Disaggregation'!$O43,'College Enrollment Projections'!$AI$2:$AI$72,0),MATCH('Campus Enrol Disaggregation'!U$2,'College Enrollment Projections'!$AJ$1:$AP$1,0)),50)</f>
        <v>3300</v>
      </c>
      <c r="V43" s="114">
        <f>MROUND(V$3*INDEX('College Enrollment Projections'!$AJ$2:$AP$72,MATCH('Campus Enrol Disaggregation'!$O43,'College Enrollment Projections'!$AI$2:$AI$72,0),MATCH('Campus Enrol Disaggregation'!V$2,'College Enrollment Projections'!$AJ$1:$AP$1,0)),50)</f>
        <v>36150</v>
      </c>
      <c r="W43" s="115">
        <f>MROUND(INDEX('MAG College Enrollment Forecast'!$B$4:$H$74,MATCH($O43,'MAG College Enrollment Forecast'!$A$4:$A$74,0),MATCH(W$4,'MAG College Enrollment Forecast'!$B$1:$H$1,0)),50)</f>
        <v>48850</v>
      </c>
      <c r="X43" s="115">
        <f>MROUND(INDEX('MAG College Enrollment Forecast'!$B$4:$H$74,MATCH($O43,'MAG College Enrollment Forecast'!$A$4:$A$74,0),MATCH(X$4,'MAG College Enrollment Forecast'!$B$1:$H$1,0)),50)</f>
        <v>1700</v>
      </c>
      <c r="Y43" s="115">
        <f>MROUND(INDEX('MAG College Enrollment Forecast'!$B$4:$H$74,MATCH($O43,'MAG College Enrollment Forecast'!$A$4:$A$74,0),MATCH(Y$4,'MAG College Enrollment Forecast'!$B$1:$H$1,0)),50)</f>
        <v>0</v>
      </c>
      <c r="Z43" s="115">
        <f>MROUND(INDEX('MAG College Enrollment Forecast'!$B$4:$H$74,MATCH($O43,'MAG College Enrollment Forecast'!$A$4:$A$74,0),MATCH(Z$4,'MAG College Enrollment Forecast'!$B$1:$H$1,0)),50)</f>
        <v>900</v>
      </c>
      <c r="AA43" s="116">
        <f>MROUND(AA$3*INDEX('College Enrollment Projections'!$AJ$2:$AP$72,MATCH('Campus Enrol Disaggregation'!$O43,'College Enrollment Projections'!$AI$2:$AI$72,0),MATCH('Campus Enrol Disaggregation'!AA$2,'College Enrollment Projections'!$AJ$1:$AP$1,0)),50)</f>
        <v>26850</v>
      </c>
      <c r="AB43" s="116">
        <f>MROUND(AB$3*INDEX('College Enrollment Projections'!$AJ$2:$AP$72,MATCH('Campus Enrol Disaggregation'!$O43,'College Enrollment Projections'!$AI$2:$AI$72,0),MATCH('Campus Enrol Disaggregation'!AB$2,'College Enrollment Projections'!$AJ$1:$AP$1,0)),50)</f>
        <v>5400</v>
      </c>
      <c r="AC43" s="116">
        <f>MROUND(AC$3*INDEX('College Enrollment Projections'!$AJ$2:$AP$72,MATCH('Campus Enrol Disaggregation'!$O43,'College Enrollment Projections'!$AI$2:$AI$72,0),MATCH('Campus Enrol Disaggregation'!AC$2,'College Enrollment Projections'!$AJ$1:$AP$1,0)),50)</f>
        <v>1500</v>
      </c>
      <c r="AD43" s="117">
        <f t="shared" si="0"/>
        <v>191200</v>
      </c>
    </row>
    <row r="44" spans="15:30">
      <c r="O44" s="3">
        <v>2029</v>
      </c>
      <c r="P44" s="114">
        <f>MROUND(P$3*INDEX('College Enrollment Projections'!$AJ$2:$AP$72,MATCH('Campus Enrol Disaggregation'!$O44,'College Enrollment Projections'!$AI$2:$AI$72,0),MATCH('Campus Enrol Disaggregation'!P$2,'College Enrollment Projections'!$AJ$1:$AP$1,0)),50)</f>
        <v>37650</v>
      </c>
      <c r="Q44" s="114">
        <f>MROUND(Q$3*INDEX('College Enrollment Projections'!$AJ$2:$AP$72,MATCH('Campus Enrol Disaggregation'!$O44,'College Enrollment Projections'!$AI$2:$AI$72,0),MATCH('Campus Enrol Disaggregation'!Q$2,'College Enrollment Projections'!$AJ$1:$AP$1,0)),50)</f>
        <v>2100</v>
      </c>
      <c r="R44" s="114">
        <f>MROUND(R$3*INDEX('College Enrollment Projections'!$AJ$2:$AP$72,MATCH('Campus Enrol Disaggregation'!$O44,'College Enrollment Projections'!$AI$2:$AI$72,0),MATCH('Campus Enrol Disaggregation'!R$2,'College Enrollment Projections'!$AJ$1:$AP$1,0)),50)</f>
        <v>22250</v>
      </c>
      <c r="S44" s="114">
        <f>MROUND(S$3*INDEX('College Enrollment Projections'!$AJ$2:$AP$72,MATCH('Campus Enrol Disaggregation'!$O44,'College Enrollment Projections'!$AI$2:$AI$72,0),MATCH('Campus Enrol Disaggregation'!S$2,'College Enrollment Projections'!$AJ$1:$AP$1,0)),50)</f>
        <v>4350</v>
      </c>
      <c r="T44" s="114">
        <f>MROUND(T$3*INDEX('College Enrollment Projections'!$AJ$2:$AP$72,MATCH('Campus Enrol Disaggregation'!$O44,'College Enrollment Projections'!$AI$2:$AI$72,0),MATCH('Campus Enrol Disaggregation'!T$2,'College Enrollment Projections'!$AJ$1:$AP$1,0)),50)</f>
        <v>550</v>
      </c>
      <c r="U44" s="114">
        <f>MROUND(U$3*INDEX('College Enrollment Projections'!$AJ$2:$AP$72,MATCH('Campus Enrol Disaggregation'!$O44,'College Enrollment Projections'!$AI$2:$AI$72,0),MATCH('Campus Enrol Disaggregation'!U$2,'College Enrollment Projections'!$AJ$1:$AP$1,0)),50)</f>
        <v>3300</v>
      </c>
      <c r="V44" s="114">
        <f>MROUND(V$3*INDEX('College Enrollment Projections'!$AJ$2:$AP$72,MATCH('Campus Enrol Disaggregation'!$O44,'College Enrollment Projections'!$AI$2:$AI$72,0),MATCH('Campus Enrol Disaggregation'!V$2,'College Enrollment Projections'!$AJ$1:$AP$1,0)),50)</f>
        <v>36450</v>
      </c>
      <c r="W44" s="115">
        <f>MROUND(INDEX('MAG College Enrollment Forecast'!$B$4:$H$74,MATCH($O44,'MAG College Enrollment Forecast'!$A$4:$A$74,0),MATCH(W$4,'MAG College Enrollment Forecast'!$B$1:$H$1,0)),50)</f>
        <v>48850</v>
      </c>
      <c r="X44" s="115">
        <f>MROUND(INDEX('MAG College Enrollment Forecast'!$B$4:$H$74,MATCH($O44,'MAG College Enrollment Forecast'!$A$4:$A$74,0),MATCH(X$4,'MAG College Enrollment Forecast'!$B$1:$H$1,0)),50)</f>
        <v>1700</v>
      </c>
      <c r="Y44" s="115">
        <f>MROUND(INDEX('MAG College Enrollment Forecast'!$B$4:$H$74,MATCH($O44,'MAG College Enrollment Forecast'!$A$4:$A$74,0),MATCH(Y$4,'MAG College Enrollment Forecast'!$B$1:$H$1,0)),50)</f>
        <v>650</v>
      </c>
      <c r="Z44" s="115">
        <f>MROUND(INDEX('MAG College Enrollment Forecast'!$B$4:$H$74,MATCH($O44,'MAG College Enrollment Forecast'!$A$4:$A$74,0),MATCH(Z$4,'MAG College Enrollment Forecast'!$B$1:$H$1,0)),50)</f>
        <v>1050</v>
      </c>
      <c r="AA44" s="116">
        <f>MROUND(AA$3*INDEX('College Enrollment Projections'!$AJ$2:$AP$72,MATCH('Campus Enrol Disaggregation'!$O44,'College Enrollment Projections'!$AI$2:$AI$72,0),MATCH('Campus Enrol Disaggregation'!AA$2,'College Enrollment Projections'!$AJ$1:$AP$1,0)),50)</f>
        <v>27200</v>
      </c>
      <c r="AB44" s="116">
        <f>MROUND(AB$3*INDEX('College Enrollment Projections'!$AJ$2:$AP$72,MATCH('Campus Enrol Disaggregation'!$O44,'College Enrollment Projections'!$AI$2:$AI$72,0),MATCH('Campus Enrol Disaggregation'!AB$2,'College Enrollment Projections'!$AJ$1:$AP$1,0)),50)</f>
        <v>5450</v>
      </c>
      <c r="AC44" s="116">
        <f>MROUND(AC$3*INDEX('College Enrollment Projections'!$AJ$2:$AP$72,MATCH('Campus Enrol Disaggregation'!$O44,'College Enrollment Projections'!$AI$2:$AI$72,0),MATCH('Campus Enrol Disaggregation'!AC$2,'College Enrollment Projections'!$AJ$1:$AP$1,0)),50)</f>
        <v>1600</v>
      </c>
      <c r="AD44" s="117">
        <f t="shared" si="0"/>
        <v>193150</v>
      </c>
    </row>
    <row r="45" spans="15:30">
      <c r="O45" s="3">
        <v>2030</v>
      </c>
      <c r="P45" s="114">
        <f>MROUND(P$3*INDEX('College Enrollment Projections'!$AJ$2:$AP$72,MATCH('Campus Enrol Disaggregation'!$O45,'College Enrollment Projections'!$AI$2:$AI$72,0),MATCH('Campus Enrol Disaggregation'!P$2,'College Enrollment Projections'!$AJ$1:$AP$1,0)),50)</f>
        <v>37650</v>
      </c>
      <c r="Q45" s="114">
        <f>MROUND(Q$3*INDEX('College Enrollment Projections'!$AJ$2:$AP$72,MATCH('Campus Enrol Disaggregation'!$O45,'College Enrollment Projections'!$AI$2:$AI$72,0),MATCH('Campus Enrol Disaggregation'!Q$2,'College Enrollment Projections'!$AJ$1:$AP$1,0)),50)</f>
        <v>2150</v>
      </c>
      <c r="R45" s="114">
        <f>MROUND(R$3*INDEX('College Enrollment Projections'!$AJ$2:$AP$72,MATCH('Campus Enrol Disaggregation'!$O45,'College Enrollment Projections'!$AI$2:$AI$72,0),MATCH('Campus Enrol Disaggregation'!R$2,'College Enrollment Projections'!$AJ$1:$AP$1,0)),50)</f>
        <v>22500</v>
      </c>
      <c r="S45" s="114">
        <f>MROUND(S$3*INDEX('College Enrollment Projections'!$AJ$2:$AP$72,MATCH('Campus Enrol Disaggregation'!$O45,'College Enrollment Projections'!$AI$2:$AI$72,0),MATCH('Campus Enrol Disaggregation'!S$2,'College Enrollment Projections'!$AJ$1:$AP$1,0)),50)</f>
        <v>4400</v>
      </c>
      <c r="T45" s="114">
        <f>MROUND(T$3*INDEX('College Enrollment Projections'!$AJ$2:$AP$72,MATCH('Campus Enrol Disaggregation'!$O45,'College Enrollment Projections'!$AI$2:$AI$72,0),MATCH('Campus Enrol Disaggregation'!T$2,'College Enrollment Projections'!$AJ$1:$AP$1,0)),50)</f>
        <v>550</v>
      </c>
      <c r="U45" s="114">
        <f>MROUND(U$3*INDEX('College Enrollment Projections'!$AJ$2:$AP$72,MATCH('Campus Enrol Disaggregation'!$O45,'College Enrollment Projections'!$AI$2:$AI$72,0),MATCH('Campus Enrol Disaggregation'!U$2,'College Enrollment Projections'!$AJ$1:$AP$1,0)),50)</f>
        <v>3350</v>
      </c>
      <c r="V45" s="114">
        <f>MROUND(V$3*INDEX('College Enrollment Projections'!$AJ$2:$AP$72,MATCH('Campus Enrol Disaggregation'!$O45,'College Enrollment Projections'!$AI$2:$AI$72,0),MATCH('Campus Enrol Disaggregation'!V$2,'College Enrollment Projections'!$AJ$1:$AP$1,0)),50)</f>
        <v>36700</v>
      </c>
      <c r="W45" s="115">
        <f>MROUND(INDEX('MAG College Enrollment Forecast'!$B$4:$H$74,MATCH($O45,'MAG College Enrollment Forecast'!$A$4:$A$74,0),MATCH(W$4,'MAG College Enrollment Forecast'!$B$1:$H$1,0)),50)</f>
        <v>49750</v>
      </c>
      <c r="X45" s="115">
        <f>MROUND(INDEX('MAG College Enrollment Forecast'!$B$4:$H$74,MATCH($O45,'MAG College Enrollment Forecast'!$A$4:$A$74,0),MATCH(X$4,'MAG College Enrollment Forecast'!$B$1:$H$1,0)),50)</f>
        <v>1750</v>
      </c>
      <c r="Y45" s="115">
        <f>MROUND(INDEX('MAG College Enrollment Forecast'!$B$4:$H$74,MATCH($O45,'MAG College Enrollment Forecast'!$A$4:$A$74,0),MATCH(Y$4,'MAG College Enrollment Forecast'!$B$1:$H$1,0)),50)</f>
        <v>750</v>
      </c>
      <c r="Z45" s="115">
        <f>MROUND(INDEX('MAG College Enrollment Forecast'!$B$4:$H$74,MATCH($O45,'MAG College Enrollment Forecast'!$A$4:$A$74,0),MATCH(Z$4,'MAG College Enrollment Forecast'!$B$1:$H$1,0)),50)</f>
        <v>1200</v>
      </c>
      <c r="AA45" s="116">
        <f>MROUND(AA$3*INDEX('College Enrollment Projections'!$AJ$2:$AP$72,MATCH('Campus Enrol Disaggregation'!$O45,'College Enrollment Projections'!$AI$2:$AI$72,0),MATCH('Campus Enrol Disaggregation'!AA$2,'College Enrollment Projections'!$AJ$1:$AP$1,0)),50)</f>
        <v>27600</v>
      </c>
      <c r="AB45" s="116">
        <f>MROUND(AB$3*INDEX('College Enrollment Projections'!$AJ$2:$AP$72,MATCH('Campus Enrol Disaggregation'!$O45,'College Enrollment Projections'!$AI$2:$AI$72,0),MATCH('Campus Enrol Disaggregation'!AB$2,'College Enrollment Projections'!$AJ$1:$AP$1,0)),50)</f>
        <v>5550</v>
      </c>
      <c r="AC45" s="116">
        <f>MROUND(AC$3*INDEX('College Enrollment Projections'!$AJ$2:$AP$72,MATCH('Campus Enrol Disaggregation'!$O45,'College Enrollment Projections'!$AI$2:$AI$72,0),MATCH('Campus Enrol Disaggregation'!AC$2,'College Enrollment Projections'!$AJ$1:$AP$1,0)),50)</f>
        <v>1650</v>
      </c>
      <c r="AD45" s="117">
        <f t="shared" si="0"/>
        <v>195550</v>
      </c>
    </row>
    <row r="46" spans="15:30">
      <c r="O46" s="3">
        <v>2031</v>
      </c>
      <c r="P46" s="114">
        <f>MROUND(P$3*INDEX('College Enrollment Projections'!$AJ$2:$AP$72,MATCH('Campus Enrol Disaggregation'!$O46,'College Enrollment Projections'!$AI$2:$AI$72,0),MATCH('Campus Enrol Disaggregation'!P$2,'College Enrollment Projections'!$AJ$1:$AP$1,0)),50)</f>
        <v>37700</v>
      </c>
      <c r="Q46" s="114">
        <f>MROUND(Q$3*INDEX('College Enrollment Projections'!$AJ$2:$AP$72,MATCH('Campus Enrol Disaggregation'!$O46,'College Enrollment Projections'!$AI$2:$AI$72,0),MATCH('Campus Enrol Disaggregation'!Q$2,'College Enrollment Projections'!$AJ$1:$AP$1,0)),50)</f>
        <v>2200</v>
      </c>
      <c r="R46" s="114">
        <f>MROUND(R$3*INDEX('College Enrollment Projections'!$AJ$2:$AP$72,MATCH('Campus Enrol Disaggregation'!$O46,'College Enrollment Projections'!$AI$2:$AI$72,0),MATCH('Campus Enrol Disaggregation'!R$2,'College Enrollment Projections'!$AJ$1:$AP$1,0)),50)</f>
        <v>22750</v>
      </c>
      <c r="S46" s="114">
        <f>MROUND(S$3*INDEX('College Enrollment Projections'!$AJ$2:$AP$72,MATCH('Campus Enrol Disaggregation'!$O46,'College Enrollment Projections'!$AI$2:$AI$72,0),MATCH('Campus Enrol Disaggregation'!S$2,'College Enrollment Projections'!$AJ$1:$AP$1,0)),50)</f>
        <v>4450</v>
      </c>
      <c r="T46" s="114">
        <f>MROUND(T$3*INDEX('College Enrollment Projections'!$AJ$2:$AP$72,MATCH('Campus Enrol Disaggregation'!$O46,'College Enrollment Projections'!$AI$2:$AI$72,0),MATCH('Campus Enrol Disaggregation'!T$2,'College Enrollment Projections'!$AJ$1:$AP$1,0)),50)</f>
        <v>550</v>
      </c>
      <c r="U46" s="114">
        <f>MROUND(U$3*INDEX('College Enrollment Projections'!$AJ$2:$AP$72,MATCH('Campus Enrol Disaggregation'!$O46,'College Enrollment Projections'!$AI$2:$AI$72,0),MATCH('Campus Enrol Disaggregation'!U$2,'College Enrollment Projections'!$AJ$1:$AP$1,0)),50)</f>
        <v>3400</v>
      </c>
      <c r="V46" s="114">
        <f>MROUND(V$3*INDEX('College Enrollment Projections'!$AJ$2:$AP$72,MATCH('Campus Enrol Disaggregation'!$O46,'College Enrollment Projections'!$AI$2:$AI$72,0),MATCH('Campus Enrol Disaggregation'!V$2,'College Enrollment Projections'!$AJ$1:$AP$1,0)),50)</f>
        <v>37000</v>
      </c>
      <c r="W46" s="115">
        <f>MROUND(INDEX('MAG College Enrollment Forecast'!$B$4:$H$74,MATCH($O46,'MAG College Enrollment Forecast'!$A$4:$A$74,0),MATCH(W$4,'MAG College Enrollment Forecast'!$B$1:$H$1,0)),50)</f>
        <v>50650</v>
      </c>
      <c r="X46" s="115">
        <f>MROUND(INDEX('MAG College Enrollment Forecast'!$B$4:$H$74,MATCH($O46,'MAG College Enrollment Forecast'!$A$4:$A$74,0),MATCH(X$4,'MAG College Enrollment Forecast'!$B$1:$H$1,0)),50)</f>
        <v>1800</v>
      </c>
      <c r="Y46" s="115">
        <f>MROUND(INDEX('MAG College Enrollment Forecast'!$B$4:$H$74,MATCH($O46,'MAG College Enrollment Forecast'!$A$4:$A$74,0),MATCH(Y$4,'MAG College Enrollment Forecast'!$B$1:$H$1,0)),50)</f>
        <v>850</v>
      </c>
      <c r="Z46" s="115">
        <f>MROUND(INDEX('MAG College Enrollment Forecast'!$B$4:$H$74,MATCH($O46,'MAG College Enrollment Forecast'!$A$4:$A$74,0),MATCH(Z$4,'MAG College Enrollment Forecast'!$B$1:$H$1,0)),50)</f>
        <v>1350</v>
      </c>
      <c r="AA46" s="116">
        <f>MROUND(AA$3*INDEX('College Enrollment Projections'!$AJ$2:$AP$72,MATCH('Campus Enrol Disaggregation'!$O46,'College Enrollment Projections'!$AI$2:$AI$72,0),MATCH('Campus Enrol Disaggregation'!AA$2,'College Enrollment Projections'!$AJ$1:$AP$1,0)),50)</f>
        <v>27950</v>
      </c>
      <c r="AB46" s="116">
        <f>MROUND(AB$3*INDEX('College Enrollment Projections'!$AJ$2:$AP$72,MATCH('Campus Enrol Disaggregation'!$O46,'College Enrollment Projections'!$AI$2:$AI$72,0),MATCH('Campus Enrol Disaggregation'!AB$2,'College Enrollment Projections'!$AJ$1:$AP$1,0)),50)</f>
        <v>5600</v>
      </c>
      <c r="AC46" s="116">
        <f>MROUND(AC$3*INDEX('College Enrollment Projections'!$AJ$2:$AP$72,MATCH('Campus Enrol Disaggregation'!$O46,'College Enrollment Projections'!$AI$2:$AI$72,0),MATCH('Campus Enrol Disaggregation'!AC$2,'College Enrollment Projections'!$AJ$1:$AP$1,0)),50)</f>
        <v>1700</v>
      </c>
      <c r="AD46" s="117">
        <f t="shared" si="0"/>
        <v>197950</v>
      </c>
    </row>
    <row r="47" spans="15:30">
      <c r="O47" s="3">
        <v>2032</v>
      </c>
      <c r="P47" s="114">
        <f>MROUND(P$3*INDEX('College Enrollment Projections'!$AJ$2:$AP$72,MATCH('Campus Enrol Disaggregation'!$O47,'College Enrollment Projections'!$AI$2:$AI$72,0),MATCH('Campus Enrol Disaggregation'!P$2,'College Enrollment Projections'!$AJ$1:$AP$1,0)),50)</f>
        <v>37750</v>
      </c>
      <c r="Q47" s="114">
        <f>MROUND(Q$3*INDEX('College Enrollment Projections'!$AJ$2:$AP$72,MATCH('Campus Enrol Disaggregation'!$O47,'College Enrollment Projections'!$AI$2:$AI$72,0),MATCH('Campus Enrol Disaggregation'!Q$2,'College Enrollment Projections'!$AJ$1:$AP$1,0)),50)</f>
        <v>2200</v>
      </c>
      <c r="R47" s="114">
        <f>MROUND(R$3*INDEX('College Enrollment Projections'!$AJ$2:$AP$72,MATCH('Campus Enrol Disaggregation'!$O47,'College Enrollment Projections'!$AI$2:$AI$72,0),MATCH('Campus Enrol Disaggregation'!R$2,'College Enrollment Projections'!$AJ$1:$AP$1,0)),50)</f>
        <v>22950</v>
      </c>
      <c r="S47" s="114">
        <f>MROUND(S$3*INDEX('College Enrollment Projections'!$AJ$2:$AP$72,MATCH('Campus Enrol Disaggregation'!$O47,'College Enrollment Projections'!$AI$2:$AI$72,0),MATCH('Campus Enrol Disaggregation'!S$2,'College Enrollment Projections'!$AJ$1:$AP$1,0)),50)</f>
        <v>4500</v>
      </c>
      <c r="T47" s="114">
        <f>MROUND(T$3*INDEX('College Enrollment Projections'!$AJ$2:$AP$72,MATCH('Campus Enrol Disaggregation'!$O47,'College Enrollment Projections'!$AI$2:$AI$72,0),MATCH('Campus Enrol Disaggregation'!T$2,'College Enrollment Projections'!$AJ$1:$AP$1,0)),50)</f>
        <v>550</v>
      </c>
      <c r="U47" s="114">
        <f>MROUND(U$3*INDEX('College Enrollment Projections'!$AJ$2:$AP$72,MATCH('Campus Enrol Disaggregation'!$O47,'College Enrollment Projections'!$AI$2:$AI$72,0),MATCH('Campus Enrol Disaggregation'!U$2,'College Enrollment Projections'!$AJ$1:$AP$1,0)),50)</f>
        <v>3400</v>
      </c>
      <c r="V47" s="114">
        <f>MROUND(V$3*INDEX('College Enrollment Projections'!$AJ$2:$AP$72,MATCH('Campus Enrol Disaggregation'!$O47,'College Enrollment Projections'!$AI$2:$AI$72,0),MATCH('Campus Enrol Disaggregation'!V$2,'College Enrollment Projections'!$AJ$1:$AP$1,0)),50)</f>
        <v>37300</v>
      </c>
      <c r="W47" s="115">
        <f>MROUND(INDEX('MAG College Enrollment Forecast'!$B$4:$H$74,MATCH($O47,'MAG College Enrollment Forecast'!$A$4:$A$74,0),MATCH(W$4,'MAG College Enrollment Forecast'!$B$1:$H$1,0)),50)</f>
        <v>51600</v>
      </c>
      <c r="X47" s="115">
        <f>MROUND(INDEX('MAG College Enrollment Forecast'!$B$4:$H$74,MATCH($O47,'MAG College Enrollment Forecast'!$A$4:$A$74,0),MATCH(X$4,'MAG College Enrollment Forecast'!$B$1:$H$1,0)),50)</f>
        <v>1850</v>
      </c>
      <c r="Y47" s="115">
        <f>MROUND(INDEX('MAG College Enrollment Forecast'!$B$4:$H$74,MATCH($O47,'MAG College Enrollment Forecast'!$A$4:$A$74,0),MATCH(Y$4,'MAG College Enrollment Forecast'!$B$1:$H$1,0)),50)</f>
        <v>1000</v>
      </c>
      <c r="Z47" s="115">
        <f>MROUND(INDEX('MAG College Enrollment Forecast'!$B$4:$H$74,MATCH($O47,'MAG College Enrollment Forecast'!$A$4:$A$74,0),MATCH(Z$4,'MAG College Enrollment Forecast'!$B$1:$H$1,0)),50)</f>
        <v>1500</v>
      </c>
      <c r="AA47" s="116">
        <f>MROUND(AA$3*INDEX('College Enrollment Projections'!$AJ$2:$AP$72,MATCH('Campus Enrol Disaggregation'!$O47,'College Enrollment Projections'!$AI$2:$AI$72,0),MATCH('Campus Enrol Disaggregation'!AA$2,'College Enrollment Projections'!$AJ$1:$AP$1,0)),50)</f>
        <v>28350</v>
      </c>
      <c r="AB47" s="116">
        <f>MROUND(AB$3*INDEX('College Enrollment Projections'!$AJ$2:$AP$72,MATCH('Campus Enrol Disaggregation'!$O47,'College Enrollment Projections'!$AI$2:$AI$72,0),MATCH('Campus Enrol Disaggregation'!AB$2,'College Enrollment Projections'!$AJ$1:$AP$1,0)),50)</f>
        <v>5700</v>
      </c>
      <c r="AC47" s="116">
        <f>MROUND(AC$3*INDEX('College Enrollment Projections'!$AJ$2:$AP$72,MATCH('Campus Enrol Disaggregation'!$O47,'College Enrollment Projections'!$AI$2:$AI$72,0),MATCH('Campus Enrol Disaggregation'!AC$2,'College Enrollment Projections'!$AJ$1:$AP$1,0)),50)</f>
        <v>1750</v>
      </c>
      <c r="AD47" s="117">
        <f t="shared" si="0"/>
        <v>200400</v>
      </c>
    </row>
    <row r="48" spans="15:30">
      <c r="O48" s="3">
        <v>2033</v>
      </c>
      <c r="P48" s="114">
        <f>MROUND(P$3*INDEX('College Enrollment Projections'!$AJ$2:$AP$72,MATCH('Campus Enrol Disaggregation'!$O48,'College Enrollment Projections'!$AI$2:$AI$72,0),MATCH('Campus Enrol Disaggregation'!P$2,'College Enrollment Projections'!$AJ$1:$AP$1,0)),50)</f>
        <v>37750</v>
      </c>
      <c r="Q48" s="114">
        <f>MROUND(Q$3*INDEX('College Enrollment Projections'!$AJ$2:$AP$72,MATCH('Campus Enrol Disaggregation'!$O48,'College Enrollment Projections'!$AI$2:$AI$72,0),MATCH('Campus Enrol Disaggregation'!Q$2,'College Enrollment Projections'!$AJ$1:$AP$1,0)),50)</f>
        <v>2250</v>
      </c>
      <c r="R48" s="114">
        <f>MROUND(R$3*INDEX('College Enrollment Projections'!$AJ$2:$AP$72,MATCH('Campus Enrol Disaggregation'!$O48,'College Enrollment Projections'!$AI$2:$AI$72,0),MATCH('Campus Enrol Disaggregation'!R$2,'College Enrollment Projections'!$AJ$1:$AP$1,0)),50)</f>
        <v>23200</v>
      </c>
      <c r="S48" s="114">
        <f>MROUND(S$3*INDEX('College Enrollment Projections'!$AJ$2:$AP$72,MATCH('Campus Enrol Disaggregation'!$O48,'College Enrollment Projections'!$AI$2:$AI$72,0),MATCH('Campus Enrol Disaggregation'!S$2,'College Enrollment Projections'!$AJ$1:$AP$1,0)),50)</f>
        <v>4500</v>
      </c>
      <c r="T48" s="114">
        <f>MROUND(T$3*INDEX('College Enrollment Projections'!$AJ$2:$AP$72,MATCH('Campus Enrol Disaggregation'!$O48,'College Enrollment Projections'!$AI$2:$AI$72,0),MATCH('Campus Enrol Disaggregation'!T$2,'College Enrollment Projections'!$AJ$1:$AP$1,0)),50)</f>
        <v>550</v>
      </c>
      <c r="U48" s="114">
        <f>MROUND(U$3*INDEX('College Enrollment Projections'!$AJ$2:$AP$72,MATCH('Campus Enrol Disaggregation'!$O48,'College Enrollment Projections'!$AI$2:$AI$72,0),MATCH('Campus Enrol Disaggregation'!U$2,'College Enrollment Projections'!$AJ$1:$AP$1,0)),50)</f>
        <v>3450</v>
      </c>
      <c r="V48" s="114">
        <f>MROUND(V$3*INDEX('College Enrollment Projections'!$AJ$2:$AP$72,MATCH('Campus Enrol Disaggregation'!$O48,'College Enrollment Projections'!$AI$2:$AI$72,0),MATCH('Campus Enrol Disaggregation'!V$2,'College Enrollment Projections'!$AJ$1:$AP$1,0)),50)</f>
        <v>37600</v>
      </c>
      <c r="W48" s="115">
        <f>MROUND(INDEX('MAG College Enrollment Forecast'!$B$4:$H$74,MATCH($O48,'MAG College Enrollment Forecast'!$A$4:$A$74,0),MATCH(W$4,'MAG College Enrollment Forecast'!$B$1:$H$1,0)),50)</f>
        <v>52500</v>
      </c>
      <c r="X48" s="115">
        <f>MROUND(INDEX('MAG College Enrollment Forecast'!$B$4:$H$74,MATCH($O48,'MAG College Enrollment Forecast'!$A$4:$A$74,0),MATCH(X$4,'MAG College Enrollment Forecast'!$B$1:$H$1,0)),50)</f>
        <v>1900</v>
      </c>
      <c r="Y48" s="115">
        <f>MROUND(INDEX('MAG College Enrollment Forecast'!$B$4:$H$74,MATCH($O48,'MAG College Enrollment Forecast'!$A$4:$A$74,0),MATCH(Y$4,'MAG College Enrollment Forecast'!$B$1:$H$1,0)),50)</f>
        <v>1100</v>
      </c>
      <c r="Z48" s="115">
        <f>MROUND(INDEX('MAG College Enrollment Forecast'!$B$4:$H$74,MATCH($O48,'MAG College Enrollment Forecast'!$A$4:$A$74,0),MATCH(Z$4,'MAG College Enrollment Forecast'!$B$1:$H$1,0)),50)</f>
        <v>1650</v>
      </c>
      <c r="AA48" s="116">
        <f>MROUND(AA$3*INDEX('College Enrollment Projections'!$AJ$2:$AP$72,MATCH('Campus Enrol Disaggregation'!$O48,'College Enrollment Projections'!$AI$2:$AI$72,0),MATCH('Campus Enrol Disaggregation'!AA$2,'College Enrollment Projections'!$AJ$1:$AP$1,0)),50)</f>
        <v>28750</v>
      </c>
      <c r="AB48" s="116">
        <f>MROUND(AB$3*INDEX('College Enrollment Projections'!$AJ$2:$AP$72,MATCH('Campus Enrol Disaggregation'!$O48,'College Enrollment Projections'!$AI$2:$AI$72,0),MATCH('Campus Enrol Disaggregation'!AB$2,'College Enrollment Projections'!$AJ$1:$AP$1,0)),50)</f>
        <v>5750</v>
      </c>
      <c r="AC48" s="116">
        <f>MROUND(AC$3*INDEX('College Enrollment Projections'!$AJ$2:$AP$72,MATCH('Campus Enrol Disaggregation'!$O48,'College Enrollment Projections'!$AI$2:$AI$72,0),MATCH('Campus Enrol Disaggregation'!AC$2,'College Enrollment Projections'!$AJ$1:$AP$1,0)),50)</f>
        <v>1850</v>
      </c>
      <c r="AD48" s="117">
        <f t="shared" si="0"/>
        <v>202800</v>
      </c>
    </row>
    <row r="49" spans="15:30">
      <c r="O49" s="3">
        <v>2034</v>
      </c>
      <c r="P49" s="114">
        <f>MROUND(P$3*INDEX('College Enrollment Projections'!$AJ$2:$AP$72,MATCH('Campus Enrol Disaggregation'!$O49,'College Enrollment Projections'!$AI$2:$AI$72,0),MATCH('Campus Enrol Disaggregation'!P$2,'College Enrollment Projections'!$AJ$1:$AP$1,0)),50)</f>
        <v>37800</v>
      </c>
      <c r="Q49" s="114">
        <f>MROUND(Q$3*INDEX('College Enrollment Projections'!$AJ$2:$AP$72,MATCH('Campus Enrol Disaggregation'!$O49,'College Enrollment Projections'!$AI$2:$AI$72,0),MATCH('Campus Enrol Disaggregation'!Q$2,'College Enrollment Projections'!$AJ$1:$AP$1,0)),50)</f>
        <v>2300</v>
      </c>
      <c r="R49" s="114">
        <f>MROUND(R$3*INDEX('College Enrollment Projections'!$AJ$2:$AP$72,MATCH('Campus Enrol Disaggregation'!$O49,'College Enrollment Projections'!$AI$2:$AI$72,0),MATCH('Campus Enrol Disaggregation'!R$2,'College Enrollment Projections'!$AJ$1:$AP$1,0)),50)</f>
        <v>23400</v>
      </c>
      <c r="S49" s="114">
        <f>MROUND(S$3*INDEX('College Enrollment Projections'!$AJ$2:$AP$72,MATCH('Campus Enrol Disaggregation'!$O49,'College Enrollment Projections'!$AI$2:$AI$72,0),MATCH('Campus Enrol Disaggregation'!S$2,'College Enrollment Projections'!$AJ$1:$AP$1,0)),50)</f>
        <v>4550</v>
      </c>
      <c r="T49" s="114">
        <f>MROUND(T$3*INDEX('College Enrollment Projections'!$AJ$2:$AP$72,MATCH('Campus Enrol Disaggregation'!$O49,'College Enrollment Projections'!$AI$2:$AI$72,0),MATCH('Campus Enrol Disaggregation'!T$2,'College Enrollment Projections'!$AJ$1:$AP$1,0)),50)</f>
        <v>550</v>
      </c>
      <c r="U49" s="114">
        <f>MROUND(U$3*INDEX('College Enrollment Projections'!$AJ$2:$AP$72,MATCH('Campus Enrol Disaggregation'!$O49,'College Enrollment Projections'!$AI$2:$AI$72,0),MATCH('Campus Enrol Disaggregation'!U$2,'College Enrollment Projections'!$AJ$1:$AP$1,0)),50)</f>
        <v>3500</v>
      </c>
      <c r="V49" s="114">
        <f>MROUND(V$3*INDEX('College Enrollment Projections'!$AJ$2:$AP$72,MATCH('Campus Enrol Disaggregation'!$O49,'College Enrollment Projections'!$AI$2:$AI$72,0),MATCH('Campus Enrol Disaggregation'!V$2,'College Enrollment Projections'!$AJ$1:$AP$1,0)),50)</f>
        <v>37900</v>
      </c>
      <c r="W49" s="115">
        <f>MROUND(INDEX('MAG College Enrollment Forecast'!$B$4:$H$74,MATCH($O49,'MAG College Enrollment Forecast'!$A$4:$A$74,0),MATCH(W$4,'MAG College Enrollment Forecast'!$B$1:$H$1,0)),50)</f>
        <v>53400</v>
      </c>
      <c r="X49" s="115">
        <f>MROUND(INDEX('MAG College Enrollment Forecast'!$B$4:$H$74,MATCH($O49,'MAG College Enrollment Forecast'!$A$4:$A$74,0),MATCH(X$4,'MAG College Enrollment Forecast'!$B$1:$H$1,0)),50)</f>
        <v>1950</v>
      </c>
      <c r="Y49" s="115">
        <f>MROUND(INDEX('MAG College Enrollment Forecast'!$B$4:$H$74,MATCH($O49,'MAG College Enrollment Forecast'!$A$4:$A$74,0),MATCH(Y$4,'MAG College Enrollment Forecast'!$B$1:$H$1,0)),50)</f>
        <v>1200</v>
      </c>
      <c r="Z49" s="115">
        <f>MROUND(INDEX('MAG College Enrollment Forecast'!$B$4:$H$74,MATCH($O49,'MAG College Enrollment Forecast'!$A$4:$A$74,0),MATCH(Z$4,'MAG College Enrollment Forecast'!$B$1:$H$1,0)),50)</f>
        <v>1800</v>
      </c>
      <c r="AA49" s="116">
        <f>MROUND(AA$3*INDEX('College Enrollment Projections'!$AJ$2:$AP$72,MATCH('Campus Enrol Disaggregation'!$O49,'College Enrollment Projections'!$AI$2:$AI$72,0),MATCH('Campus Enrol Disaggregation'!AA$2,'College Enrollment Projections'!$AJ$1:$AP$1,0)),50)</f>
        <v>29100</v>
      </c>
      <c r="AB49" s="116">
        <f>MROUND(AB$3*INDEX('College Enrollment Projections'!$AJ$2:$AP$72,MATCH('Campus Enrol Disaggregation'!$O49,'College Enrollment Projections'!$AI$2:$AI$72,0),MATCH('Campus Enrol Disaggregation'!AB$2,'College Enrollment Projections'!$AJ$1:$AP$1,0)),50)</f>
        <v>5850</v>
      </c>
      <c r="AC49" s="116">
        <f>MROUND(AC$3*INDEX('College Enrollment Projections'!$AJ$2:$AP$72,MATCH('Campus Enrol Disaggregation'!$O49,'College Enrollment Projections'!$AI$2:$AI$72,0),MATCH('Campus Enrol Disaggregation'!AC$2,'College Enrollment Projections'!$AJ$1:$AP$1,0)),50)</f>
        <v>1900</v>
      </c>
      <c r="AD49" s="117">
        <f t="shared" si="0"/>
        <v>205200</v>
      </c>
    </row>
    <row r="50" spans="15:30">
      <c r="O50" s="3">
        <v>2035</v>
      </c>
      <c r="P50" s="114">
        <f>MROUND(P$3*INDEX('College Enrollment Projections'!$AJ$2:$AP$72,MATCH('Campus Enrol Disaggregation'!$O50,'College Enrollment Projections'!$AI$2:$AI$72,0),MATCH('Campus Enrol Disaggregation'!P$2,'College Enrollment Projections'!$AJ$1:$AP$1,0)),50)</f>
        <v>37850</v>
      </c>
      <c r="Q50" s="114">
        <f>MROUND(Q$3*INDEX('College Enrollment Projections'!$AJ$2:$AP$72,MATCH('Campus Enrol Disaggregation'!$O50,'College Enrollment Projections'!$AI$2:$AI$72,0),MATCH('Campus Enrol Disaggregation'!Q$2,'College Enrollment Projections'!$AJ$1:$AP$1,0)),50)</f>
        <v>2300</v>
      </c>
      <c r="R50" s="114">
        <f>MROUND(R$3*INDEX('College Enrollment Projections'!$AJ$2:$AP$72,MATCH('Campus Enrol Disaggregation'!$O50,'College Enrollment Projections'!$AI$2:$AI$72,0),MATCH('Campus Enrol Disaggregation'!R$2,'College Enrollment Projections'!$AJ$1:$AP$1,0)),50)</f>
        <v>23650</v>
      </c>
      <c r="S50" s="114">
        <f>MROUND(S$3*INDEX('College Enrollment Projections'!$AJ$2:$AP$72,MATCH('Campus Enrol Disaggregation'!$O50,'College Enrollment Projections'!$AI$2:$AI$72,0),MATCH('Campus Enrol Disaggregation'!S$2,'College Enrollment Projections'!$AJ$1:$AP$1,0)),50)</f>
        <v>4600</v>
      </c>
      <c r="T50" s="114">
        <f>MROUND(T$3*INDEX('College Enrollment Projections'!$AJ$2:$AP$72,MATCH('Campus Enrol Disaggregation'!$O50,'College Enrollment Projections'!$AI$2:$AI$72,0),MATCH('Campus Enrol Disaggregation'!T$2,'College Enrollment Projections'!$AJ$1:$AP$1,0)),50)</f>
        <v>550</v>
      </c>
      <c r="U50" s="114">
        <f>MROUND(U$3*INDEX('College Enrollment Projections'!$AJ$2:$AP$72,MATCH('Campus Enrol Disaggregation'!$O50,'College Enrollment Projections'!$AI$2:$AI$72,0),MATCH('Campus Enrol Disaggregation'!U$2,'College Enrollment Projections'!$AJ$1:$AP$1,0)),50)</f>
        <v>3500</v>
      </c>
      <c r="V50" s="114">
        <f>MROUND(V$3*INDEX('College Enrollment Projections'!$AJ$2:$AP$72,MATCH('Campus Enrol Disaggregation'!$O50,'College Enrollment Projections'!$AI$2:$AI$72,0),MATCH('Campus Enrol Disaggregation'!V$2,'College Enrollment Projections'!$AJ$1:$AP$1,0)),50)</f>
        <v>38200</v>
      </c>
      <c r="W50" s="115">
        <f>MROUND(INDEX('MAG College Enrollment Forecast'!$B$4:$H$74,MATCH($O50,'MAG College Enrollment Forecast'!$A$4:$A$74,0),MATCH(W$4,'MAG College Enrollment Forecast'!$B$1:$H$1,0)),50)</f>
        <v>54300</v>
      </c>
      <c r="X50" s="115">
        <f>MROUND(INDEX('MAG College Enrollment Forecast'!$B$4:$H$74,MATCH($O50,'MAG College Enrollment Forecast'!$A$4:$A$74,0),MATCH(X$4,'MAG College Enrollment Forecast'!$B$1:$H$1,0)),50)</f>
        <v>1950</v>
      </c>
      <c r="Y50" s="115">
        <f>MROUND(INDEX('MAG College Enrollment Forecast'!$B$4:$H$74,MATCH($O50,'MAG College Enrollment Forecast'!$A$4:$A$74,0),MATCH(Y$4,'MAG College Enrollment Forecast'!$B$1:$H$1,0)),50)</f>
        <v>1300</v>
      </c>
      <c r="Z50" s="115">
        <f>MROUND(INDEX('MAG College Enrollment Forecast'!$B$4:$H$74,MATCH($O50,'MAG College Enrollment Forecast'!$A$4:$A$74,0),MATCH(Z$4,'MAG College Enrollment Forecast'!$B$1:$H$1,0)),50)</f>
        <v>1950</v>
      </c>
      <c r="AA50" s="116">
        <f>MROUND(AA$3*INDEX('College Enrollment Projections'!$AJ$2:$AP$72,MATCH('Campus Enrol Disaggregation'!$O50,'College Enrollment Projections'!$AI$2:$AI$72,0),MATCH('Campus Enrol Disaggregation'!AA$2,'College Enrollment Projections'!$AJ$1:$AP$1,0)),50)</f>
        <v>29500</v>
      </c>
      <c r="AB50" s="116">
        <f>MROUND(AB$3*INDEX('College Enrollment Projections'!$AJ$2:$AP$72,MATCH('Campus Enrol Disaggregation'!$O50,'College Enrollment Projections'!$AI$2:$AI$72,0),MATCH('Campus Enrol Disaggregation'!AB$2,'College Enrollment Projections'!$AJ$1:$AP$1,0)),50)</f>
        <v>5900</v>
      </c>
      <c r="AC50" s="116">
        <f>MROUND(AC$3*INDEX('College Enrollment Projections'!$AJ$2:$AP$72,MATCH('Campus Enrol Disaggregation'!$O50,'College Enrollment Projections'!$AI$2:$AI$72,0),MATCH('Campus Enrol Disaggregation'!AC$2,'College Enrollment Projections'!$AJ$1:$AP$1,0)),50)</f>
        <v>1950</v>
      </c>
      <c r="AD50" s="117">
        <f t="shared" si="0"/>
        <v>207500</v>
      </c>
    </row>
    <row r="51" spans="15:30">
      <c r="O51" s="3">
        <v>2036</v>
      </c>
      <c r="P51" s="114">
        <f>MROUND(P$3*INDEX('College Enrollment Projections'!$AJ$2:$AP$72,MATCH('Campus Enrol Disaggregation'!$O51,'College Enrollment Projections'!$AI$2:$AI$72,0),MATCH('Campus Enrol Disaggregation'!P$2,'College Enrollment Projections'!$AJ$1:$AP$1,0)),50)</f>
        <v>37900</v>
      </c>
      <c r="Q51" s="114">
        <f>MROUND(Q$3*INDEX('College Enrollment Projections'!$AJ$2:$AP$72,MATCH('Campus Enrol Disaggregation'!$O51,'College Enrollment Projections'!$AI$2:$AI$72,0),MATCH('Campus Enrol Disaggregation'!Q$2,'College Enrollment Projections'!$AJ$1:$AP$1,0)),50)</f>
        <v>2350</v>
      </c>
      <c r="R51" s="114">
        <f>MROUND(R$3*INDEX('College Enrollment Projections'!$AJ$2:$AP$72,MATCH('Campus Enrol Disaggregation'!$O51,'College Enrollment Projections'!$AI$2:$AI$72,0),MATCH('Campus Enrol Disaggregation'!R$2,'College Enrollment Projections'!$AJ$1:$AP$1,0)),50)</f>
        <v>23900</v>
      </c>
      <c r="S51" s="114">
        <f>MROUND(S$3*INDEX('College Enrollment Projections'!$AJ$2:$AP$72,MATCH('Campus Enrol Disaggregation'!$O51,'College Enrollment Projections'!$AI$2:$AI$72,0),MATCH('Campus Enrol Disaggregation'!S$2,'College Enrollment Projections'!$AJ$1:$AP$1,0)),50)</f>
        <v>4650</v>
      </c>
      <c r="T51" s="114">
        <f>MROUND(T$3*INDEX('College Enrollment Projections'!$AJ$2:$AP$72,MATCH('Campus Enrol Disaggregation'!$O51,'College Enrollment Projections'!$AI$2:$AI$72,0),MATCH('Campus Enrol Disaggregation'!T$2,'College Enrollment Projections'!$AJ$1:$AP$1,0)),50)</f>
        <v>550</v>
      </c>
      <c r="U51" s="114">
        <f>MROUND(U$3*INDEX('College Enrollment Projections'!$AJ$2:$AP$72,MATCH('Campus Enrol Disaggregation'!$O51,'College Enrollment Projections'!$AI$2:$AI$72,0),MATCH('Campus Enrol Disaggregation'!U$2,'College Enrollment Projections'!$AJ$1:$AP$1,0)),50)</f>
        <v>3550</v>
      </c>
      <c r="V51" s="114">
        <f>MROUND(V$3*INDEX('College Enrollment Projections'!$AJ$2:$AP$72,MATCH('Campus Enrol Disaggregation'!$O51,'College Enrollment Projections'!$AI$2:$AI$72,0),MATCH('Campus Enrol Disaggregation'!V$2,'College Enrollment Projections'!$AJ$1:$AP$1,0)),50)</f>
        <v>38500</v>
      </c>
      <c r="W51" s="115">
        <f>MROUND(INDEX('MAG College Enrollment Forecast'!$B$4:$H$74,MATCH($O51,'MAG College Enrollment Forecast'!$A$4:$A$74,0),MATCH(W$4,'MAG College Enrollment Forecast'!$B$1:$H$1,0)),50)</f>
        <v>55250</v>
      </c>
      <c r="X51" s="115">
        <f>MROUND(INDEX('MAG College Enrollment Forecast'!$B$4:$H$74,MATCH($O51,'MAG College Enrollment Forecast'!$A$4:$A$74,0),MATCH(X$4,'MAG College Enrollment Forecast'!$B$1:$H$1,0)),50)</f>
        <v>2000</v>
      </c>
      <c r="Y51" s="115">
        <f>MROUND(INDEX('MAG College Enrollment Forecast'!$B$4:$H$74,MATCH($O51,'MAG College Enrollment Forecast'!$A$4:$A$74,0),MATCH(Y$4,'MAG College Enrollment Forecast'!$B$1:$H$1,0)),50)</f>
        <v>1450</v>
      </c>
      <c r="Z51" s="115">
        <f>MROUND(INDEX('MAG College Enrollment Forecast'!$B$4:$H$74,MATCH($O51,'MAG College Enrollment Forecast'!$A$4:$A$74,0),MATCH(Z$4,'MAG College Enrollment Forecast'!$B$1:$H$1,0)),50)</f>
        <v>2100</v>
      </c>
      <c r="AA51" s="116">
        <f>MROUND(AA$3*INDEX('College Enrollment Projections'!$AJ$2:$AP$72,MATCH('Campus Enrol Disaggregation'!$O51,'College Enrollment Projections'!$AI$2:$AI$72,0),MATCH('Campus Enrol Disaggregation'!AA$2,'College Enrollment Projections'!$AJ$1:$AP$1,0)),50)</f>
        <v>29850</v>
      </c>
      <c r="AB51" s="116">
        <f>MROUND(AB$3*INDEX('College Enrollment Projections'!$AJ$2:$AP$72,MATCH('Campus Enrol Disaggregation'!$O51,'College Enrollment Projections'!$AI$2:$AI$72,0),MATCH('Campus Enrol Disaggregation'!AB$2,'College Enrollment Projections'!$AJ$1:$AP$1,0)),50)</f>
        <v>6000</v>
      </c>
      <c r="AC51" s="116">
        <f>MROUND(AC$3*INDEX('College Enrollment Projections'!$AJ$2:$AP$72,MATCH('Campus Enrol Disaggregation'!$O51,'College Enrollment Projections'!$AI$2:$AI$72,0),MATCH('Campus Enrol Disaggregation'!AC$2,'College Enrollment Projections'!$AJ$1:$AP$1,0)),50)</f>
        <v>2000</v>
      </c>
      <c r="AD51" s="117">
        <f t="shared" si="0"/>
        <v>210050</v>
      </c>
    </row>
    <row r="52" spans="15:30">
      <c r="O52" s="3">
        <v>2037</v>
      </c>
      <c r="P52" s="114">
        <f>MROUND(P$3*INDEX('College Enrollment Projections'!$AJ$2:$AP$72,MATCH('Campus Enrol Disaggregation'!$O52,'College Enrollment Projections'!$AI$2:$AI$72,0),MATCH('Campus Enrol Disaggregation'!P$2,'College Enrollment Projections'!$AJ$1:$AP$1,0)),50)</f>
        <v>37900</v>
      </c>
      <c r="Q52" s="114">
        <f>MROUND(Q$3*INDEX('College Enrollment Projections'!$AJ$2:$AP$72,MATCH('Campus Enrol Disaggregation'!$O52,'College Enrollment Projections'!$AI$2:$AI$72,0),MATCH('Campus Enrol Disaggregation'!Q$2,'College Enrollment Projections'!$AJ$1:$AP$1,0)),50)</f>
        <v>2400</v>
      </c>
      <c r="R52" s="114">
        <f>MROUND(R$3*INDEX('College Enrollment Projections'!$AJ$2:$AP$72,MATCH('Campus Enrol Disaggregation'!$O52,'College Enrollment Projections'!$AI$2:$AI$72,0),MATCH('Campus Enrol Disaggregation'!R$2,'College Enrollment Projections'!$AJ$1:$AP$1,0)),50)</f>
        <v>24100</v>
      </c>
      <c r="S52" s="114">
        <f>MROUND(S$3*INDEX('College Enrollment Projections'!$AJ$2:$AP$72,MATCH('Campus Enrol Disaggregation'!$O52,'College Enrollment Projections'!$AI$2:$AI$72,0),MATCH('Campus Enrol Disaggregation'!S$2,'College Enrollment Projections'!$AJ$1:$AP$1,0)),50)</f>
        <v>4700</v>
      </c>
      <c r="T52" s="114">
        <f>MROUND(T$3*INDEX('College Enrollment Projections'!$AJ$2:$AP$72,MATCH('Campus Enrol Disaggregation'!$O52,'College Enrollment Projections'!$AI$2:$AI$72,0),MATCH('Campus Enrol Disaggregation'!T$2,'College Enrollment Projections'!$AJ$1:$AP$1,0)),50)</f>
        <v>550</v>
      </c>
      <c r="U52" s="114">
        <f>MROUND(U$3*INDEX('College Enrollment Projections'!$AJ$2:$AP$72,MATCH('Campus Enrol Disaggregation'!$O52,'College Enrollment Projections'!$AI$2:$AI$72,0),MATCH('Campus Enrol Disaggregation'!U$2,'College Enrollment Projections'!$AJ$1:$AP$1,0)),50)</f>
        <v>3600</v>
      </c>
      <c r="V52" s="114">
        <f>MROUND(V$3*INDEX('College Enrollment Projections'!$AJ$2:$AP$72,MATCH('Campus Enrol Disaggregation'!$O52,'College Enrollment Projections'!$AI$2:$AI$72,0),MATCH('Campus Enrol Disaggregation'!V$2,'College Enrollment Projections'!$AJ$1:$AP$1,0)),50)</f>
        <v>38750</v>
      </c>
      <c r="W52" s="115">
        <f>MROUND(INDEX('MAG College Enrollment Forecast'!$B$4:$H$74,MATCH($O52,'MAG College Enrollment Forecast'!$A$4:$A$74,0),MATCH(W$4,'MAG College Enrollment Forecast'!$B$1:$H$1,0)),50)</f>
        <v>56150</v>
      </c>
      <c r="X52" s="115">
        <f>MROUND(INDEX('MAG College Enrollment Forecast'!$B$4:$H$74,MATCH($O52,'MAG College Enrollment Forecast'!$A$4:$A$74,0),MATCH(X$4,'MAG College Enrollment Forecast'!$B$1:$H$1,0)),50)</f>
        <v>2050</v>
      </c>
      <c r="Y52" s="115">
        <f>MROUND(INDEX('MAG College Enrollment Forecast'!$B$4:$H$74,MATCH($O52,'MAG College Enrollment Forecast'!$A$4:$A$74,0),MATCH(Y$4,'MAG College Enrollment Forecast'!$B$1:$H$1,0)),50)</f>
        <v>1550</v>
      </c>
      <c r="Z52" s="115">
        <f>MROUND(INDEX('MAG College Enrollment Forecast'!$B$4:$H$74,MATCH($O52,'MAG College Enrollment Forecast'!$A$4:$A$74,0),MATCH(Z$4,'MAG College Enrollment Forecast'!$B$1:$H$1,0)),50)</f>
        <v>2250</v>
      </c>
      <c r="AA52" s="116">
        <f>MROUND(AA$3*INDEX('College Enrollment Projections'!$AJ$2:$AP$72,MATCH('Campus Enrol Disaggregation'!$O52,'College Enrollment Projections'!$AI$2:$AI$72,0),MATCH('Campus Enrol Disaggregation'!AA$2,'College Enrollment Projections'!$AJ$1:$AP$1,0)),50)</f>
        <v>30250</v>
      </c>
      <c r="AB52" s="116">
        <f>MROUND(AB$3*INDEX('College Enrollment Projections'!$AJ$2:$AP$72,MATCH('Campus Enrol Disaggregation'!$O52,'College Enrollment Projections'!$AI$2:$AI$72,0),MATCH('Campus Enrol Disaggregation'!AB$2,'College Enrollment Projections'!$AJ$1:$AP$1,0)),50)</f>
        <v>6050</v>
      </c>
      <c r="AC52" s="116">
        <f>MROUND(AC$3*INDEX('College Enrollment Projections'!$AJ$2:$AP$72,MATCH('Campus Enrol Disaggregation'!$O52,'College Enrollment Projections'!$AI$2:$AI$72,0),MATCH('Campus Enrol Disaggregation'!AC$2,'College Enrollment Projections'!$AJ$1:$AP$1,0)),50)</f>
        <v>2100</v>
      </c>
      <c r="AD52" s="117">
        <f t="shared" si="0"/>
        <v>212400</v>
      </c>
    </row>
    <row r="53" spans="15:30">
      <c r="O53" s="3">
        <v>2038</v>
      </c>
      <c r="P53" s="114">
        <f>MROUND(P$3*INDEX('College Enrollment Projections'!$AJ$2:$AP$72,MATCH('Campus Enrol Disaggregation'!$O53,'College Enrollment Projections'!$AI$2:$AI$72,0),MATCH('Campus Enrol Disaggregation'!P$2,'College Enrollment Projections'!$AJ$1:$AP$1,0)),50)</f>
        <v>37950</v>
      </c>
      <c r="Q53" s="114">
        <f>MROUND(Q$3*INDEX('College Enrollment Projections'!$AJ$2:$AP$72,MATCH('Campus Enrol Disaggregation'!$O53,'College Enrollment Projections'!$AI$2:$AI$72,0),MATCH('Campus Enrol Disaggregation'!Q$2,'College Enrollment Projections'!$AJ$1:$AP$1,0)),50)</f>
        <v>2450</v>
      </c>
      <c r="R53" s="114">
        <f>MROUND(R$3*INDEX('College Enrollment Projections'!$AJ$2:$AP$72,MATCH('Campus Enrol Disaggregation'!$O53,'College Enrollment Projections'!$AI$2:$AI$72,0),MATCH('Campus Enrol Disaggregation'!R$2,'College Enrollment Projections'!$AJ$1:$AP$1,0)),50)</f>
        <v>24350</v>
      </c>
      <c r="S53" s="114">
        <f>MROUND(S$3*INDEX('College Enrollment Projections'!$AJ$2:$AP$72,MATCH('Campus Enrol Disaggregation'!$O53,'College Enrollment Projections'!$AI$2:$AI$72,0),MATCH('Campus Enrol Disaggregation'!S$2,'College Enrollment Projections'!$AJ$1:$AP$1,0)),50)</f>
        <v>4750</v>
      </c>
      <c r="T53" s="114">
        <f>MROUND(T$3*INDEX('College Enrollment Projections'!$AJ$2:$AP$72,MATCH('Campus Enrol Disaggregation'!$O53,'College Enrollment Projections'!$AI$2:$AI$72,0),MATCH('Campus Enrol Disaggregation'!T$2,'College Enrollment Projections'!$AJ$1:$AP$1,0)),50)</f>
        <v>600</v>
      </c>
      <c r="U53" s="114">
        <f>MROUND(U$3*INDEX('College Enrollment Projections'!$AJ$2:$AP$72,MATCH('Campus Enrol Disaggregation'!$O53,'College Enrollment Projections'!$AI$2:$AI$72,0),MATCH('Campus Enrol Disaggregation'!U$2,'College Enrollment Projections'!$AJ$1:$AP$1,0)),50)</f>
        <v>3600</v>
      </c>
      <c r="V53" s="114">
        <f>MROUND(V$3*INDEX('College Enrollment Projections'!$AJ$2:$AP$72,MATCH('Campus Enrol Disaggregation'!$O53,'College Enrollment Projections'!$AI$2:$AI$72,0),MATCH('Campus Enrol Disaggregation'!V$2,'College Enrollment Projections'!$AJ$1:$AP$1,0)),50)</f>
        <v>39050</v>
      </c>
      <c r="W53" s="115">
        <f>MROUND(INDEX('MAG College Enrollment Forecast'!$B$4:$H$74,MATCH($O53,'MAG College Enrollment Forecast'!$A$4:$A$74,0),MATCH(W$4,'MAG College Enrollment Forecast'!$B$1:$H$1,0)),50)</f>
        <v>57050</v>
      </c>
      <c r="X53" s="115">
        <f>MROUND(INDEX('MAG College Enrollment Forecast'!$B$4:$H$74,MATCH($O53,'MAG College Enrollment Forecast'!$A$4:$A$74,0),MATCH(X$4,'MAG College Enrollment Forecast'!$B$1:$H$1,0)),50)</f>
        <v>2100</v>
      </c>
      <c r="Y53" s="115">
        <f>MROUND(INDEX('MAG College Enrollment Forecast'!$B$4:$H$74,MATCH($O53,'MAG College Enrollment Forecast'!$A$4:$A$74,0),MATCH(Y$4,'MAG College Enrollment Forecast'!$B$1:$H$1,0)),50)</f>
        <v>1650</v>
      </c>
      <c r="Z53" s="115">
        <f>MROUND(INDEX('MAG College Enrollment Forecast'!$B$4:$H$74,MATCH($O53,'MAG College Enrollment Forecast'!$A$4:$A$74,0),MATCH(Z$4,'MAG College Enrollment Forecast'!$B$1:$H$1,0)),50)</f>
        <v>2400</v>
      </c>
      <c r="AA53" s="116">
        <f>MROUND(AA$3*INDEX('College Enrollment Projections'!$AJ$2:$AP$72,MATCH('Campus Enrol Disaggregation'!$O53,'College Enrollment Projections'!$AI$2:$AI$72,0),MATCH('Campus Enrol Disaggregation'!AA$2,'College Enrollment Projections'!$AJ$1:$AP$1,0)),50)</f>
        <v>30600</v>
      </c>
      <c r="AB53" s="116">
        <f>MROUND(AB$3*INDEX('College Enrollment Projections'!$AJ$2:$AP$72,MATCH('Campus Enrol Disaggregation'!$O53,'College Enrollment Projections'!$AI$2:$AI$72,0),MATCH('Campus Enrol Disaggregation'!AB$2,'College Enrollment Projections'!$AJ$1:$AP$1,0)),50)</f>
        <v>6150</v>
      </c>
      <c r="AC53" s="116">
        <f>MROUND(AC$3*INDEX('College Enrollment Projections'!$AJ$2:$AP$72,MATCH('Campus Enrol Disaggregation'!$O53,'College Enrollment Projections'!$AI$2:$AI$72,0),MATCH('Campus Enrol Disaggregation'!AC$2,'College Enrollment Projections'!$AJ$1:$AP$1,0)),50)</f>
        <v>2150</v>
      </c>
      <c r="AD53" s="117">
        <f t="shared" si="0"/>
        <v>214850</v>
      </c>
    </row>
    <row r="54" spans="15:30">
      <c r="O54" s="3">
        <v>2039</v>
      </c>
      <c r="P54" s="114">
        <f>MROUND(P$3*INDEX('College Enrollment Projections'!$AJ$2:$AP$72,MATCH('Campus Enrol Disaggregation'!$O54,'College Enrollment Projections'!$AI$2:$AI$72,0),MATCH('Campus Enrol Disaggregation'!P$2,'College Enrollment Projections'!$AJ$1:$AP$1,0)),50)</f>
        <v>38000</v>
      </c>
      <c r="Q54" s="114">
        <f>MROUND(Q$3*INDEX('College Enrollment Projections'!$AJ$2:$AP$72,MATCH('Campus Enrol Disaggregation'!$O54,'College Enrollment Projections'!$AI$2:$AI$72,0),MATCH('Campus Enrol Disaggregation'!Q$2,'College Enrollment Projections'!$AJ$1:$AP$1,0)),50)</f>
        <v>2450</v>
      </c>
      <c r="R54" s="114">
        <f>MROUND(R$3*INDEX('College Enrollment Projections'!$AJ$2:$AP$72,MATCH('Campus Enrol Disaggregation'!$O54,'College Enrollment Projections'!$AI$2:$AI$72,0),MATCH('Campus Enrol Disaggregation'!R$2,'College Enrollment Projections'!$AJ$1:$AP$1,0)),50)</f>
        <v>24600</v>
      </c>
      <c r="S54" s="114">
        <f>MROUND(S$3*INDEX('College Enrollment Projections'!$AJ$2:$AP$72,MATCH('Campus Enrol Disaggregation'!$O54,'College Enrollment Projections'!$AI$2:$AI$72,0),MATCH('Campus Enrol Disaggregation'!S$2,'College Enrollment Projections'!$AJ$1:$AP$1,0)),50)</f>
        <v>4800</v>
      </c>
      <c r="T54" s="114">
        <f>MROUND(T$3*INDEX('College Enrollment Projections'!$AJ$2:$AP$72,MATCH('Campus Enrol Disaggregation'!$O54,'College Enrollment Projections'!$AI$2:$AI$72,0),MATCH('Campus Enrol Disaggregation'!T$2,'College Enrollment Projections'!$AJ$1:$AP$1,0)),50)</f>
        <v>600</v>
      </c>
      <c r="U54" s="114">
        <f>MROUND(U$3*INDEX('College Enrollment Projections'!$AJ$2:$AP$72,MATCH('Campus Enrol Disaggregation'!$O54,'College Enrollment Projections'!$AI$2:$AI$72,0),MATCH('Campus Enrol Disaggregation'!U$2,'College Enrollment Projections'!$AJ$1:$AP$1,0)),50)</f>
        <v>3650</v>
      </c>
      <c r="V54" s="114">
        <f>MROUND(V$3*INDEX('College Enrollment Projections'!$AJ$2:$AP$72,MATCH('Campus Enrol Disaggregation'!$O54,'College Enrollment Projections'!$AI$2:$AI$72,0),MATCH('Campus Enrol Disaggregation'!V$2,'College Enrollment Projections'!$AJ$1:$AP$1,0)),50)</f>
        <v>39350</v>
      </c>
      <c r="W54" s="115">
        <f>MROUND(INDEX('MAG College Enrollment Forecast'!$B$4:$H$74,MATCH($O54,'MAG College Enrollment Forecast'!$A$4:$A$74,0),MATCH(W$4,'MAG College Enrollment Forecast'!$B$1:$H$1,0)),50)</f>
        <v>57950</v>
      </c>
      <c r="X54" s="115">
        <f>MROUND(INDEX('MAG College Enrollment Forecast'!$B$4:$H$74,MATCH($O54,'MAG College Enrollment Forecast'!$A$4:$A$74,0),MATCH(X$4,'MAG College Enrollment Forecast'!$B$1:$H$1,0)),50)</f>
        <v>2150</v>
      </c>
      <c r="Y54" s="115">
        <f>MROUND(INDEX('MAG College Enrollment Forecast'!$B$4:$H$74,MATCH($O54,'MAG College Enrollment Forecast'!$A$4:$A$74,0),MATCH(Y$4,'MAG College Enrollment Forecast'!$B$1:$H$1,0)),50)</f>
        <v>1750</v>
      </c>
      <c r="Z54" s="115">
        <f>MROUND(INDEX('MAG College Enrollment Forecast'!$B$4:$H$74,MATCH($O54,'MAG College Enrollment Forecast'!$A$4:$A$74,0),MATCH(Z$4,'MAG College Enrollment Forecast'!$B$1:$H$1,0)),50)</f>
        <v>2600</v>
      </c>
      <c r="AA54" s="116">
        <f>MROUND(AA$3*INDEX('College Enrollment Projections'!$AJ$2:$AP$72,MATCH('Campus Enrol Disaggregation'!$O54,'College Enrollment Projections'!$AI$2:$AI$72,0),MATCH('Campus Enrol Disaggregation'!AA$2,'College Enrollment Projections'!$AJ$1:$AP$1,0)),50)</f>
        <v>31000</v>
      </c>
      <c r="AB54" s="116">
        <f>MROUND(AB$3*INDEX('College Enrollment Projections'!$AJ$2:$AP$72,MATCH('Campus Enrol Disaggregation'!$O54,'College Enrollment Projections'!$AI$2:$AI$72,0),MATCH('Campus Enrol Disaggregation'!AB$2,'College Enrollment Projections'!$AJ$1:$AP$1,0)),50)</f>
        <v>6200</v>
      </c>
      <c r="AC54" s="116">
        <f>MROUND(AC$3*INDEX('College Enrollment Projections'!$AJ$2:$AP$72,MATCH('Campus Enrol Disaggregation'!$O54,'College Enrollment Projections'!$AI$2:$AI$72,0),MATCH('Campus Enrol Disaggregation'!AC$2,'College Enrollment Projections'!$AJ$1:$AP$1,0)),50)</f>
        <v>2200</v>
      </c>
      <c r="AD54" s="117">
        <f t="shared" si="0"/>
        <v>217300</v>
      </c>
    </row>
    <row r="55" spans="15:30">
      <c r="O55" s="3">
        <v>2040</v>
      </c>
      <c r="P55" s="114">
        <f>MROUND(P$3*INDEX('College Enrollment Projections'!$AJ$2:$AP$72,MATCH('Campus Enrol Disaggregation'!$O55,'College Enrollment Projections'!$AI$2:$AI$72,0),MATCH('Campus Enrol Disaggregation'!P$2,'College Enrollment Projections'!$AJ$1:$AP$1,0)),50)</f>
        <v>38050</v>
      </c>
      <c r="Q55" s="114">
        <f>MROUND(Q$3*INDEX('College Enrollment Projections'!$AJ$2:$AP$72,MATCH('Campus Enrol Disaggregation'!$O55,'College Enrollment Projections'!$AI$2:$AI$72,0),MATCH('Campus Enrol Disaggregation'!Q$2,'College Enrollment Projections'!$AJ$1:$AP$1,0)),50)</f>
        <v>2500</v>
      </c>
      <c r="R55" s="114">
        <f>MROUND(R$3*INDEX('College Enrollment Projections'!$AJ$2:$AP$72,MATCH('Campus Enrol Disaggregation'!$O55,'College Enrollment Projections'!$AI$2:$AI$72,0),MATCH('Campus Enrol Disaggregation'!R$2,'College Enrollment Projections'!$AJ$1:$AP$1,0)),50)</f>
        <v>24800</v>
      </c>
      <c r="S55" s="114">
        <f>MROUND(S$3*INDEX('College Enrollment Projections'!$AJ$2:$AP$72,MATCH('Campus Enrol Disaggregation'!$O55,'College Enrollment Projections'!$AI$2:$AI$72,0),MATCH('Campus Enrol Disaggregation'!S$2,'College Enrollment Projections'!$AJ$1:$AP$1,0)),50)</f>
        <v>4850</v>
      </c>
      <c r="T55" s="114">
        <f>MROUND(T$3*INDEX('College Enrollment Projections'!$AJ$2:$AP$72,MATCH('Campus Enrol Disaggregation'!$O55,'College Enrollment Projections'!$AI$2:$AI$72,0),MATCH('Campus Enrol Disaggregation'!T$2,'College Enrollment Projections'!$AJ$1:$AP$1,0)),50)</f>
        <v>600</v>
      </c>
      <c r="U55" s="114">
        <f>MROUND(U$3*INDEX('College Enrollment Projections'!$AJ$2:$AP$72,MATCH('Campus Enrol Disaggregation'!$O55,'College Enrollment Projections'!$AI$2:$AI$72,0),MATCH('Campus Enrol Disaggregation'!U$2,'College Enrollment Projections'!$AJ$1:$AP$1,0)),50)</f>
        <v>3700</v>
      </c>
      <c r="V55" s="114">
        <f>MROUND(V$3*INDEX('College Enrollment Projections'!$AJ$2:$AP$72,MATCH('Campus Enrol Disaggregation'!$O55,'College Enrollment Projections'!$AI$2:$AI$72,0),MATCH('Campus Enrol Disaggregation'!V$2,'College Enrollment Projections'!$AJ$1:$AP$1,0)),50)</f>
        <v>39650</v>
      </c>
      <c r="W55" s="115">
        <f>MROUND(INDEX('MAG College Enrollment Forecast'!$B$4:$H$74,MATCH($O55,'MAG College Enrollment Forecast'!$A$4:$A$74,0),MATCH(W$4,'MAG College Enrollment Forecast'!$B$1:$H$1,0)),50)</f>
        <v>58850</v>
      </c>
      <c r="X55" s="115">
        <f>MROUND(INDEX('MAG College Enrollment Forecast'!$B$4:$H$74,MATCH($O55,'MAG College Enrollment Forecast'!$A$4:$A$74,0),MATCH(X$4,'MAG College Enrollment Forecast'!$B$1:$H$1,0)),50)</f>
        <v>2200</v>
      </c>
      <c r="Y55" s="115">
        <f>MROUND(INDEX('MAG College Enrollment Forecast'!$B$4:$H$74,MATCH($O55,'MAG College Enrollment Forecast'!$A$4:$A$74,0),MATCH(Y$4,'MAG College Enrollment Forecast'!$B$1:$H$1,0)),50)</f>
        <v>1900</v>
      </c>
      <c r="Z55" s="115">
        <f>MROUND(INDEX('MAG College Enrollment Forecast'!$B$4:$H$74,MATCH($O55,'MAG College Enrollment Forecast'!$A$4:$A$74,0),MATCH(Z$4,'MAG College Enrollment Forecast'!$B$1:$H$1,0)),50)</f>
        <v>2750</v>
      </c>
      <c r="AA55" s="116">
        <f>MROUND(AA$3*INDEX('College Enrollment Projections'!$AJ$2:$AP$72,MATCH('Campus Enrol Disaggregation'!$O55,'College Enrollment Projections'!$AI$2:$AI$72,0),MATCH('Campus Enrol Disaggregation'!AA$2,'College Enrollment Projections'!$AJ$1:$AP$1,0)),50)</f>
        <v>31400</v>
      </c>
      <c r="AB55" s="116">
        <f>MROUND(AB$3*INDEX('College Enrollment Projections'!$AJ$2:$AP$72,MATCH('Campus Enrol Disaggregation'!$O55,'College Enrollment Projections'!$AI$2:$AI$72,0),MATCH('Campus Enrol Disaggregation'!AB$2,'College Enrollment Projections'!$AJ$1:$AP$1,0)),50)</f>
        <v>6300</v>
      </c>
      <c r="AC55" s="116">
        <f>MROUND(AC$3*INDEX('College Enrollment Projections'!$AJ$2:$AP$72,MATCH('Campus Enrol Disaggregation'!$O55,'College Enrollment Projections'!$AI$2:$AI$72,0),MATCH('Campus Enrol Disaggregation'!AC$2,'College Enrollment Projections'!$AJ$1:$AP$1,0)),50)</f>
        <v>2250</v>
      </c>
      <c r="AD55" s="117">
        <f t="shared" si="0"/>
        <v>219800</v>
      </c>
    </row>
    <row r="56" spans="15:30">
      <c r="O56" s="3">
        <v>2041</v>
      </c>
      <c r="P56" s="114">
        <f>MROUND(P$3*INDEX('College Enrollment Projections'!$AJ$2:$AP$72,MATCH('Campus Enrol Disaggregation'!$O56,'College Enrollment Projections'!$AI$2:$AI$72,0),MATCH('Campus Enrol Disaggregation'!P$2,'College Enrollment Projections'!$AJ$1:$AP$1,0)),50)</f>
        <v>38050</v>
      </c>
      <c r="Q56" s="114">
        <f>MROUND(Q$3*INDEX('College Enrollment Projections'!$AJ$2:$AP$72,MATCH('Campus Enrol Disaggregation'!$O56,'College Enrollment Projections'!$AI$2:$AI$72,0),MATCH('Campus Enrol Disaggregation'!Q$2,'College Enrollment Projections'!$AJ$1:$AP$1,0)),50)</f>
        <v>2550</v>
      </c>
      <c r="R56" s="114">
        <f>MROUND(R$3*INDEX('College Enrollment Projections'!$AJ$2:$AP$72,MATCH('Campus Enrol Disaggregation'!$O56,'College Enrollment Projections'!$AI$2:$AI$72,0),MATCH('Campus Enrol Disaggregation'!R$2,'College Enrollment Projections'!$AJ$1:$AP$1,0)),50)</f>
        <v>25050</v>
      </c>
      <c r="S56" s="114">
        <f>MROUND(S$3*INDEX('College Enrollment Projections'!$AJ$2:$AP$72,MATCH('Campus Enrol Disaggregation'!$O56,'College Enrollment Projections'!$AI$2:$AI$72,0),MATCH('Campus Enrol Disaggregation'!S$2,'College Enrollment Projections'!$AJ$1:$AP$1,0)),50)</f>
        <v>4900</v>
      </c>
      <c r="T56" s="114">
        <f>MROUND(T$3*INDEX('College Enrollment Projections'!$AJ$2:$AP$72,MATCH('Campus Enrol Disaggregation'!$O56,'College Enrollment Projections'!$AI$2:$AI$72,0),MATCH('Campus Enrol Disaggregation'!T$2,'College Enrollment Projections'!$AJ$1:$AP$1,0)),50)</f>
        <v>600</v>
      </c>
      <c r="U56" s="114">
        <f>MROUND(U$3*INDEX('College Enrollment Projections'!$AJ$2:$AP$72,MATCH('Campus Enrol Disaggregation'!$O56,'College Enrollment Projections'!$AI$2:$AI$72,0),MATCH('Campus Enrol Disaggregation'!U$2,'College Enrollment Projections'!$AJ$1:$AP$1,0)),50)</f>
        <v>3700</v>
      </c>
      <c r="V56" s="114">
        <f>MROUND(V$3*INDEX('College Enrollment Projections'!$AJ$2:$AP$72,MATCH('Campus Enrol Disaggregation'!$O56,'College Enrollment Projections'!$AI$2:$AI$72,0),MATCH('Campus Enrol Disaggregation'!V$2,'College Enrollment Projections'!$AJ$1:$AP$1,0)),50)</f>
        <v>39950</v>
      </c>
      <c r="W56" s="115">
        <f>MROUND(INDEX('MAG College Enrollment Forecast'!$B$4:$H$74,MATCH($O56,'MAG College Enrollment Forecast'!$A$4:$A$74,0),MATCH(W$4,'MAG College Enrollment Forecast'!$B$1:$H$1,0)),50)</f>
        <v>59800</v>
      </c>
      <c r="X56" s="115">
        <f>MROUND(INDEX('MAG College Enrollment Forecast'!$B$4:$H$74,MATCH($O56,'MAG College Enrollment Forecast'!$A$4:$A$74,0),MATCH(X$4,'MAG College Enrollment Forecast'!$B$1:$H$1,0)),50)</f>
        <v>2200</v>
      </c>
      <c r="Y56" s="115">
        <f>MROUND(INDEX('MAG College Enrollment Forecast'!$B$4:$H$74,MATCH($O56,'MAG College Enrollment Forecast'!$A$4:$A$74,0),MATCH(Y$4,'MAG College Enrollment Forecast'!$B$1:$H$1,0)),50)</f>
        <v>2000</v>
      </c>
      <c r="Z56" s="115">
        <f>MROUND(INDEX('MAG College Enrollment Forecast'!$B$4:$H$74,MATCH($O56,'MAG College Enrollment Forecast'!$A$4:$A$74,0),MATCH(Z$4,'MAG College Enrollment Forecast'!$B$1:$H$1,0)),50)</f>
        <v>2900</v>
      </c>
      <c r="AA56" s="116">
        <f>MROUND(AA$3*INDEX('College Enrollment Projections'!$AJ$2:$AP$72,MATCH('Campus Enrol Disaggregation'!$O56,'College Enrollment Projections'!$AI$2:$AI$72,0),MATCH('Campus Enrol Disaggregation'!AA$2,'College Enrollment Projections'!$AJ$1:$AP$1,0)),50)</f>
        <v>31750</v>
      </c>
      <c r="AB56" s="116">
        <f>MROUND(AB$3*INDEX('College Enrollment Projections'!$AJ$2:$AP$72,MATCH('Campus Enrol Disaggregation'!$O56,'College Enrollment Projections'!$AI$2:$AI$72,0),MATCH('Campus Enrol Disaggregation'!AB$2,'College Enrollment Projections'!$AJ$1:$AP$1,0)),50)</f>
        <v>6350</v>
      </c>
      <c r="AC56" s="116">
        <f>MROUND(AC$3*INDEX('College Enrollment Projections'!$AJ$2:$AP$72,MATCH('Campus Enrol Disaggregation'!$O56,'College Enrollment Projections'!$AI$2:$AI$72,0),MATCH('Campus Enrol Disaggregation'!AC$2,'College Enrollment Projections'!$AJ$1:$AP$1,0)),50)</f>
        <v>2350</v>
      </c>
      <c r="AD56" s="117">
        <f t="shared" si="0"/>
        <v>222150</v>
      </c>
    </row>
    <row r="57" spans="15:30">
      <c r="O57" s="3">
        <v>2042</v>
      </c>
      <c r="P57" s="114">
        <f>MROUND(P$3*INDEX('College Enrollment Projections'!$AJ$2:$AP$72,MATCH('Campus Enrol Disaggregation'!$O57,'College Enrollment Projections'!$AI$2:$AI$72,0),MATCH('Campus Enrol Disaggregation'!P$2,'College Enrollment Projections'!$AJ$1:$AP$1,0)),50)</f>
        <v>38100</v>
      </c>
      <c r="Q57" s="114">
        <f>MROUND(Q$3*INDEX('College Enrollment Projections'!$AJ$2:$AP$72,MATCH('Campus Enrol Disaggregation'!$O57,'College Enrollment Projections'!$AI$2:$AI$72,0),MATCH('Campus Enrol Disaggregation'!Q$2,'College Enrollment Projections'!$AJ$1:$AP$1,0)),50)</f>
        <v>2550</v>
      </c>
      <c r="R57" s="114">
        <f>MROUND(R$3*INDEX('College Enrollment Projections'!$AJ$2:$AP$72,MATCH('Campus Enrol Disaggregation'!$O57,'College Enrollment Projections'!$AI$2:$AI$72,0),MATCH('Campus Enrol Disaggregation'!R$2,'College Enrollment Projections'!$AJ$1:$AP$1,0)),50)</f>
        <v>25250</v>
      </c>
      <c r="S57" s="114">
        <f>MROUND(S$3*INDEX('College Enrollment Projections'!$AJ$2:$AP$72,MATCH('Campus Enrol Disaggregation'!$O57,'College Enrollment Projections'!$AI$2:$AI$72,0),MATCH('Campus Enrol Disaggregation'!S$2,'College Enrollment Projections'!$AJ$1:$AP$1,0)),50)</f>
        <v>4950</v>
      </c>
      <c r="T57" s="114">
        <f>MROUND(T$3*INDEX('College Enrollment Projections'!$AJ$2:$AP$72,MATCH('Campus Enrol Disaggregation'!$O57,'College Enrollment Projections'!$AI$2:$AI$72,0),MATCH('Campus Enrol Disaggregation'!T$2,'College Enrollment Projections'!$AJ$1:$AP$1,0)),50)</f>
        <v>600</v>
      </c>
      <c r="U57" s="114">
        <f>MROUND(U$3*INDEX('College Enrollment Projections'!$AJ$2:$AP$72,MATCH('Campus Enrol Disaggregation'!$O57,'College Enrollment Projections'!$AI$2:$AI$72,0),MATCH('Campus Enrol Disaggregation'!U$2,'College Enrollment Projections'!$AJ$1:$AP$1,0)),50)</f>
        <v>3750</v>
      </c>
      <c r="V57" s="114">
        <f>MROUND(V$3*INDEX('College Enrollment Projections'!$AJ$2:$AP$72,MATCH('Campus Enrol Disaggregation'!$O57,'College Enrollment Projections'!$AI$2:$AI$72,0),MATCH('Campus Enrol Disaggregation'!V$2,'College Enrollment Projections'!$AJ$1:$AP$1,0)),50)</f>
        <v>40250</v>
      </c>
      <c r="W57" s="115">
        <f>MROUND(INDEX('MAG College Enrollment Forecast'!$B$4:$H$74,MATCH($O57,'MAG College Enrollment Forecast'!$A$4:$A$74,0),MATCH(W$4,'MAG College Enrollment Forecast'!$B$1:$H$1,0)),50)</f>
        <v>60700</v>
      </c>
      <c r="X57" s="115">
        <f>MROUND(INDEX('MAG College Enrollment Forecast'!$B$4:$H$74,MATCH($O57,'MAG College Enrollment Forecast'!$A$4:$A$74,0),MATCH(X$4,'MAG College Enrollment Forecast'!$B$1:$H$1,0)),50)</f>
        <v>2250</v>
      </c>
      <c r="Y57" s="115">
        <f>MROUND(INDEX('MAG College Enrollment Forecast'!$B$4:$H$74,MATCH($O57,'MAG College Enrollment Forecast'!$A$4:$A$74,0),MATCH(Y$4,'MAG College Enrollment Forecast'!$B$1:$H$1,0)),50)</f>
        <v>2100</v>
      </c>
      <c r="Z57" s="115">
        <f>MROUND(INDEX('MAG College Enrollment Forecast'!$B$4:$H$74,MATCH($O57,'MAG College Enrollment Forecast'!$A$4:$A$74,0),MATCH(Z$4,'MAG College Enrollment Forecast'!$B$1:$H$1,0)),50)</f>
        <v>3050</v>
      </c>
      <c r="AA57" s="116">
        <f>MROUND(AA$3*INDEX('College Enrollment Projections'!$AJ$2:$AP$72,MATCH('Campus Enrol Disaggregation'!$O57,'College Enrollment Projections'!$AI$2:$AI$72,0),MATCH('Campus Enrol Disaggregation'!AA$2,'College Enrollment Projections'!$AJ$1:$AP$1,0)),50)</f>
        <v>32150</v>
      </c>
      <c r="AB57" s="116">
        <f>MROUND(AB$3*INDEX('College Enrollment Projections'!$AJ$2:$AP$72,MATCH('Campus Enrol Disaggregation'!$O57,'College Enrollment Projections'!$AI$2:$AI$72,0),MATCH('Campus Enrol Disaggregation'!AB$2,'College Enrollment Projections'!$AJ$1:$AP$1,0)),50)</f>
        <v>6450</v>
      </c>
      <c r="AC57" s="116">
        <f>MROUND(AC$3*INDEX('College Enrollment Projections'!$AJ$2:$AP$72,MATCH('Campus Enrol Disaggregation'!$O57,'College Enrollment Projections'!$AI$2:$AI$72,0),MATCH('Campus Enrol Disaggregation'!AC$2,'College Enrollment Projections'!$AJ$1:$AP$1,0)),50)</f>
        <v>2400</v>
      </c>
      <c r="AD57" s="117">
        <f t="shared" si="0"/>
        <v>224550</v>
      </c>
    </row>
    <row r="58" spans="15:30">
      <c r="O58" s="3">
        <v>2043</v>
      </c>
      <c r="P58" s="114">
        <f>MROUND(P$3*INDEX('College Enrollment Projections'!$AJ$2:$AP$72,MATCH('Campus Enrol Disaggregation'!$O58,'College Enrollment Projections'!$AI$2:$AI$72,0),MATCH('Campus Enrol Disaggregation'!P$2,'College Enrollment Projections'!$AJ$1:$AP$1,0)),50)</f>
        <v>38150</v>
      </c>
      <c r="Q58" s="114">
        <f>MROUND(Q$3*INDEX('College Enrollment Projections'!$AJ$2:$AP$72,MATCH('Campus Enrol Disaggregation'!$O58,'College Enrollment Projections'!$AI$2:$AI$72,0),MATCH('Campus Enrol Disaggregation'!Q$2,'College Enrollment Projections'!$AJ$1:$AP$1,0)),50)</f>
        <v>2600</v>
      </c>
      <c r="R58" s="114">
        <f>MROUND(R$3*INDEX('College Enrollment Projections'!$AJ$2:$AP$72,MATCH('Campus Enrol Disaggregation'!$O58,'College Enrollment Projections'!$AI$2:$AI$72,0),MATCH('Campus Enrol Disaggregation'!R$2,'College Enrollment Projections'!$AJ$1:$AP$1,0)),50)</f>
        <v>25500</v>
      </c>
      <c r="S58" s="114">
        <f>MROUND(S$3*INDEX('College Enrollment Projections'!$AJ$2:$AP$72,MATCH('Campus Enrol Disaggregation'!$O58,'College Enrollment Projections'!$AI$2:$AI$72,0),MATCH('Campus Enrol Disaggregation'!S$2,'College Enrollment Projections'!$AJ$1:$AP$1,0)),50)</f>
        <v>4950</v>
      </c>
      <c r="T58" s="114">
        <f>MROUND(T$3*INDEX('College Enrollment Projections'!$AJ$2:$AP$72,MATCH('Campus Enrol Disaggregation'!$O58,'College Enrollment Projections'!$AI$2:$AI$72,0),MATCH('Campus Enrol Disaggregation'!T$2,'College Enrollment Projections'!$AJ$1:$AP$1,0)),50)</f>
        <v>600</v>
      </c>
      <c r="U58" s="114">
        <f>MROUND(U$3*INDEX('College Enrollment Projections'!$AJ$2:$AP$72,MATCH('Campus Enrol Disaggregation'!$O58,'College Enrollment Projections'!$AI$2:$AI$72,0),MATCH('Campus Enrol Disaggregation'!U$2,'College Enrollment Projections'!$AJ$1:$AP$1,0)),50)</f>
        <v>3800</v>
      </c>
      <c r="V58" s="114">
        <f>MROUND(V$3*INDEX('College Enrollment Projections'!$AJ$2:$AP$72,MATCH('Campus Enrol Disaggregation'!$O58,'College Enrollment Projections'!$AI$2:$AI$72,0),MATCH('Campus Enrol Disaggregation'!V$2,'College Enrollment Projections'!$AJ$1:$AP$1,0)),50)</f>
        <v>40550</v>
      </c>
      <c r="W58" s="115">
        <f>MROUND(INDEX('MAG College Enrollment Forecast'!$B$4:$H$74,MATCH($O58,'MAG College Enrollment Forecast'!$A$4:$A$74,0),MATCH(W$4,'MAG College Enrollment Forecast'!$B$1:$H$1,0)),50)</f>
        <v>61600</v>
      </c>
      <c r="X58" s="115">
        <f>MROUND(INDEX('MAG College Enrollment Forecast'!$B$4:$H$74,MATCH($O58,'MAG College Enrollment Forecast'!$A$4:$A$74,0),MATCH(X$4,'MAG College Enrollment Forecast'!$B$1:$H$1,0)),50)</f>
        <v>2300</v>
      </c>
      <c r="Y58" s="115">
        <f>MROUND(INDEX('MAG College Enrollment Forecast'!$B$4:$H$74,MATCH($O58,'MAG College Enrollment Forecast'!$A$4:$A$74,0),MATCH(Y$4,'MAG College Enrollment Forecast'!$B$1:$H$1,0)),50)</f>
        <v>2200</v>
      </c>
      <c r="Z58" s="115">
        <f>MROUND(INDEX('MAG College Enrollment Forecast'!$B$4:$H$74,MATCH($O58,'MAG College Enrollment Forecast'!$A$4:$A$74,0),MATCH(Z$4,'MAG College Enrollment Forecast'!$B$1:$H$1,0)),50)</f>
        <v>3200</v>
      </c>
      <c r="AA58" s="116">
        <f>MROUND(AA$3*INDEX('College Enrollment Projections'!$AJ$2:$AP$72,MATCH('Campus Enrol Disaggregation'!$O58,'College Enrollment Projections'!$AI$2:$AI$72,0),MATCH('Campus Enrol Disaggregation'!AA$2,'College Enrollment Projections'!$AJ$1:$AP$1,0)),50)</f>
        <v>32500</v>
      </c>
      <c r="AB58" s="116">
        <f>MROUND(AB$3*INDEX('College Enrollment Projections'!$AJ$2:$AP$72,MATCH('Campus Enrol Disaggregation'!$O58,'College Enrollment Projections'!$AI$2:$AI$72,0),MATCH('Campus Enrol Disaggregation'!AB$2,'College Enrollment Projections'!$AJ$1:$AP$1,0)),50)</f>
        <v>6500</v>
      </c>
      <c r="AC58" s="116">
        <f>MROUND(AC$3*INDEX('College Enrollment Projections'!$AJ$2:$AP$72,MATCH('Campus Enrol Disaggregation'!$O58,'College Enrollment Projections'!$AI$2:$AI$72,0),MATCH('Campus Enrol Disaggregation'!AC$2,'College Enrollment Projections'!$AJ$1:$AP$1,0)),50)</f>
        <v>2450</v>
      </c>
      <c r="AD58" s="117">
        <f t="shared" si="0"/>
        <v>226900</v>
      </c>
    </row>
    <row r="59" spans="15:30">
      <c r="O59" s="3">
        <v>2044</v>
      </c>
      <c r="P59" s="114">
        <f>MROUND(P$3*INDEX('College Enrollment Projections'!$AJ$2:$AP$72,MATCH('Campus Enrol Disaggregation'!$O59,'College Enrollment Projections'!$AI$2:$AI$72,0),MATCH('Campus Enrol Disaggregation'!P$2,'College Enrollment Projections'!$AJ$1:$AP$1,0)),50)</f>
        <v>38500</v>
      </c>
      <c r="Q59" s="114">
        <f>MROUND(Q$3*INDEX('College Enrollment Projections'!$AJ$2:$AP$72,MATCH('Campus Enrol Disaggregation'!$O59,'College Enrollment Projections'!$AI$2:$AI$72,0),MATCH('Campus Enrol Disaggregation'!Q$2,'College Enrollment Projections'!$AJ$1:$AP$1,0)),50)</f>
        <v>2650</v>
      </c>
      <c r="R59" s="114">
        <f>MROUND(R$3*INDEX('College Enrollment Projections'!$AJ$2:$AP$72,MATCH('Campus Enrol Disaggregation'!$O59,'College Enrollment Projections'!$AI$2:$AI$72,0),MATCH('Campus Enrol Disaggregation'!R$2,'College Enrollment Projections'!$AJ$1:$AP$1,0)),50)</f>
        <v>25750</v>
      </c>
      <c r="S59" s="114">
        <f>MROUND(S$3*INDEX('College Enrollment Projections'!$AJ$2:$AP$72,MATCH('Campus Enrol Disaggregation'!$O59,'College Enrollment Projections'!$AI$2:$AI$72,0),MATCH('Campus Enrol Disaggregation'!S$2,'College Enrollment Projections'!$AJ$1:$AP$1,0)),50)</f>
        <v>5000</v>
      </c>
      <c r="T59" s="114">
        <f>MROUND(T$3*INDEX('College Enrollment Projections'!$AJ$2:$AP$72,MATCH('Campus Enrol Disaggregation'!$O59,'College Enrollment Projections'!$AI$2:$AI$72,0),MATCH('Campus Enrol Disaggregation'!T$2,'College Enrollment Projections'!$AJ$1:$AP$1,0)),50)</f>
        <v>600</v>
      </c>
      <c r="U59" s="114">
        <f>MROUND(U$3*INDEX('College Enrollment Projections'!$AJ$2:$AP$72,MATCH('Campus Enrol Disaggregation'!$O59,'College Enrollment Projections'!$AI$2:$AI$72,0),MATCH('Campus Enrol Disaggregation'!U$2,'College Enrollment Projections'!$AJ$1:$AP$1,0)),50)</f>
        <v>3850</v>
      </c>
      <c r="V59" s="114">
        <f>MROUND(V$3*INDEX('College Enrollment Projections'!$AJ$2:$AP$72,MATCH('Campus Enrol Disaggregation'!$O59,'College Enrollment Projections'!$AI$2:$AI$72,0),MATCH('Campus Enrol Disaggregation'!V$2,'College Enrollment Projections'!$AJ$1:$AP$1,0)),50)</f>
        <v>40800</v>
      </c>
      <c r="W59" s="115">
        <f>MROUND(INDEX('MAG College Enrollment Forecast'!$B$4:$H$74,MATCH($O59,'MAG College Enrollment Forecast'!$A$4:$A$74,0),MATCH(W$4,'MAG College Enrollment Forecast'!$B$1:$H$1,0)),50)</f>
        <v>62500</v>
      </c>
      <c r="X59" s="115">
        <f>MROUND(INDEX('MAG College Enrollment Forecast'!$B$4:$H$74,MATCH($O59,'MAG College Enrollment Forecast'!$A$4:$A$74,0),MATCH(X$4,'MAG College Enrollment Forecast'!$B$1:$H$1,0)),50)</f>
        <v>2350</v>
      </c>
      <c r="Y59" s="115">
        <f>MROUND(INDEX('MAG College Enrollment Forecast'!$B$4:$H$74,MATCH($O59,'MAG College Enrollment Forecast'!$A$4:$A$74,0),MATCH(Y$4,'MAG College Enrollment Forecast'!$B$1:$H$1,0)),50)</f>
        <v>2350</v>
      </c>
      <c r="Z59" s="115">
        <f>MROUND(INDEX('MAG College Enrollment Forecast'!$B$4:$H$74,MATCH($O59,'MAG College Enrollment Forecast'!$A$4:$A$74,0),MATCH(Z$4,'MAG College Enrollment Forecast'!$B$1:$H$1,0)),50)</f>
        <v>3350</v>
      </c>
      <c r="AA59" s="116">
        <f>MROUND(AA$3*INDEX('College Enrollment Projections'!$AJ$2:$AP$72,MATCH('Campus Enrol Disaggregation'!$O59,'College Enrollment Projections'!$AI$2:$AI$72,0),MATCH('Campus Enrol Disaggregation'!AA$2,'College Enrollment Projections'!$AJ$1:$AP$1,0)),50)</f>
        <v>32900</v>
      </c>
      <c r="AB59" s="116">
        <f>MROUND(AB$3*INDEX('College Enrollment Projections'!$AJ$2:$AP$72,MATCH('Campus Enrol Disaggregation'!$O59,'College Enrollment Projections'!$AI$2:$AI$72,0),MATCH('Campus Enrol Disaggregation'!AB$2,'College Enrollment Projections'!$AJ$1:$AP$1,0)),50)</f>
        <v>6600</v>
      </c>
      <c r="AC59" s="116">
        <f>MROUND(AC$3*INDEX('College Enrollment Projections'!$AJ$2:$AP$72,MATCH('Campus Enrol Disaggregation'!$O59,'College Enrollment Projections'!$AI$2:$AI$72,0),MATCH('Campus Enrol Disaggregation'!AC$2,'College Enrollment Projections'!$AJ$1:$AP$1,0)),50)</f>
        <v>2500</v>
      </c>
      <c r="AD59" s="117">
        <f t="shared" si="0"/>
        <v>229700</v>
      </c>
    </row>
    <row r="60" spans="15:30">
      <c r="O60" s="3">
        <v>2045</v>
      </c>
      <c r="P60" s="114">
        <f>MROUND(P$3*INDEX('College Enrollment Projections'!$AJ$2:$AP$72,MATCH('Campus Enrol Disaggregation'!$O60,'College Enrollment Projections'!$AI$2:$AI$72,0),MATCH('Campus Enrol Disaggregation'!P$2,'College Enrollment Projections'!$AJ$1:$AP$1,0)),50)</f>
        <v>38900</v>
      </c>
      <c r="Q60" s="114">
        <f>MROUND(Q$3*INDEX('College Enrollment Projections'!$AJ$2:$AP$72,MATCH('Campus Enrol Disaggregation'!$O60,'College Enrollment Projections'!$AI$2:$AI$72,0),MATCH('Campus Enrol Disaggregation'!Q$2,'College Enrollment Projections'!$AJ$1:$AP$1,0)),50)</f>
        <v>2650</v>
      </c>
      <c r="R60" s="114">
        <f>MROUND(R$3*INDEX('College Enrollment Projections'!$AJ$2:$AP$72,MATCH('Campus Enrol Disaggregation'!$O60,'College Enrollment Projections'!$AI$2:$AI$72,0),MATCH('Campus Enrol Disaggregation'!R$2,'College Enrollment Projections'!$AJ$1:$AP$1,0)),50)</f>
        <v>25950</v>
      </c>
      <c r="S60" s="114">
        <f>MROUND(S$3*INDEX('College Enrollment Projections'!$AJ$2:$AP$72,MATCH('Campus Enrol Disaggregation'!$O60,'College Enrollment Projections'!$AI$2:$AI$72,0),MATCH('Campus Enrol Disaggregation'!S$2,'College Enrollment Projections'!$AJ$1:$AP$1,0)),50)</f>
        <v>5050</v>
      </c>
      <c r="T60" s="114">
        <f>MROUND(T$3*INDEX('College Enrollment Projections'!$AJ$2:$AP$72,MATCH('Campus Enrol Disaggregation'!$O60,'College Enrollment Projections'!$AI$2:$AI$72,0),MATCH('Campus Enrol Disaggregation'!T$2,'College Enrollment Projections'!$AJ$1:$AP$1,0)),50)</f>
        <v>600</v>
      </c>
      <c r="U60" s="114">
        <f>MROUND(U$3*INDEX('College Enrollment Projections'!$AJ$2:$AP$72,MATCH('Campus Enrol Disaggregation'!$O60,'College Enrollment Projections'!$AI$2:$AI$72,0),MATCH('Campus Enrol Disaggregation'!U$2,'College Enrollment Projections'!$AJ$1:$AP$1,0)),50)</f>
        <v>3850</v>
      </c>
      <c r="V60" s="114">
        <f>MROUND(V$3*INDEX('College Enrollment Projections'!$AJ$2:$AP$72,MATCH('Campus Enrol Disaggregation'!$O60,'College Enrollment Projections'!$AI$2:$AI$72,0),MATCH('Campus Enrol Disaggregation'!V$2,'College Enrollment Projections'!$AJ$1:$AP$1,0)),50)</f>
        <v>41100</v>
      </c>
      <c r="W60" s="115">
        <f>MROUND(INDEX('MAG College Enrollment Forecast'!$B$4:$H$74,MATCH($O60,'MAG College Enrollment Forecast'!$A$4:$A$74,0),MATCH(W$4,'MAG College Enrollment Forecast'!$B$1:$H$1,0)),50)</f>
        <v>63450</v>
      </c>
      <c r="X60" s="115">
        <f>MROUND(INDEX('MAG College Enrollment Forecast'!$B$4:$H$74,MATCH($O60,'MAG College Enrollment Forecast'!$A$4:$A$74,0),MATCH(X$4,'MAG College Enrollment Forecast'!$B$1:$H$1,0)),50)</f>
        <v>2400</v>
      </c>
      <c r="Y60" s="115">
        <f>MROUND(INDEX('MAG College Enrollment Forecast'!$B$4:$H$74,MATCH($O60,'MAG College Enrollment Forecast'!$A$4:$A$74,0),MATCH(Y$4,'MAG College Enrollment Forecast'!$B$1:$H$1,0)),50)</f>
        <v>2450</v>
      </c>
      <c r="Z60" s="115">
        <f>MROUND(INDEX('MAG College Enrollment Forecast'!$B$4:$H$74,MATCH($O60,'MAG College Enrollment Forecast'!$A$4:$A$74,0),MATCH(Z$4,'MAG College Enrollment Forecast'!$B$1:$H$1,0)),50)</f>
        <v>3500</v>
      </c>
      <c r="AA60" s="116">
        <f>MROUND(AA$3*INDEX('College Enrollment Projections'!$AJ$2:$AP$72,MATCH('Campus Enrol Disaggregation'!$O60,'College Enrollment Projections'!$AI$2:$AI$72,0),MATCH('Campus Enrol Disaggregation'!AA$2,'College Enrollment Projections'!$AJ$1:$AP$1,0)),50)</f>
        <v>33250</v>
      </c>
      <c r="AB60" s="116">
        <f>MROUND(AB$3*INDEX('College Enrollment Projections'!$AJ$2:$AP$72,MATCH('Campus Enrol Disaggregation'!$O60,'College Enrollment Projections'!$AI$2:$AI$72,0),MATCH('Campus Enrol Disaggregation'!AB$2,'College Enrollment Projections'!$AJ$1:$AP$1,0)),50)</f>
        <v>6700</v>
      </c>
      <c r="AC60" s="116">
        <f>MROUND(AC$3*INDEX('College Enrollment Projections'!$AJ$2:$AP$72,MATCH('Campus Enrol Disaggregation'!$O60,'College Enrollment Projections'!$AI$2:$AI$72,0),MATCH('Campus Enrol Disaggregation'!AC$2,'College Enrollment Projections'!$AJ$1:$AP$1,0)),50)</f>
        <v>2600</v>
      </c>
      <c r="AD60" s="117">
        <f t="shared" si="0"/>
        <v>232450</v>
      </c>
    </row>
    <row r="61" spans="15:30">
      <c r="O61" s="3">
        <v>2046</v>
      </c>
      <c r="P61" s="114">
        <f>MROUND(P$3*INDEX('College Enrollment Projections'!$AJ$2:$AP$72,MATCH('Campus Enrol Disaggregation'!$O61,'College Enrollment Projections'!$AI$2:$AI$72,0),MATCH('Campus Enrol Disaggregation'!P$2,'College Enrollment Projections'!$AJ$1:$AP$1,0)),50)</f>
        <v>39300</v>
      </c>
      <c r="Q61" s="114">
        <f>MROUND(Q$3*INDEX('College Enrollment Projections'!$AJ$2:$AP$72,MATCH('Campus Enrol Disaggregation'!$O61,'College Enrollment Projections'!$AI$2:$AI$72,0),MATCH('Campus Enrol Disaggregation'!Q$2,'College Enrollment Projections'!$AJ$1:$AP$1,0)),50)</f>
        <v>2700</v>
      </c>
      <c r="R61" s="114">
        <f>MROUND(R$3*INDEX('College Enrollment Projections'!$AJ$2:$AP$72,MATCH('Campus Enrol Disaggregation'!$O61,'College Enrollment Projections'!$AI$2:$AI$72,0),MATCH('Campus Enrol Disaggregation'!R$2,'College Enrollment Projections'!$AJ$1:$AP$1,0)),50)</f>
        <v>26200</v>
      </c>
      <c r="S61" s="114">
        <f>MROUND(S$3*INDEX('College Enrollment Projections'!$AJ$2:$AP$72,MATCH('Campus Enrol Disaggregation'!$O61,'College Enrollment Projections'!$AI$2:$AI$72,0),MATCH('Campus Enrol Disaggregation'!S$2,'College Enrollment Projections'!$AJ$1:$AP$1,0)),50)</f>
        <v>5100</v>
      </c>
      <c r="T61" s="114">
        <f>MROUND(T$3*INDEX('College Enrollment Projections'!$AJ$2:$AP$72,MATCH('Campus Enrol Disaggregation'!$O61,'College Enrollment Projections'!$AI$2:$AI$72,0),MATCH('Campus Enrol Disaggregation'!T$2,'College Enrollment Projections'!$AJ$1:$AP$1,0)),50)</f>
        <v>600</v>
      </c>
      <c r="U61" s="114">
        <f>MROUND(U$3*INDEX('College Enrollment Projections'!$AJ$2:$AP$72,MATCH('Campus Enrol Disaggregation'!$O61,'College Enrollment Projections'!$AI$2:$AI$72,0),MATCH('Campus Enrol Disaggregation'!U$2,'College Enrollment Projections'!$AJ$1:$AP$1,0)),50)</f>
        <v>3900</v>
      </c>
      <c r="V61" s="114">
        <f>MROUND(V$3*INDEX('College Enrollment Projections'!$AJ$2:$AP$72,MATCH('Campus Enrol Disaggregation'!$O61,'College Enrollment Projections'!$AI$2:$AI$72,0),MATCH('Campus Enrol Disaggregation'!V$2,'College Enrollment Projections'!$AJ$1:$AP$1,0)),50)</f>
        <v>41400</v>
      </c>
      <c r="W61" s="115">
        <f>MROUND(INDEX('MAG College Enrollment Forecast'!$B$4:$H$74,MATCH($O61,'MAG College Enrollment Forecast'!$A$4:$A$74,0),MATCH(W$4,'MAG College Enrollment Forecast'!$B$1:$H$1,0)),50)</f>
        <v>64350</v>
      </c>
      <c r="X61" s="115">
        <f>MROUND(INDEX('MAG College Enrollment Forecast'!$B$4:$H$74,MATCH($O61,'MAG College Enrollment Forecast'!$A$4:$A$74,0),MATCH(X$4,'MAG College Enrollment Forecast'!$B$1:$H$1,0)),50)</f>
        <v>2450</v>
      </c>
      <c r="Y61" s="115">
        <f>MROUND(INDEX('MAG College Enrollment Forecast'!$B$4:$H$74,MATCH($O61,'MAG College Enrollment Forecast'!$A$4:$A$74,0),MATCH(Y$4,'MAG College Enrollment Forecast'!$B$1:$H$1,0)),50)</f>
        <v>2550</v>
      </c>
      <c r="Z61" s="115">
        <f>MROUND(INDEX('MAG College Enrollment Forecast'!$B$4:$H$74,MATCH($O61,'MAG College Enrollment Forecast'!$A$4:$A$74,0),MATCH(Z$4,'MAG College Enrollment Forecast'!$B$1:$H$1,0)),50)</f>
        <v>3650</v>
      </c>
      <c r="AA61" s="116">
        <f>MROUND(AA$3*INDEX('College Enrollment Projections'!$AJ$2:$AP$72,MATCH('Campus Enrol Disaggregation'!$O61,'College Enrollment Projections'!$AI$2:$AI$72,0),MATCH('Campus Enrol Disaggregation'!AA$2,'College Enrollment Projections'!$AJ$1:$AP$1,0)),50)</f>
        <v>33650</v>
      </c>
      <c r="AB61" s="116">
        <f>MROUND(AB$3*INDEX('College Enrollment Projections'!$AJ$2:$AP$72,MATCH('Campus Enrol Disaggregation'!$O61,'College Enrollment Projections'!$AI$2:$AI$72,0),MATCH('Campus Enrol Disaggregation'!AB$2,'College Enrollment Projections'!$AJ$1:$AP$1,0)),50)</f>
        <v>6750</v>
      </c>
      <c r="AC61" s="116">
        <f>MROUND(AC$3*INDEX('College Enrollment Projections'!$AJ$2:$AP$72,MATCH('Campus Enrol Disaggregation'!$O61,'College Enrollment Projections'!$AI$2:$AI$72,0),MATCH('Campus Enrol Disaggregation'!AC$2,'College Enrollment Projections'!$AJ$1:$AP$1,0)),50)</f>
        <v>2650</v>
      </c>
      <c r="AD61" s="117">
        <f t="shared" si="0"/>
        <v>235250</v>
      </c>
    </row>
    <row r="62" spans="15:30">
      <c r="O62" s="3">
        <v>2047</v>
      </c>
      <c r="P62" s="114">
        <f>MROUND(P$3*INDEX('College Enrollment Projections'!$AJ$2:$AP$72,MATCH('Campus Enrol Disaggregation'!$O62,'College Enrollment Projections'!$AI$2:$AI$72,0),MATCH('Campus Enrol Disaggregation'!P$2,'College Enrollment Projections'!$AJ$1:$AP$1,0)),50)</f>
        <v>39300</v>
      </c>
      <c r="Q62" s="114">
        <f>MROUND(Q$3*INDEX('College Enrollment Projections'!$AJ$2:$AP$72,MATCH('Campus Enrol Disaggregation'!$O62,'College Enrollment Projections'!$AI$2:$AI$72,0),MATCH('Campus Enrol Disaggregation'!Q$2,'College Enrollment Projections'!$AJ$1:$AP$1,0)),50)</f>
        <v>2750</v>
      </c>
      <c r="R62" s="114">
        <f>MROUND(R$3*INDEX('College Enrollment Projections'!$AJ$2:$AP$72,MATCH('Campus Enrol Disaggregation'!$O62,'College Enrollment Projections'!$AI$2:$AI$72,0),MATCH('Campus Enrol Disaggregation'!R$2,'College Enrollment Projections'!$AJ$1:$AP$1,0)),50)</f>
        <v>26400</v>
      </c>
      <c r="S62" s="114">
        <f>MROUND(S$3*INDEX('College Enrollment Projections'!$AJ$2:$AP$72,MATCH('Campus Enrol Disaggregation'!$O62,'College Enrollment Projections'!$AI$2:$AI$72,0),MATCH('Campus Enrol Disaggregation'!S$2,'College Enrollment Projections'!$AJ$1:$AP$1,0)),50)</f>
        <v>5150</v>
      </c>
      <c r="T62" s="114">
        <f>MROUND(T$3*INDEX('College Enrollment Projections'!$AJ$2:$AP$72,MATCH('Campus Enrol Disaggregation'!$O62,'College Enrollment Projections'!$AI$2:$AI$72,0),MATCH('Campus Enrol Disaggregation'!T$2,'College Enrollment Projections'!$AJ$1:$AP$1,0)),50)</f>
        <v>600</v>
      </c>
      <c r="U62" s="114">
        <f>MROUND(U$3*INDEX('College Enrollment Projections'!$AJ$2:$AP$72,MATCH('Campus Enrol Disaggregation'!$O62,'College Enrollment Projections'!$AI$2:$AI$72,0),MATCH('Campus Enrol Disaggregation'!U$2,'College Enrollment Projections'!$AJ$1:$AP$1,0)),50)</f>
        <v>3950</v>
      </c>
      <c r="V62" s="114">
        <f>MROUND(V$3*INDEX('College Enrollment Projections'!$AJ$2:$AP$72,MATCH('Campus Enrol Disaggregation'!$O62,'College Enrollment Projections'!$AI$2:$AI$72,0),MATCH('Campus Enrol Disaggregation'!V$2,'College Enrollment Projections'!$AJ$1:$AP$1,0)),50)</f>
        <v>41700</v>
      </c>
      <c r="W62" s="115">
        <f>MROUND(INDEX('MAG College Enrollment Forecast'!$B$4:$H$74,MATCH($O62,'MAG College Enrollment Forecast'!$A$4:$A$74,0),MATCH(W$4,'MAG College Enrollment Forecast'!$B$1:$H$1,0)),50)</f>
        <v>65250</v>
      </c>
      <c r="X62" s="115">
        <f>MROUND(INDEX('MAG College Enrollment Forecast'!$B$4:$H$74,MATCH($O62,'MAG College Enrollment Forecast'!$A$4:$A$74,0),MATCH(X$4,'MAG College Enrollment Forecast'!$B$1:$H$1,0)),50)</f>
        <v>2450</v>
      </c>
      <c r="Y62" s="115">
        <f>MROUND(INDEX('MAG College Enrollment Forecast'!$B$4:$H$74,MATCH($O62,'MAG College Enrollment Forecast'!$A$4:$A$74,0),MATCH(Y$4,'MAG College Enrollment Forecast'!$B$1:$H$1,0)),50)</f>
        <v>2650</v>
      </c>
      <c r="Z62" s="115">
        <f>MROUND(INDEX('MAG College Enrollment Forecast'!$B$4:$H$74,MATCH($O62,'MAG College Enrollment Forecast'!$A$4:$A$74,0),MATCH(Z$4,'MAG College Enrollment Forecast'!$B$1:$H$1,0)),50)</f>
        <v>3800</v>
      </c>
      <c r="AA62" s="116">
        <f>MROUND(AA$3*INDEX('College Enrollment Projections'!$AJ$2:$AP$72,MATCH('Campus Enrol Disaggregation'!$O62,'College Enrollment Projections'!$AI$2:$AI$72,0),MATCH('Campus Enrol Disaggregation'!AA$2,'College Enrollment Projections'!$AJ$1:$AP$1,0)),50)</f>
        <v>34050</v>
      </c>
      <c r="AB62" s="116">
        <f>MROUND(AB$3*INDEX('College Enrollment Projections'!$AJ$2:$AP$72,MATCH('Campus Enrol Disaggregation'!$O62,'College Enrollment Projections'!$AI$2:$AI$72,0),MATCH('Campus Enrol Disaggregation'!AB$2,'College Enrollment Projections'!$AJ$1:$AP$1,0)),50)</f>
        <v>6850</v>
      </c>
      <c r="AC62" s="116">
        <f>MROUND(AC$3*INDEX('College Enrollment Projections'!$AJ$2:$AP$72,MATCH('Campus Enrol Disaggregation'!$O62,'College Enrollment Projections'!$AI$2:$AI$72,0),MATCH('Campus Enrol Disaggregation'!AC$2,'College Enrollment Projections'!$AJ$1:$AP$1,0)),50)</f>
        <v>2700</v>
      </c>
      <c r="AD62" s="117">
        <f t="shared" si="0"/>
        <v>237600</v>
      </c>
    </row>
    <row r="63" spans="15:30">
      <c r="O63" s="3">
        <v>2048</v>
      </c>
      <c r="P63" s="114">
        <f>MROUND(P$3*INDEX('College Enrollment Projections'!$AJ$2:$AP$72,MATCH('Campus Enrol Disaggregation'!$O63,'College Enrollment Projections'!$AI$2:$AI$72,0),MATCH('Campus Enrol Disaggregation'!P$2,'College Enrollment Projections'!$AJ$1:$AP$1,0)),50)</f>
        <v>39300</v>
      </c>
      <c r="Q63" s="114">
        <f>MROUND(Q$3*INDEX('College Enrollment Projections'!$AJ$2:$AP$72,MATCH('Campus Enrol Disaggregation'!$O63,'College Enrollment Projections'!$AI$2:$AI$72,0),MATCH('Campus Enrol Disaggregation'!Q$2,'College Enrollment Projections'!$AJ$1:$AP$1,0)),50)</f>
        <v>2800</v>
      </c>
      <c r="R63" s="114">
        <f>MROUND(R$3*INDEX('College Enrollment Projections'!$AJ$2:$AP$72,MATCH('Campus Enrol Disaggregation'!$O63,'College Enrollment Projections'!$AI$2:$AI$72,0),MATCH('Campus Enrol Disaggregation'!R$2,'College Enrollment Projections'!$AJ$1:$AP$1,0)),50)</f>
        <v>26650</v>
      </c>
      <c r="S63" s="114">
        <f>MROUND(S$3*INDEX('College Enrollment Projections'!$AJ$2:$AP$72,MATCH('Campus Enrol Disaggregation'!$O63,'College Enrollment Projections'!$AI$2:$AI$72,0),MATCH('Campus Enrol Disaggregation'!S$2,'College Enrollment Projections'!$AJ$1:$AP$1,0)),50)</f>
        <v>5200</v>
      </c>
      <c r="T63" s="114">
        <f>MROUND(T$3*INDEX('College Enrollment Projections'!$AJ$2:$AP$72,MATCH('Campus Enrol Disaggregation'!$O63,'College Enrollment Projections'!$AI$2:$AI$72,0),MATCH('Campus Enrol Disaggregation'!T$2,'College Enrollment Projections'!$AJ$1:$AP$1,0)),50)</f>
        <v>650</v>
      </c>
      <c r="U63" s="114">
        <f>MROUND(U$3*INDEX('College Enrollment Projections'!$AJ$2:$AP$72,MATCH('Campus Enrol Disaggregation'!$O63,'College Enrollment Projections'!$AI$2:$AI$72,0),MATCH('Campus Enrol Disaggregation'!U$2,'College Enrollment Projections'!$AJ$1:$AP$1,0)),50)</f>
        <v>3950</v>
      </c>
      <c r="V63" s="114">
        <f>MROUND(V$3*INDEX('College Enrollment Projections'!$AJ$2:$AP$72,MATCH('Campus Enrol Disaggregation'!$O63,'College Enrollment Projections'!$AI$2:$AI$72,0),MATCH('Campus Enrol Disaggregation'!V$2,'College Enrollment Projections'!$AJ$1:$AP$1,0)),50)</f>
        <v>42000</v>
      </c>
      <c r="W63" s="115">
        <f>MROUND(INDEX('MAG College Enrollment Forecast'!$B$4:$H$74,MATCH($O63,'MAG College Enrollment Forecast'!$A$4:$A$74,0),MATCH(W$4,'MAG College Enrollment Forecast'!$B$1:$H$1,0)),50)</f>
        <v>66150</v>
      </c>
      <c r="X63" s="115">
        <f>MROUND(INDEX('MAG College Enrollment Forecast'!$B$4:$H$74,MATCH($O63,'MAG College Enrollment Forecast'!$A$4:$A$74,0),MATCH(X$4,'MAG College Enrollment Forecast'!$B$1:$H$1,0)),50)</f>
        <v>2500</v>
      </c>
      <c r="Y63" s="115">
        <f>MROUND(INDEX('MAG College Enrollment Forecast'!$B$4:$H$74,MATCH($O63,'MAG College Enrollment Forecast'!$A$4:$A$74,0),MATCH(Y$4,'MAG College Enrollment Forecast'!$B$1:$H$1,0)),50)</f>
        <v>2800</v>
      </c>
      <c r="Z63" s="115">
        <f>MROUND(INDEX('MAG College Enrollment Forecast'!$B$4:$H$74,MATCH($O63,'MAG College Enrollment Forecast'!$A$4:$A$74,0),MATCH(Z$4,'MAG College Enrollment Forecast'!$B$1:$H$1,0)),50)</f>
        <v>3950</v>
      </c>
      <c r="AA63" s="116">
        <f>MROUND(AA$3*INDEX('College Enrollment Projections'!$AJ$2:$AP$72,MATCH('Campus Enrol Disaggregation'!$O63,'College Enrollment Projections'!$AI$2:$AI$72,0),MATCH('Campus Enrol Disaggregation'!AA$2,'College Enrollment Projections'!$AJ$1:$AP$1,0)),50)</f>
        <v>34400</v>
      </c>
      <c r="AB63" s="116">
        <f>MROUND(AB$3*INDEX('College Enrollment Projections'!$AJ$2:$AP$72,MATCH('Campus Enrol Disaggregation'!$O63,'College Enrollment Projections'!$AI$2:$AI$72,0),MATCH('Campus Enrol Disaggregation'!AB$2,'College Enrollment Projections'!$AJ$1:$AP$1,0)),50)</f>
        <v>6900</v>
      </c>
      <c r="AC63" s="116">
        <f>MROUND(AC$3*INDEX('College Enrollment Projections'!$AJ$2:$AP$72,MATCH('Campus Enrol Disaggregation'!$O63,'College Enrollment Projections'!$AI$2:$AI$72,0),MATCH('Campus Enrol Disaggregation'!AC$2,'College Enrollment Projections'!$AJ$1:$AP$1,0)),50)</f>
        <v>2750</v>
      </c>
      <c r="AD63" s="117">
        <f t="shared" si="0"/>
        <v>240000</v>
      </c>
    </row>
    <row r="64" spans="15:30">
      <c r="O64" s="3">
        <v>2049</v>
      </c>
      <c r="P64" s="114">
        <f>MROUND(P$3*INDEX('College Enrollment Projections'!$AJ$2:$AP$72,MATCH('Campus Enrol Disaggregation'!$O64,'College Enrollment Projections'!$AI$2:$AI$72,0),MATCH('Campus Enrol Disaggregation'!P$2,'College Enrollment Projections'!$AJ$1:$AP$1,0)),50)</f>
        <v>39300</v>
      </c>
      <c r="Q64" s="114">
        <f>MROUND(Q$3*INDEX('College Enrollment Projections'!$AJ$2:$AP$72,MATCH('Campus Enrol Disaggregation'!$O64,'College Enrollment Projections'!$AI$2:$AI$72,0),MATCH('Campus Enrol Disaggregation'!Q$2,'College Enrollment Projections'!$AJ$1:$AP$1,0)),50)</f>
        <v>2800</v>
      </c>
      <c r="R64" s="114">
        <f>MROUND(R$3*INDEX('College Enrollment Projections'!$AJ$2:$AP$72,MATCH('Campus Enrol Disaggregation'!$O64,'College Enrollment Projections'!$AI$2:$AI$72,0),MATCH('Campus Enrol Disaggregation'!R$2,'College Enrollment Projections'!$AJ$1:$AP$1,0)),50)</f>
        <v>26900</v>
      </c>
      <c r="S64" s="114">
        <f>MROUND(S$3*INDEX('College Enrollment Projections'!$AJ$2:$AP$72,MATCH('Campus Enrol Disaggregation'!$O64,'College Enrollment Projections'!$AI$2:$AI$72,0),MATCH('Campus Enrol Disaggregation'!S$2,'College Enrollment Projections'!$AJ$1:$AP$1,0)),50)</f>
        <v>5250</v>
      </c>
      <c r="T64" s="114">
        <f>MROUND(T$3*INDEX('College Enrollment Projections'!$AJ$2:$AP$72,MATCH('Campus Enrol Disaggregation'!$O64,'College Enrollment Projections'!$AI$2:$AI$72,0),MATCH('Campus Enrol Disaggregation'!T$2,'College Enrollment Projections'!$AJ$1:$AP$1,0)),50)</f>
        <v>650</v>
      </c>
      <c r="U64" s="114">
        <f>MROUND(U$3*INDEX('College Enrollment Projections'!$AJ$2:$AP$72,MATCH('Campus Enrol Disaggregation'!$O64,'College Enrollment Projections'!$AI$2:$AI$72,0),MATCH('Campus Enrol Disaggregation'!U$2,'College Enrollment Projections'!$AJ$1:$AP$1,0)),50)</f>
        <v>4000</v>
      </c>
      <c r="V64" s="114">
        <f>MROUND(V$3*INDEX('College Enrollment Projections'!$AJ$2:$AP$72,MATCH('Campus Enrol Disaggregation'!$O64,'College Enrollment Projections'!$AI$2:$AI$72,0),MATCH('Campus Enrol Disaggregation'!V$2,'College Enrollment Projections'!$AJ$1:$AP$1,0)),50)</f>
        <v>42300</v>
      </c>
      <c r="W64" s="115">
        <f>MROUND(INDEX('MAG College Enrollment Forecast'!$B$4:$H$74,MATCH($O64,'MAG College Enrollment Forecast'!$A$4:$A$74,0),MATCH(W$4,'MAG College Enrollment Forecast'!$B$1:$H$1,0)),50)</f>
        <v>67050</v>
      </c>
      <c r="X64" s="115">
        <f>MROUND(INDEX('MAG College Enrollment Forecast'!$B$4:$H$74,MATCH($O64,'MAG College Enrollment Forecast'!$A$4:$A$74,0),MATCH(X$4,'MAG College Enrollment Forecast'!$B$1:$H$1,0)),50)</f>
        <v>2550</v>
      </c>
      <c r="Y64" s="115">
        <f>MROUND(INDEX('MAG College Enrollment Forecast'!$B$4:$H$74,MATCH($O64,'MAG College Enrollment Forecast'!$A$4:$A$74,0),MATCH(Y$4,'MAG College Enrollment Forecast'!$B$1:$H$1,0)),50)</f>
        <v>2900</v>
      </c>
      <c r="Z64" s="115">
        <f>MROUND(INDEX('MAG College Enrollment Forecast'!$B$4:$H$74,MATCH($O64,'MAG College Enrollment Forecast'!$A$4:$A$74,0),MATCH(Z$4,'MAG College Enrollment Forecast'!$B$1:$H$1,0)),50)</f>
        <v>4100</v>
      </c>
      <c r="AA64" s="116">
        <f>MROUND(AA$3*INDEX('College Enrollment Projections'!$AJ$2:$AP$72,MATCH('Campus Enrol Disaggregation'!$O64,'College Enrollment Projections'!$AI$2:$AI$72,0),MATCH('Campus Enrol Disaggregation'!AA$2,'College Enrollment Projections'!$AJ$1:$AP$1,0)),50)</f>
        <v>34800</v>
      </c>
      <c r="AB64" s="116">
        <f>MROUND(AB$3*INDEX('College Enrollment Projections'!$AJ$2:$AP$72,MATCH('Campus Enrol Disaggregation'!$O64,'College Enrollment Projections'!$AI$2:$AI$72,0),MATCH('Campus Enrol Disaggregation'!AB$2,'College Enrollment Projections'!$AJ$1:$AP$1,0)),50)</f>
        <v>7000</v>
      </c>
      <c r="AC64" s="116">
        <f>MROUND(AC$3*INDEX('College Enrollment Projections'!$AJ$2:$AP$72,MATCH('Campus Enrol Disaggregation'!$O64,'College Enrollment Projections'!$AI$2:$AI$72,0),MATCH('Campus Enrol Disaggregation'!AC$2,'College Enrollment Projections'!$AJ$1:$AP$1,0)),50)</f>
        <v>2800</v>
      </c>
      <c r="AD64" s="117">
        <f t="shared" si="0"/>
        <v>242400</v>
      </c>
    </row>
    <row r="65" spans="15:30">
      <c r="O65" s="3">
        <v>2050</v>
      </c>
      <c r="P65" s="114">
        <f>MROUND(P$3*INDEX('College Enrollment Projections'!$AJ$2:$AP$72,MATCH('Campus Enrol Disaggregation'!$O65,'College Enrollment Projections'!$AI$2:$AI$72,0),MATCH('Campus Enrol Disaggregation'!P$2,'College Enrollment Projections'!$AJ$1:$AP$1,0)),50)</f>
        <v>39300</v>
      </c>
      <c r="Q65" s="114">
        <f>MROUND(Q$3*INDEX('College Enrollment Projections'!$AJ$2:$AP$72,MATCH('Campus Enrol Disaggregation'!$O65,'College Enrollment Projections'!$AI$2:$AI$72,0),MATCH('Campus Enrol Disaggregation'!Q$2,'College Enrollment Projections'!$AJ$1:$AP$1,0)),50)</f>
        <v>2850</v>
      </c>
      <c r="R65" s="114">
        <f>MROUND(R$3*INDEX('College Enrollment Projections'!$AJ$2:$AP$72,MATCH('Campus Enrol Disaggregation'!$O65,'College Enrollment Projections'!$AI$2:$AI$72,0),MATCH('Campus Enrol Disaggregation'!R$2,'College Enrollment Projections'!$AJ$1:$AP$1,0)),50)</f>
        <v>27100</v>
      </c>
      <c r="S65" s="114">
        <f>MROUND(S$3*INDEX('College Enrollment Projections'!$AJ$2:$AP$72,MATCH('Campus Enrol Disaggregation'!$O65,'College Enrollment Projections'!$AI$2:$AI$72,0),MATCH('Campus Enrol Disaggregation'!S$2,'College Enrollment Projections'!$AJ$1:$AP$1,0)),50)</f>
        <v>5300</v>
      </c>
      <c r="T65" s="114">
        <f>MROUND(T$3*INDEX('College Enrollment Projections'!$AJ$2:$AP$72,MATCH('Campus Enrol Disaggregation'!$O65,'College Enrollment Projections'!$AI$2:$AI$72,0),MATCH('Campus Enrol Disaggregation'!T$2,'College Enrollment Projections'!$AJ$1:$AP$1,0)),50)</f>
        <v>650</v>
      </c>
      <c r="U65" s="114">
        <f>MROUND(U$3*INDEX('College Enrollment Projections'!$AJ$2:$AP$72,MATCH('Campus Enrol Disaggregation'!$O65,'College Enrollment Projections'!$AI$2:$AI$72,0),MATCH('Campus Enrol Disaggregation'!U$2,'College Enrollment Projections'!$AJ$1:$AP$1,0)),50)</f>
        <v>4050</v>
      </c>
      <c r="V65" s="114">
        <f>MROUND(V$3*INDEX('College Enrollment Projections'!$AJ$2:$AP$72,MATCH('Campus Enrol Disaggregation'!$O65,'College Enrollment Projections'!$AI$2:$AI$72,0),MATCH('Campus Enrol Disaggregation'!V$2,'College Enrollment Projections'!$AJ$1:$AP$1,0)),50)</f>
        <v>42600</v>
      </c>
      <c r="W65" s="115">
        <f>MROUND(INDEX('MAG College Enrollment Forecast'!$B$4:$H$74,MATCH($O65,'MAG College Enrollment Forecast'!$A$4:$A$74,0),MATCH(W$4,'MAG College Enrollment Forecast'!$B$1:$H$1,0)),50)</f>
        <v>68000</v>
      </c>
      <c r="X65" s="115">
        <f>MROUND(INDEX('MAG College Enrollment Forecast'!$B$4:$H$74,MATCH($O65,'MAG College Enrollment Forecast'!$A$4:$A$74,0),MATCH(X$4,'MAG College Enrollment Forecast'!$B$1:$H$1,0)),50)</f>
        <v>2600</v>
      </c>
      <c r="Y65" s="115">
        <f>MROUND(INDEX('MAG College Enrollment Forecast'!$B$4:$H$74,MATCH($O65,'MAG College Enrollment Forecast'!$A$4:$A$74,0),MATCH(Y$4,'MAG College Enrollment Forecast'!$B$1:$H$1,0)),50)</f>
        <v>3000</v>
      </c>
      <c r="Z65" s="115">
        <f>MROUND(INDEX('MAG College Enrollment Forecast'!$B$4:$H$74,MATCH($O65,'MAG College Enrollment Forecast'!$A$4:$A$74,0),MATCH(Z$4,'MAG College Enrollment Forecast'!$B$1:$H$1,0)),50)</f>
        <v>4300</v>
      </c>
      <c r="AA65" s="116">
        <f>MROUND(AA$3*INDEX('College Enrollment Projections'!$AJ$2:$AP$72,MATCH('Campus Enrol Disaggregation'!$O65,'College Enrollment Projections'!$AI$2:$AI$72,0),MATCH('Campus Enrol Disaggregation'!AA$2,'College Enrollment Projections'!$AJ$1:$AP$1,0)),50)</f>
        <v>35150</v>
      </c>
      <c r="AB65" s="116">
        <f>MROUND(AB$3*INDEX('College Enrollment Projections'!$AJ$2:$AP$72,MATCH('Campus Enrol Disaggregation'!$O65,'College Enrollment Projections'!$AI$2:$AI$72,0),MATCH('Campus Enrol Disaggregation'!AB$2,'College Enrollment Projections'!$AJ$1:$AP$1,0)),50)</f>
        <v>7050</v>
      </c>
      <c r="AC65" s="116">
        <f>MROUND(AC$3*INDEX('College Enrollment Projections'!$AJ$2:$AP$72,MATCH('Campus Enrol Disaggregation'!$O65,'College Enrollment Projections'!$AI$2:$AI$72,0),MATCH('Campus Enrol Disaggregation'!AC$2,'College Enrollment Projections'!$AJ$1:$AP$1,0)),50)</f>
        <v>2900</v>
      </c>
      <c r="AD65" s="117">
        <f t="shared" si="0"/>
        <v>244850</v>
      </c>
    </row>
    <row r="66" spans="15:30">
      <c r="O66" s="3">
        <v>2051</v>
      </c>
      <c r="P66" s="114">
        <f>MROUND(P$3*INDEX('College Enrollment Projections'!$AJ$2:$AP$72,MATCH('Campus Enrol Disaggregation'!$O66,'College Enrollment Projections'!$AI$2:$AI$72,0),MATCH('Campus Enrol Disaggregation'!P$2,'College Enrollment Projections'!$AJ$1:$AP$1,0)),50)</f>
        <v>39300</v>
      </c>
      <c r="Q66" s="114">
        <f>MROUND(Q$3*INDEX('College Enrollment Projections'!$AJ$2:$AP$72,MATCH('Campus Enrol Disaggregation'!$O66,'College Enrollment Projections'!$AI$2:$AI$72,0),MATCH('Campus Enrol Disaggregation'!Q$2,'College Enrollment Projections'!$AJ$1:$AP$1,0)),50)</f>
        <v>2900</v>
      </c>
      <c r="R66" s="114">
        <f>MROUND(R$3*INDEX('College Enrollment Projections'!$AJ$2:$AP$72,MATCH('Campus Enrol Disaggregation'!$O66,'College Enrollment Projections'!$AI$2:$AI$72,0),MATCH('Campus Enrol Disaggregation'!R$2,'College Enrollment Projections'!$AJ$1:$AP$1,0)),50)</f>
        <v>27350</v>
      </c>
      <c r="S66" s="114">
        <f>MROUND(S$3*INDEX('College Enrollment Projections'!$AJ$2:$AP$72,MATCH('Campus Enrol Disaggregation'!$O66,'College Enrollment Projections'!$AI$2:$AI$72,0),MATCH('Campus Enrol Disaggregation'!S$2,'College Enrollment Projections'!$AJ$1:$AP$1,0)),50)</f>
        <v>5350</v>
      </c>
      <c r="T66" s="114">
        <f>MROUND(T$3*INDEX('College Enrollment Projections'!$AJ$2:$AP$72,MATCH('Campus Enrol Disaggregation'!$O66,'College Enrollment Projections'!$AI$2:$AI$72,0),MATCH('Campus Enrol Disaggregation'!T$2,'College Enrollment Projections'!$AJ$1:$AP$1,0)),50)</f>
        <v>650</v>
      </c>
      <c r="U66" s="114">
        <f>MROUND(U$3*INDEX('College Enrollment Projections'!$AJ$2:$AP$72,MATCH('Campus Enrol Disaggregation'!$O66,'College Enrollment Projections'!$AI$2:$AI$72,0),MATCH('Campus Enrol Disaggregation'!U$2,'College Enrollment Projections'!$AJ$1:$AP$1,0)),50)</f>
        <v>4050</v>
      </c>
      <c r="V66" s="114">
        <f>MROUND(V$3*INDEX('College Enrollment Projections'!$AJ$2:$AP$72,MATCH('Campus Enrol Disaggregation'!$O66,'College Enrollment Projections'!$AI$2:$AI$72,0),MATCH('Campus Enrol Disaggregation'!V$2,'College Enrollment Projections'!$AJ$1:$AP$1,0)),50)</f>
        <v>42850</v>
      </c>
      <c r="W66" s="115">
        <f>MROUND(INDEX('MAG College Enrollment Forecast'!$B$4:$H$74,MATCH($O66,'MAG College Enrollment Forecast'!$A$4:$A$74,0),MATCH(W$4,'MAG College Enrollment Forecast'!$B$1:$H$1,0)),50)</f>
        <v>68000</v>
      </c>
      <c r="X66" s="115">
        <f>MROUND(INDEX('MAG College Enrollment Forecast'!$B$4:$H$74,MATCH($O66,'MAG College Enrollment Forecast'!$A$4:$A$74,0),MATCH(X$4,'MAG College Enrollment Forecast'!$B$1:$H$1,0)),50)</f>
        <v>2600</v>
      </c>
      <c r="Y66" s="115">
        <f>MROUND(INDEX('MAG College Enrollment Forecast'!$B$4:$H$74,MATCH($O66,'MAG College Enrollment Forecast'!$A$4:$A$74,0),MATCH(Y$4,'MAG College Enrollment Forecast'!$B$1:$H$1,0)),50)</f>
        <v>3000</v>
      </c>
      <c r="Z66" s="115">
        <f>MROUND(INDEX('MAG College Enrollment Forecast'!$B$4:$H$74,MATCH($O66,'MAG College Enrollment Forecast'!$A$4:$A$74,0),MATCH(Z$4,'MAG College Enrollment Forecast'!$B$1:$H$1,0)),50)</f>
        <v>4300</v>
      </c>
      <c r="AA66" s="116">
        <f>MROUND(AA$3*INDEX('College Enrollment Projections'!$AJ$2:$AP$72,MATCH('Campus Enrol Disaggregation'!$O66,'College Enrollment Projections'!$AI$2:$AI$72,0),MATCH('Campus Enrol Disaggregation'!AA$2,'College Enrollment Projections'!$AJ$1:$AP$1,0)),50)</f>
        <v>35550</v>
      </c>
      <c r="AB66" s="116">
        <f>MROUND(AB$3*INDEX('College Enrollment Projections'!$AJ$2:$AP$72,MATCH('Campus Enrol Disaggregation'!$O66,'College Enrollment Projections'!$AI$2:$AI$72,0),MATCH('Campus Enrol Disaggregation'!AB$2,'College Enrollment Projections'!$AJ$1:$AP$1,0)),50)</f>
        <v>7150</v>
      </c>
      <c r="AC66" s="116">
        <f>MROUND(AC$3*INDEX('College Enrollment Projections'!$AJ$2:$AP$72,MATCH('Campus Enrol Disaggregation'!$O66,'College Enrollment Projections'!$AI$2:$AI$72,0),MATCH('Campus Enrol Disaggregation'!AC$2,'College Enrollment Projections'!$AJ$1:$AP$1,0)),50)</f>
        <v>2950</v>
      </c>
      <c r="AD66" s="117">
        <f t="shared" si="0"/>
        <v>246000</v>
      </c>
    </row>
    <row r="67" spans="15:30">
      <c r="O67" s="3">
        <v>2052</v>
      </c>
      <c r="P67" s="114">
        <f>MROUND(P$3*INDEX('College Enrollment Projections'!$AJ$2:$AP$72,MATCH('Campus Enrol Disaggregation'!$O67,'College Enrollment Projections'!$AI$2:$AI$72,0),MATCH('Campus Enrol Disaggregation'!P$2,'College Enrollment Projections'!$AJ$1:$AP$1,0)),50)</f>
        <v>39300</v>
      </c>
      <c r="Q67" s="114">
        <f>MROUND(Q$3*INDEX('College Enrollment Projections'!$AJ$2:$AP$72,MATCH('Campus Enrol Disaggregation'!$O67,'College Enrollment Projections'!$AI$2:$AI$72,0),MATCH('Campus Enrol Disaggregation'!Q$2,'College Enrollment Projections'!$AJ$1:$AP$1,0)),50)</f>
        <v>2900</v>
      </c>
      <c r="R67" s="114">
        <f>MROUND(R$3*INDEX('College Enrollment Projections'!$AJ$2:$AP$72,MATCH('Campus Enrol Disaggregation'!$O67,'College Enrollment Projections'!$AI$2:$AI$72,0),MATCH('Campus Enrol Disaggregation'!R$2,'College Enrollment Projections'!$AJ$1:$AP$1,0)),50)</f>
        <v>27550</v>
      </c>
      <c r="S67" s="114">
        <f>MROUND(S$3*INDEX('College Enrollment Projections'!$AJ$2:$AP$72,MATCH('Campus Enrol Disaggregation'!$O67,'College Enrollment Projections'!$AI$2:$AI$72,0),MATCH('Campus Enrol Disaggregation'!S$2,'College Enrollment Projections'!$AJ$1:$AP$1,0)),50)</f>
        <v>5400</v>
      </c>
      <c r="T67" s="114">
        <f>MROUND(T$3*INDEX('College Enrollment Projections'!$AJ$2:$AP$72,MATCH('Campus Enrol Disaggregation'!$O67,'College Enrollment Projections'!$AI$2:$AI$72,0),MATCH('Campus Enrol Disaggregation'!T$2,'College Enrollment Projections'!$AJ$1:$AP$1,0)),50)</f>
        <v>650</v>
      </c>
      <c r="U67" s="114">
        <f>MROUND(U$3*INDEX('College Enrollment Projections'!$AJ$2:$AP$72,MATCH('Campus Enrol Disaggregation'!$O67,'College Enrollment Projections'!$AI$2:$AI$72,0),MATCH('Campus Enrol Disaggregation'!U$2,'College Enrollment Projections'!$AJ$1:$AP$1,0)),50)</f>
        <v>4100</v>
      </c>
      <c r="V67" s="114">
        <f>MROUND(V$3*INDEX('College Enrollment Projections'!$AJ$2:$AP$72,MATCH('Campus Enrol Disaggregation'!$O67,'College Enrollment Projections'!$AI$2:$AI$72,0),MATCH('Campus Enrol Disaggregation'!V$2,'College Enrollment Projections'!$AJ$1:$AP$1,0)),50)</f>
        <v>43150</v>
      </c>
      <c r="W67" s="115">
        <f>MROUND(INDEX('MAG College Enrollment Forecast'!$B$4:$H$74,MATCH($O67,'MAG College Enrollment Forecast'!$A$4:$A$74,0),MATCH(W$4,'MAG College Enrollment Forecast'!$B$1:$H$1,0)),50)</f>
        <v>68000</v>
      </c>
      <c r="X67" s="115">
        <f>MROUND(INDEX('MAG College Enrollment Forecast'!$B$4:$H$74,MATCH($O67,'MAG College Enrollment Forecast'!$A$4:$A$74,0),MATCH(X$4,'MAG College Enrollment Forecast'!$B$1:$H$1,0)),50)</f>
        <v>2600</v>
      </c>
      <c r="Y67" s="115">
        <f>MROUND(INDEX('MAG College Enrollment Forecast'!$B$4:$H$74,MATCH($O67,'MAG College Enrollment Forecast'!$A$4:$A$74,0),MATCH(Y$4,'MAG College Enrollment Forecast'!$B$1:$H$1,0)),50)</f>
        <v>3000</v>
      </c>
      <c r="Z67" s="115">
        <f>MROUND(INDEX('MAG College Enrollment Forecast'!$B$4:$H$74,MATCH($O67,'MAG College Enrollment Forecast'!$A$4:$A$74,0),MATCH(Z$4,'MAG College Enrollment Forecast'!$B$1:$H$1,0)),50)</f>
        <v>4300</v>
      </c>
      <c r="AA67" s="116">
        <f>MROUND(AA$3*INDEX('College Enrollment Projections'!$AJ$2:$AP$72,MATCH('Campus Enrol Disaggregation'!$O67,'College Enrollment Projections'!$AI$2:$AI$72,0),MATCH('Campus Enrol Disaggregation'!AA$2,'College Enrollment Projections'!$AJ$1:$AP$1,0)),50)</f>
        <v>35900</v>
      </c>
      <c r="AB67" s="116">
        <f>MROUND(AB$3*INDEX('College Enrollment Projections'!$AJ$2:$AP$72,MATCH('Campus Enrol Disaggregation'!$O67,'College Enrollment Projections'!$AI$2:$AI$72,0),MATCH('Campus Enrol Disaggregation'!AB$2,'College Enrollment Projections'!$AJ$1:$AP$1,0)),50)</f>
        <v>7200</v>
      </c>
      <c r="AC67" s="116">
        <f>MROUND(AC$3*INDEX('College Enrollment Projections'!$AJ$2:$AP$72,MATCH('Campus Enrol Disaggregation'!$O67,'College Enrollment Projections'!$AI$2:$AI$72,0),MATCH('Campus Enrol Disaggregation'!AC$2,'College Enrollment Projections'!$AJ$1:$AP$1,0)),50)</f>
        <v>3000</v>
      </c>
      <c r="AD67" s="117">
        <f t="shared" si="0"/>
        <v>247050</v>
      </c>
    </row>
    <row r="68" spans="15:30">
      <c r="O68" s="3">
        <v>2053</v>
      </c>
      <c r="P68" s="114">
        <f>MROUND(P$3*INDEX('College Enrollment Projections'!$AJ$2:$AP$72,MATCH('Campus Enrol Disaggregation'!$O68,'College Enrollment Projections'!$AI$2:$AI$72,0),MATCH('Campus Enrol Disaggregation'!P$2,'College Enrollment Projections'!$AJ$1:$AP$1,0)),50)</f>
        <v>39300</v>
      </c>
      <c r="Q68" s="114">
        <f>MROUND(Q$3*INDEX('College Enrollment Projections'!$AJ$2:$AP$72,MATCH('Campus Enrol Disaggregation'!$O68,'College Enrollment Projections'!$AI$2:$AI$72,0),MATCH('Campus Enrol Disaggregation'!Q$2,'College Enrollment Projections'!$AJ$1:$AP$1,0)),50)</f>
        <v>2950</v>
      </c>
      <c r="R68" s="114">
        <f>MROUND(R$3*INDEX('College Enrollment Projections'!$AJ$2:$AP$72,MATCH('Campus Enrol Disaggregation'!$O68,'College Enrollment Projections'!$AI$2:$AI$72,0),MATCH('Campus Enrol Disaggregation'!R$2,'College Enrollment Projections'!$AJ$1:$AP$1,0)),50)</f>
        <v>27800</v>
      </c>
      <c r="S68" s="114">
        <f>MROUND(S$3*INDEX('College Enrollment Projections'!$AJ$2:$AP$72,MATCH('Campus Enrol Disaggregation'!$O68,'College Enrollment Projections'!$AI$2:$AI$72,0),MATCH('Campus Enrol Disaggregation'!S$2,'College Enrollment Projections'!$AJ$1:$AP$1,0)),50)</f>
        <v>5400</v>
      </c>
      <c r="T68" s="114">
        <f>MROUND(T$3*INDEX('College Enrollment Projections'!$AJ$2:$AP$72,MATCH('Campus Enrol Disaggregation'!$O68,'College Enrollment Projections'!$AI$2:$AI$72,0),MATCH('Campus Enrol Disaggregation'!T$2,'College Enrollment Projections'!$AJ$1:$AP$1,0)),50)</f>
        <v>650</v>
      </c>
      <c r="U68" s="114">
        <f>MROUND(U$3*INDEX('College Enrollment Projections'!$AJ$2:$AP$72,MATCH('Campus Enrol Disaggregation'!$O68,'College Enrollment Projections'!$AI$2:$AI$72,0),MATCH('Campus Enrol Disaggregation'!U$2,'College Enrollment Projections'!$AJ$1:$AP$1,0)),50)</f>
        <v>4150</v>
      </c>
      <c r="V68" s="114">
        <f>MROUND(V$3*INDEX('College Enrollment Projections'!$AJ$2:$AP$72,MATCH('Campus Enrol Disaggregation'!$O68,'College Enrollment Projections'!$AI$2:$AI$72,0),MATCH('Campus Enrol Disaggregation'!V$2,'College Enrollment Projections'!$AJ$1:$AP$1,0)),50)</f>
        <v>43450</v>
      </c>
      <c r="W68" s="115">
        <f>MROUND(INDEX('MAG College Enrollment Forecast'!$B$4:$H$74,MATCH($O68,'MAG College Enrollment Forecast'!$A$4:$A$74,0),MATCH(W$4,'MAG College Enrollment Forecast'!$B$1:$H$1,0)),50)</f>
        <v>68000</v>
      </c>
      <c r="X68" s="115">
        <f>MROUND(INDEX('MAG College Enrollment Forecast'!$B$4:$H$74,MATCH($O68,'MAG College Enrollment Forecast'!$A$4:$A$74,0),MATCH(X$4,'MAG College Enrollment Forecast'!$B$1:$H$1,0)),50)</f>
        <v>2600</v>
      </c>
      <c r="Y68" s="115">
        <f>MROUND(INDEX('MAG College Enrollment Forecast'!$B$4:$H$74,MATCH($O68,'MAG College Enrollment Forecast'!$A$4:$A$74,0),MATCH(Y$4,'MAG College Enrollment Forecast'!$B$1:$H$1,0)),50)</f>
        <v>3000</v>
      </c>
      <c r="Z68" s="115">
        <f>MROUND(INDEX('MAG College Enrollment Forecast'!$B$4:$H$74,MATCH($O68,'MAG College Enrollment Forecast'!$A$4:$A$74,0),MATCH(Z$4,'MAG College Enrollment Forecast'!$B$1:$H$1,0)),50)</f>
        <v>4300</v>
      </c>
      <c r="AA68" s="116">
        <f>MROUND(AA$3*INDEX('College Enrollment Projections'!$AJ$2:$AP$72,MATCH('Campus Enrol Disaggregation'!$O68,'College Enrollment Projections'!$AI$2:$AI$72,0),MATCH('Campus Enrol Disaggregation'!AA$2,'College Enrollment Projections'!$AJ$1:$AP$1,0)),50)</f>
        <v>36300</v>
      </c>
      <c r="AB68" s="116">
        <f>MROUND(AB$3*INDEX('College Enrollment Projections'!$AJ$2:$AP$72,MATCH('Campus Enrol Disaggregation'!$O68,'College Enrollment Projections'!$AI$2:$AI$72,0),MATCH('Campus Enrol Disaggregation'!AB$2,'College Enrollment Projections'!$AJ$1:$AP$1,0)),50)</f>
        <v>7300</v>
      </c>
      <c r="AC68" s="116">
        <f>MROUND(AC$3*INDEX('College Enrollment Projections'!$AJ$2:$AP$72,MATCH('Campus Enrol Disaggregation'!$O68,'College Enrollment Projections'!$AI$2:$AI$72,0),MATCH('Campus Enrol Disaggregation'!AC$2,'College Enrollment Projections'!$AJ$1:$AP$1,0)),50)</f>
        <v>3050</v>
      </c>
      <c r="AD68" s="117">
        <f t="shared" si="0"/>
        <v>248250</v>
      </c>
    </row>
    <row r="69" spans="15:30">
      <c r="O69" s="3">
        <v>2054</v>
      </c>
      <c r="P69" s="114">
        <f>MROUND(P$3*INDEX('College Enrollment Projections'!$AJ$2:$AP$72,MATCH('Campus Enrol Disaggregation'!$O69,'College Enrollment Projections'!$AI$2:$AI$72,0),MATCH('Campus Enrol Disaggregation'!P$2,'College Enrollment Projections'!$AJ$1:$AP$1,0)),50)</f>
        <v>39300</v>
      </c>
      <c r="Q69" s="114">
        <f>MROUND(Q$3*INDEX('College Enrollment Projections'!$AJ$2:$AP$72,MATCH('Campus Enrol Disaggregation'!$O69,'College Enrollment Projections'!$AI$2:$AI$72,0),MATCH('Campus Enrol Disaggregation'!Q$2,'College Enrollment Projections'!$AJ$1:$AP$1,0)),50)</f>
        <v>3000</v>
      </c>
      <c r="R69" s="114">
        <f>MROUND(R$3*INDEX('College Enrollment Projections'!$AJ$2:$AP$72,MATCH('Campus Enrol Disaggregation'!$O69,'College Enrollment Projections'!$AI$2:$AI$72,0),MATCH('Campus Enrol Disaggregation'!R$2,'College Enrollment Projections'!$AJ$1:$AP$1,0)),50)</f>
        <v>28050</v>
      </c>
      <c r="S69" s="114">
        <f>MROUND(S$3*INDEX('College Enrollment Projections'!$AJ$2:$AP$72,MATCH('Campus Enrol Disaggregation'!$O69,'College Enrollment Projections'!$AI$2:$AI$72,0),MATCH('Campus Enrol Disaggregation'!S$2,'College Enrollment Projections'!$AJ$1:$AP$1,0)),50)</f>
        <v>5450</v>
      </c>
      <c r="T69" s="114">
        <f>MROUND(T$3*INDEX('College Enrollment Projections'!$AJ$2:$AP$72,MATCH('Campus Enrol Disaggregation'!$O69,'College Enrollment Projections'!$AI$2:$AI$72,0),MATCH('Campus Enrol Disaggregation'!T$2,'College Enrollment Projections'!$AJ$1:$AP$1,0)),50)</f>
        <v>650</v>
      </c>
      <c r="U69" s="114">
        <f>MROUND(U$3*INDEX('College Enrollment Projections'!$AJ$2:$AP$72,MATCH('Campus Enrol Disaggregation'!$O69,'College Enrollment Projections'!$AI$2:$AI$72,0),MATCH('Campus Enrol Disaggregation'!U$2,'College Enrollment Projections'!$AJ$1:$AP$1,0)),50)</f>
        <v>4150</v>
      </c>
      <c r="V69" s="114">
        <f>MROUND(V$3*INDEX('College Enrollment Projections'!$AJ$2:$AP$72,MATCH('Campus Enrol Disaggregation'!$O69,'College Enrollment Projections'!$AI$2:$AI$72,0),MATCH('Campus Enrol Disaggregation'!V$2,'College Enrollment Projections'!$AJ$1:$AP$1,0)),50)</f>
        <v>43750</v>
      </c>
      <c r="W69" s="115">
        <f>MROUND(INDEX('MAG College Enrollment Forecast'!$B$4:$H$74,MATCH($O69,'MAG College Enrollment Forecast'!$A$4:$A$74,0),MATCH(W$4,'MAG College Enrollment Forecast'!$B$1:$H$1,0)),50)</f>
        <v>68000</v>
      </c>
      <c r="X69" s="115">
        <f>MROUND(INDEX('MAG College Enrollment Forecast'!$B$4:$H$74,MATCH($O69,'MAG College Enrollment Forecast'!$A$4:$A$74,0),MATCH(X$4,'MAG College Enrollment Forecast'!$B$1:$H$1,0)),50)</f>
        <v>2600</v>
      </c>
      <c r="Y69" s="115">
        <f>MROUND(INDEX('MAG College Enrollment Forecast'!$B$4:$H$74,MATCH($O69,'MAG College Enrollment Forecast'!$A$4:$A$74,0),MATCH(Y$4,'MAG College Enrollment Forecast'!$B$1:$H$1,0)),50)</f>
        <v>3000</v>
      </c>
      <c r="Z69" s="115">
        <f>MROUND(INDEX('MAG College Enrollment Forecast'!$B$4:$H$74,MATCH($O69,'MAG College Enrollment Forecast'!$A$4:$A$74,0),MATCH(Z$4,'MAG College Enrollment Forecast'!$B$1:$H$1,0)),50)</f>
        <v>4300</v>
      </c>
      <c r="AA69" s="116">
        <f>MROUND(AA$3*INDEX('College Enrollment Projections'!$AJ$2:$AP$72,MATCH('Campus Enrol Disaggregation'!$O69,'College Enrollment Projections'!$AI$2:$AI$72,0),MATCH('Campus Enrol Disaggregation'!AA$2,'College Enrollment Projections'!$AJ$1:$AP$1,0)),50)</f>
        <v>36700</v>
      </c>
      <c r="AB69" s="116">
        <f>MROUND(AB$3*INDEX('College Enrollment Projections'!$AJ$2:$AP$72,MATCH('Campus Enrol Disaggregation'!$O69,'College Enrollment Projections'!$AI$2:$AI$72,0),MATCH('Campus Enrol Disaggregation'!AB$2,'College Enrollment Projections'!$AJ$1:$AP$1,0)),50)</f>
        <v>7350</v>
      </c>
      <c r="AC69" s="116">
        <f>MROUND(AC$3*INDEX('College Enrollment Projections'!$AJ$2:$AP$72,MATCH('Campus Enrol Disaggregation'!$O69,'College Enrollment Projections'!$AI$2:$AI$72,0),MATCH('Campus Enrol Disaggregation'!AC$2,'College Enrollment Projections'!$AJ$1:$AP$1,0)),50)</f>
        <v>3150</v>
      </c>
      <c r="AD69" s="117">
        <f t="shared" si="0"/>
        <v>249450</v>
      </c>
    </row>
    <row r="70" spans="15:30">
      <c r="O70" s="3">
        <v>2055</v>
      </c>
      <c r="P70" s="114">
        <f>MROUND(P$3*INDEX('College Enrollment Projections'!$AJ$2:$AP$72,MATCH('Campus Enrol Disaggregation'!$O70,'College Enrollment Projections'!$AI$2:$AI$72,0),MATCH('Campus Enrol Disaggregation'!P$2,'College Enrollment Projections'!$AJ$1:$AP$1,0)),50)</f>
        <v>39300</v>
      </c>
      <c r="Q70" s="114">
        <f>MROUND(Q$3*INDEX('College Enrollment Projections'!$AJ$2:$AP$72,MATCH('Campus Enrol Disaggregation'!$O70,'College Enrollment Projections'!$AI$2:$AI$72,0),MATCH('Campus Enrol Disaggregation'!Q$2,'College Enrollment Projections'!$AJ$1:$AP$1,0)),50)</f>
        <v>3000</v>
      </c>
      <c r="R70" s="114">
        <f>MROUND(R$3*INDEX('College Enrollment Projections'!$AJ$2:$AP$72,MATCH('Campus Enrol Disaggregation'!$O70,'College Enrollment Projections'!$AI$2:$AI$72,0),MATCH('Campus Enrol Disaggregation'!R$2,'College Enrollment Projections'!$AJ$1:$AP$1,0)),50)</f>
        <v>28250</v>
      </c>
      <c r="S70" s="114">
        <f>MROUND(S$3*INDEX('College Enrollment Projections'!$AJ$2:$AP$72,MATCH('Campus Enrol Disaggregation'!$O70,'College Enrollment Projections'!$AI$2:$AI$72,0),MATCH('Campus Enrol Disaggregation'!S$2,'College Enrollment Projections'!$AJ$1:$AP$1,0)),50)</f>
        <v>5500</v>
      </c>
      <c r="T70" s="114">
        <f>MROUND(T$3*INDEX('College Enrollment Projections'!$AJ$2:$AP$72,MATCH('Campus Enrol Disaggregation'!$O70,'College Enrollment Projections'!$AI$2:$AI$72,0),MATCH('Campus Enrol Disaggregation'!T$2,'College Enrollment Projections'!$AJ$1:$AP$1,0)),50)</f>
        <v>650</v>
      </c>
      <c r="U70" s="114">
        <f>MROUND(U$3*INDEX('College Enrollment Projections'!$AJ$2:$AP$72,MATCH('Campus Enrol Disaggregation'!$O70,'College Enrollment Projections'!$AI$2:$AI$72,0),MATCH('Campus Enrol Disaggregation'!U$2,'College Enrollment Projections'!$AJ$1:$AP$1,0)),50)</f>
        <v>4200</v>
      </c>
      <c r="V70" s="114">
        <f>MROUND(V$3*INDEX('College Enrollment Projections'!$AJ$2:$AP$72,MATCH('Campus Enrol Disaggregation'!$O70,'College Enrollment Projections'!$AI$2:$AI$72,0),MATCH('Campus Enrol Disaggregation'!V$2,'College Enrollment Projections'!$AJ$1:$AP$1,0)),50)</f>
        <v>44050</v>
      </c>
      <c r="W70" s="115">
        <f>MROUND(INDEX('MAG College Enrollment Forecast'!$B$4:$H$74,MATCH($O70,'MAG College Enrollment Forecast'!$A$4:$A$74,0),MATCH(W$4,'MAG College Enrollment Forecast'!$B$1:$H$1,0)),50)</f>
        <v>68000</v>
      </c>
      <c r="X70" s="115">
        <f>MROUND(INDEX('MAG College Enrollment Forecast'!$B$4:$H$74,MATCH($O70,'MAG College Enrollment Forecast'!$A$4:$A$74,0),MATCH(X$4,'MAG College Enrollment Forecast'!$B$1:$H$1,0)),50)</f>
        <v>2600</v>
      </c>
      <c r="Y70" s="115">
        <f>MROUND(INDEX('MAG College Enrollment Forecast'!$B$4:$H$74,MATCH($O70,'MAG College Enrollment Forecast'!$A$4:$A$74,0),MATCH(Y$4,'MAG College Enrollment Forecast'!$B$1:$H$1,0)),50)</f>
        <v>3000</v>
      </c>
      <c r="Z70" s="115">
        <f>MROUND(INDEX('MAG College Enrollment Forecast'!$B$4:$H$74,MATCH($O70,'MAG College Enrollment Forecast'!$A$4:$A$74,0),MATCH(Z$4,'MAG College Enrollment Forecast'!$B$1:$H$1,0)),50)</f>
        <v>4300</v>
      </c>
      <c r="AA70" s="116">
        <f>MROUND(AA$3*INDEX('College Enrollment Projections'!$AJ$2:$AP$72,MATCH('Campus Enrol Disaggregation'!$O70,'College Enrollment Projections'!$AI$2:$AI$72,0),MATCH('Campus Enrol Disaggregation'!AA$2,'College Enrollment Projections'!$AJ$1:$AP$1,0)),50)</f>
        <v>37050</v>
      </c>
      <c r="AB70" s="116">
        <f>MROUND(AB$3*INDEX('College Enrollment Projections'!$AJ$2:$AP$72,MATCH('Campus Enrol Disaggregation'!$O70,'College Enrollment Projections'!$AI$2:$AI$72,0),MATCH('Campus Enrol Disaggregation'!AB$2,'College Enrollment Projections'!$AJ$1:$AP$1,0)),50)</f>
        <v>7450</v>
      </c>
      <c r="AC70" s="116">
        <f>MROUND(AC$3*INDEX('College Enrollment Projections'!$AJ$2:$AP$72,MATCH('Campus Enrol Disaggregation'!$O70,'College Enrollment Projections'!$AI$2:$AI$72,0),MATCH('Campus Enrol Disaggregation'!AC$2,'College Enrollment Projections'!$AJ$1:$AP$1,0)),50)</f>
        <v>3200</v>
      </c>
      <c r="AD70" s="117">
        <f t="shared" ref="AD70:AD75" si="1">SUM(P70:AC70)</f>
        <v>250550</v>
      </c>
    </row>
    <row r="71" spans="15:30">
      <c r="O71" s="3">
        <v>2056</v>
      </c>
      <c r="P71" s="114">
        <f>MROUND(P$3*INDEX('College Enrollment Projections'!$AJ$2:$AP$72,MATCH('Campus Enrol Disaggregation'!$O71,'College Enrollment Projections'!$AI$2:$AI$72,0),MATCH('Campus Enrol Disaggregation'!P$2,'College Enrollment Projections'!$AJ$1:$AP$1,0)),50)</f>
        <v>39300</v>
      </c>
      <c r="Q71" s="114">
        <f>MROUND(Q$3*INDEX('College Enrollment Projections'!$AJ$2:$AP$72,MATCH('Campus Enrol Disaggregation'!$O71,'College Enrollment Projections'!$AI$2:$AI$72,0),MATCH('Campus Enrol Disaggregation'!Q$2,'College Enrollment Projections'!$AJ$1:$AP$1,0)),50)</f>
        <v>3050</v>
      </c>
      <c r="R71" s="114">
        <f>MROUND(R$3*INDEX('College Enrollment Projections'!$AJ$2:$AP$72,MATCH('Campus Enrol Disaggregation'!$O71,'College Enrollment Projections'!$AI$2:$AI$72,0),MATCH('Campus Enrol Disaggregation'!R$2,'College Enrollment Projections'!$AJ$1:$AP$1,0)),50)</f>
        <v>28500</v>
      </c>
      <c r="S71" s="114">
        <f>MROUND(S$3*INDEX('College Enrollment Projections'!$AJ$2:$AP$72,MATCH('Campus Enrol Disaggregation'!$O71,'College Enrollment Projections'!$AI$2:$AI$72,0),MATCH('Campus Enrol Disaggregation'!S$2,'College Enrollment Projections'!$AJ$1:$AP$1,0)),50)</f>
        <v>5550</v>
      </c>
      <c r="T71" s="114">
        <f>MROUND(T$3*INDEX('College Enrollment Projections'!$AJ$2:$AP$72,MATCH('Campus Enrol Disaggregation'!$O71,'College Enrollment Projections'!$AI$2:$AI$72,0),MATCH('Campus Enrol Disaggregation'!T$2,'College Enrollment Projections'!$AJ$1:$AP$1,0)),50)</f>
        <v>650</v>
      </c>
      <c r="U71" s="114">
        <f>MROUND(U$3*INDEX('College Enrollment Projections'!$AJ$2:$AP$72,MATCH('Campus Enrol Disaggregation'!$O71,'College Enrollment Projections'!$AI$2:$AI$72,0),MATCH('Campus Enrol Disaggregation'!U$2,'College Enrollment Projections'!$AJ$1:$AP$1,0)),50)</f>
        <v>4250</v>
      </c>
      <c r="V71" s="114">
        <f>MROUND(V$3*INDEX('College Enrollment Projections'!$AJ$2:$AP$72,MATCH('Campus Enrol Disaggregation'!$O71,'College Enrollment Projections'!$AI$2:$AI$72,0),MATCH('Campus Enrol Disaggregation'!V$2,'College Enrollment Projections'!$AJ$1:$AP$1,0)),50)</f>
        <v>44350</v>
      </c>
      <c r="W71" s="115">
        <f>MROUND(INDEX('MAG College Enrollment Forecast'!$B$4:$H$74,MATCH($O71,'MAG College Enrollment Forecast'!$A$4:$A$74,0),MATCH(W$4,'MAG College Enrollment Forecast'!$B$1:$H$1,0)),50)</f>
        <v>68000</v>
      </c>
      <c r="X71" s="115">
        <f>MROUND(INDEX('MAG College Enrollment Forecast'!$B$4:$H$74,MATCH($O71,'MAG College Enrollment Forecast'!$A$4:$A$74,0),MATCH(X$4,'MAG College Enrollment Forecast'!$B$1:$H$1,0)),50)</f>
        <v>2600</v>
      </c>
      <c r="Y71" s="115">
        <f>MROUND(INDEX('MAG College Enrollment Forecast'!$B$4:$H$74,MATCH($O71,'MAG College Enrollment Forecast'!$A$4:$A$74,0),MATCH(Y$4,'MAG College Enrollment Forecast'!$B$1:$H$1,0)),50)</f>
        <v>3000</v>
      </c>
      <c r="Z71" s="115">
        <f>MROUND(INDEX('MAG College Enrollment Forecast'!$B$4:$H$74,MATCH($O71,'MAG College Enrollment Forecast'!$A$4:$A$74,0),MATCH(Z$4,'MAG College Enrollment Forecast'!$B$1:$H$1,0)),50)</f>
        <v>4300</v>
      </c>
      <c r="AA71" s="116">
        <f>MROUND(AA$3*INDEX('College Enrollment Projections'!$AJ$2:$AP$72,MATCH('Campus Enrol Disaggregation'!$O71,'College Enrollment Projections'!$AI$2:$AI$72,0),MATCH('Campus Enrol Disaggregation'!AA$2,'College Enrollment Projections'!$AJ$1:$AP$1,0)),50)</f>
        <v>37450</v>
      </c>
      <c r="AB71" s="116">
        <f>MROUND(AB$3*INDEX('College Enrollment Projections'!$AJ$2:$AP$72,MATCH('Campus Enrol Disaggregation'!$O71,'College Enrollment Projections'!$AI$2:$AI$72,0),MATCH('Campus Enrol Disaggregation'!AB$2,'College Enrollment Projections'!$AJ$1:$AP$1,0)),50)</f>
        <v>7500</v>
      </c>
      <c r="AC71" s="116">
        <f>MROUND(AC$3*INDEX('College Enrollment Projections'!$AJ$2:$AP$72,MATCH('Campus Enrol Disaggregation'!$O71,'College Enrollment Projections'!$AI$2:$AI$72,0),MATCH('Campus Enrol Disaggregation'!AC$2,'College Enrollment Projections'!$AJ$1:$AP$1,0)),50)</f>
        <v>3250</v>
      </c>
      <c r="AD71" s="117">
        <f t="shared" si="1"/>
        <v>251750</v>
      </c>
    </row>
    <row r="72" spans="15:30">
      <c r="O72" s="3">
        <v>2057</v>
      </c>
      <c r="P72" s="114">
        <f>MROUND(P$3*INDEX('College Enrollment Projections'!$AJ$2:$AP$72,MATCH('Campus Enrol Disaggregation'!$O72,'College Enrollment Projections'!$AI$2:$AI$72,0),MATCH('Campus Enrol Disaggregation'!P$2,'College Enrollment Projections'!$AJ$1:$AP$1,0)),50)</f>
        <v>39300</v>
      </c>
      <c r="Q72" s="114">
        <f>MROUND(Q$3*INDEX('College Enrollment Projections'!$AJ$2:$AP$72,MATCH('Campus Enrol Disaggregation'!$O72,'College Enrollment Projections'!$AI$2:$AI$72,0),MATCH('Campus Enrol Disaggregation'!Q$2,'College Enrollment Projections'!$AJ$1:$AP$1,0)),50)</f>
        <v>3100</v>
      </c>
      <c r="R72" s="114">
        <f>MROUND(R$3*INDEX('College Enrollment Projections'!$AJ$2:$AP$72,MATCH('Campus Enrol Disaggregation'!$O72,'College Enrollment Projections'!$AI$2:$AI$72,0),MATCH('Campus Enrol Disaggregation'!R$2,'College Enrollment Projections'!$AJ$1:$AP$1,0)),50)</f>
        <v>28750</v>
      </c>
      <c r="S72" s="114">
        <f>MROUND(S$3*INDEX('College Enrollment Projections'!$AJ$2:$AP$72,MATCH('Campus Enrol Disaggregation'!$O72,'College Enrollment Projections'!$AI$2:$AI$72,0),MATCH('Campus Enrol Disaggregation'!S$2,'College Enrollment Projections'!$AJ$1:$AP$1,0)),50)</f>
        <v>5600</v>
      </c>
      <c r="T72" s="114">
        <f>MROUND(T$3*INDEX('College Enrollment Projections'!$AJ$2:$AP$72,MATCH('Campus Enrol Disaggregation'!$O72,'College Enrollment Projections'!$AI$2:$AI$72,0),MATCH('Campus Enrol Disaggregation'!T$2,'College Enrollment Projections'!$AJ$1:$AP$1,0)),50)</f>
        <v>700</v>
      </c>
      <c r="U72" s="114">
        <f>MROUND(U$3*INDEX('College Enrollment Projections'!$AJ$2:$AP$72,MATCH('Campus Enrol Disaggregation'!$O72,'College Enrollment Projections'!$AI$2:$AI$72,0),MATCH('Campus Enrol Disaggregation'!U$2,'College Enrollment Projections'!$AJ$1:$AP$1,0)),50)</f>
        <v>4250</v>
      </c>
      <c r="V72" s="114">
        <f>MROUND(V$3*INDEX('College Enrollment Projections'!$AJ$2:$AP$72,MATCH('Campus Enrol Disaggregation'!$O72,'College Enrollment Projections'!$AI$2:$AI$72,0),MATCH('Campus Enrol Disaggregation'!V$2,'College Enrollment Projections'!$AJ$1:$AP$1,0)),50)</f>
        <v>44650</v>
      </c>
      <c r="W72" s="115">
        <f>MROUND(INDEX('MAG College Enrollment Forecast'!$B$4:$H$74,MATCH($O72,'MAG College Enrollment Forecast'!$A$4:$A$74,0),MATCH(W$4,'MAG College Enrollment Forecast'!$B$1:$H$1,0)),50)</f>
        <v>68000</v>
      </c>
      <c r="X72" s="115">
        <f>MROUND(INDEX('MAG College Enrollment Forecast'!$B$4:$H$74,MATCH($O72,'MAG College Enrollment Forecast'!$A$4:$A$74,0),MATCH(X$4,'MAG College Enrollment Forecast'!$B$1:$H$1,0)),50)</f>
        <v>2600</v>
      </c>
      <c r="Y72" s="115">
        <f>MROUND(INDEX('MAG College Enrollment Forecast'!$B$4:$H$74,MATCH($O72,'MAG College Enrollment Forecast'!$A$4:$A$74,0),MATCH(Y$4,'MAG College Enrollment Forecast'!$B$1:$H$1,0)),50)</f>
        <v>3000</v>
      </c>
      <c r="Z72" s="115">
        <f>MROUND(INDEX('MAG College Enrollment Forecast'!$B$4:$H$74,MATCH($O72,'MAG College Enrollment Forecast'!$A$4:$A$74,0),MATCH(Z$4,'MAG College Enrollment Forecast'!$B$1:$H$1,0)),50)</f>
        <v>4300</v>
      </c>
      <c r="AA72" s="116">
        <f>MROUND(AA$3*INDEX('College Enrollment Projections'!$AJ$2:$AP$72,MATCH('Campus Enrol Disaggregation'!$O72,'College Enrollment Projections'!$AI$2:$AI$72,0),MATCH('Campus Enrol Disaggregation'!AA$2,'College Enrollment Projections'!$AJ$1:$AP$1,0)),50)</f>
        <v>37800</v>
      </c>
      <c r="AB72" s="116">
        <f>MROUND(AB$3*INDEX('College Enrollment Projections'!$AJ$2:$AP$72,MATCH('Campus Enrol Disaggregation'!$O72,'College Enrollment Projections'!$AI$2:$AI$72,0),MATCH('Campus Enrol Disaggregation'!AB$2,'College Enrollment Projections'!$AJ$1:$AP$1,0)),50)</f>
        <v>7600</v>
      </c>
      <c r="AC72" s="116">
        <f>MROUND(AC$3*INDEX('College Enrollment Projections'!$AJ$2:$AP$72,MATCH('Campus Enrol Disaggregation'!$O72,'College Enrollment Projections'!$AI$2:$AI$72,0),MATCH('Campus Enrol Disaggregation'!AC$2,'College Enrollment Projections'!$AJ$1:$AP$1,0)),50)</f>
        <v>3300</v>
      </c>
      <c r="AD72" s="117">
        <f t="shared" si="1"/>
        <v>252950</v>
      </c>
    </row>
    <row r="73" spans="15:30">
      <c r="O73" s="3">
        <v>2058</v>
      </c>
      <c r="P73" s="114">
        <f>MROUND(P$3*INDEX('College Enrollment Projections'!$AJ$2:$AP$72,MATCH('Campus Enrol Disaggregation'!$O73,'College Enrollment Projections'!$AI$2:$AI$72,0),MATCH('Campus Enrol Disaggregation'!P$2,'College Enrollment Projections'!$AJ$1:$AP$1,0)),50)</f>
        <v>39300</v>
      </c>
      <c r="Q73" s="114">
        <f>MROUND(Q$3*INDEX('College Enrollment Projections'!$AJ$2:$AP$72,MATCH('Campus Enrol Disaggregation'!$O73,'College Enrollment Projections'!$AI$2:$AI$72,0),MATCH('Campus Enrol Disaggregation'!Q$2,'College Enrollment Projections'!$AJ$1:$AP$1,0)),50)</f>
        <v>3150</v>
      </c>
      <c r="R73" s="114">
        <f>MROUND(R$3*INDEX('College Enrollment Projections'!$AJ$2:$AP$72,MATCH('Campus Enrol Disaggregation'!$O73,'College Enrollment Projections'!$AI$2:$AI$72,0),MATCH('Campus Enrol Disaggregation'!R$2,'College Enrollment Projections'!$AJ$1:$AP$1,0)),50)</f>
        <v>28950</v>
      </c>
      <c r="S73" s="114">
        <f>MROUND(S$3*INDEX('College Enrollment Projections'!$AJ$2:$AP$72,MATCH('Campus Enrol Disaggregation'!$O73,'College Enrollment Projections'!$AI$2:$AI$72,0),MATCH('Campus Enrol Disaggregation'!S$2,'College Enrollment Projections'!$AJ$1:$AP$1,0)),50)</f>
        <v>5650</v>
      </c>
      <c r="T73" s="114">
        <f>MROUND(T$3*INDEX('College Enrollment Projections'!$AJ$2:$AP$72,MATCH('Campus Enrol Disaggregation'!$O73,'College Enrollment Projections'!$AI$2:$AI$72,0),MATCH('Campus Enrol Disaggregation'!T$2,'College Enrollment Projections'!$AJ$1:$AP$1,0)),50)</f>
        <v>700</v>
      </c>
      <c r="U73" s="114">
        <f>MROUND(U$3*INDEX('College Enrollment Projections'!$AJ$2:$AP$72,MATCH('Campus Enrol Disaggregation'!$O73,'College Enrollment Projections'!$AI$2:$AI$72,0),MATCH('Campus Enrol Disaggregation'!U$2,'College Enrollment Projections'!$AJ$1:$AP$1,0)),50)</f>
        <v>4300</v>
      </c>
      <c r="V73" s="114">
        <f>MROUND(V$3*INDEX('College Enrollment Projections'!$AJ$2:$AP$72,MATCH('Campus Enrol Disaggregation'!$O73,'College Enrollment Projections'!$AI$2:$AI$72,0),MATCH('Campus Enrol Disaggregation'!V$2,'College Enrollment Projections'!$AJ$1:$AP$1,0)),50)</f>
        <v>44900</v>
      </c>
      <c r="W73" s="115">
        <f>MROUND(INDEX('MAG College Enrollment Forecast'!$B$4:$H$74,MATCH($O73,'MAG College Enrollment Forecast'!$A$4:$A$74,0),MATCH(W$4,'MAG College Enrollment Forecast'!$B$1:$H$1,0)),50)</f>
        <v>68000</v>
      </c>
      <c r="X73" s="115">
        <f>MROUND(INDEX('MAG College Enrollment Forecast'!$B$4:$H$74,MATCH($O73,'MAG College Enrollment Forecast'!$A$4:$A$74,0),MATCH(X$4,'MAG College Enrollment Forecast'!$B$1:$H$1,0)),50)</f>
        <v>2600</v>
      </c>
      <c r="Y73" s="115">
        <f>MROUND(INDEX('MAG College Enrollment Forecast'!$B$4:$H$74,MATCH($O73,'MAG College Enrollment Forecast'!$A$4:$A$74,0),MATCH(Y$4,'MAG College Enrollment Forecast'!$B$1:$H$1,0)),50)</f>
        <v>3000</v>
      </c>
      <c r="Z73" s="115">
        <f>MROUND(INDEX('MAG College Enrollment Forecast'!$B$4:$H$74,MATCH($O73,'MAG College Enrollment Forecast'!$A$4:$A$74,0),MATCH(Z$4,'MAG College Enrollment Forecast'!$B$1:$H$1,0)),50)</f>
        <v>4300</v>
      </c>
      <c r="AA73" s="116">
        <f>MROUND(AA$3*INDEX('College Enrollment Projections'!$AJ$2:$AP$72,MATCH('Campus Enrol Disaggregation'!$O73,'College Enrollment Projections'!$AI$2:$AI$72,0),MATCH('Campus Enrol Disaggregation'!AA$2,'College Enrollment Projections'!$AJ$1:$AP$1,0)),50)</f>
        <v>38200</v>
      </c>
      <c r="AB73" s="116">
        <f>MROUND(AB$3*INDEX('College Enrollment Projections'!$AJ$2:$AP$72,MATCH('Campus Enrol Disaggregation'!$O73,'College Enrollment Projections'!$AI$2:$AI$72,0),MATCH('Campus Enrol Disaggregation'!AB$2,'College Enrollment Projections'!$AJ$1:$AP$1,0)),50)</f>
        <v>7650</v>
      </c>
      <c r="AC73" s="116">
        <f>MROUND(AC$3*INDEX('College Enrollment Projections'!$AJ$2:$AP$72,MATCH('Campus Enrol Disaggregation'!$O73,'College Enrollment Projections'!$AI$2:$AI$72,0),MATCH('Campus Enrol Disaggregation'!AC$2,'College Enrollment Projections'!$AJ$1:$AP$1,0)),50)</f>
        <v>3400</v>
      </c>
      <c r="AD73" s="117">
        <f t="shared" si="1"/>
        <v>254100</v>
      </c>
    </row>
    <row r="74" spans="15:30">
      <c r="O74" s="3">
        <v>2059</v>
      </c>
      <c r="P74" s="114">
        <f>MROUND(P$3*INDEX('College Enrollment Projections'!$AJ$2:$AP$72,MATCH('Campus Enrol Disaggregation'!$O74,'College Enrollment Projections'!$AI$2:$AI$72,0),MATCH('Campus Enrol Disaggregation'!P$2,'College Enrollment Projections'!$AJ$1:$AP$1,0)),50)</f>
        <v>39300</v>
      </c>
      <c r="Q74" s="114">
        <f>MROUND(Q$3*INDEX('College Enrollment Projections'!$AJ$2:$AP$72,MATCH('Campus Enrol Disaggregation'!$O74,'College Enrollment Projections'!$AI$2:$AI$72,0),MATCH('Campus Enrol Disaggregation'!Q$2,'College Enrollment Projections'!$AJ$1:$AP$1,0)),50)</f>
        <v>3150</v>
      </c>
      <c r="R74" s="114">
        <f>MROUND(R$3*INDEX('College Enrollment Projections'!$AJ$2:$AP$72,MATCH('Campus Enrol Disaggregation'!$O74,'College Enrollment Projections'!$AI$2:$AI$72,0),MATCH('Campus Enrol Disaggregation'!R$2,'College Enrollment Projections'!$AJ$1:$AP$1,0)),50)</f>
        <v>29200</v>
      </c>
      <c r="S74" s="114">
        <f>MROUND(S$3*INDEX('College Enrollment Projections'!$AJ$2:$AP$72,MATCH('Campus Enrol Disaggregation'!$O74,'College Enrollment Projections'!$AI$2:$AI$72,0),MATCH('Campus Enrol Disaggregation'!S$2,'College Enrollment Projections'!$AJ$1:$AP$1,0)),50)</f>
        <v>5700</v>
      </c>
      <c r="T74" s="114">
        <f>MROUND(T$3*INDEX('College Enrollment Projections'!$AJ$2:$AP$72,MATCH('Campus Enrol Disaggregation'!$O74,'College Enrollment Projections'!$AI$2:$AI$72,0),MATCH('Campus Enrol Disaggregation'!T$2,'College Enrollment Projections'!$AJ$1:$AP$1,0)),50)</f>
        <v>700</v>
      </c>
      <c r="U74" s="114">
        <f>MROUND(U$3*INDEX('College Enrollment Projections'!$AJ$2:$AP$72,MATCH('Campus Enrol Disaggregation'!$O74,'College Enrollment Projections'!$AI$2:$AI$72,0),MATCH('Campus Enrol Disaggregation'!U$2,'College Enrollment Projections'!$AJ$1:$AP$1,0)),50)</f>
        <v>4350</v>
      </c>
      <c r="V74" s="114">
        <f>MROUND(V$3*INDEX('College Enrollment Projections'!$AJ$2:$AP$72,MATCH('Campus Enrol Disaggregation'!$O74,'College Enrollment Projections'!$AI$2:$AI$72,0),MATCH('Campus Enrol Disaggregation'!V$2,'College Enrollment Projections'!$AJ$1:$AP$1,0)),50)</f>
        <v>45200</v>
      </c>
      <c r="W74" s="115">
        <f>MROUND(INDEX('MAG College Enrollment Forecast'!$B$4:$H$74,MATCH($O74,'MAG College Enrollment Forecast'!$A$4:$A$74,0),MATCH(W$4,'MAG College Enrollment Forecast'!$B$1:$H$1,0)),50)</f>
        <v>68000</v>
      </c>
      <c r="X74" s="115">
        <f>MROUND(INDEX('MAG College Enrollment Forecast'!$B$4:$H$74,MATCH($O74,'MAG College Enrollment Forecast'!$A$4:$A$74,0),MATCH(X$4,'MAG College Enrollment Forecast'!$B$1:$H$1,0)),50)</f>
        <v>2600</v>
      </c>
      <c r="Y74" s="115">
        <f>MROUND(INDEX('MAG College Enrollment Forecast'!$B$4:$H$74,MATCH($O74,'MAG College Enrollment Forecast'!$A$4:$A$74,0),MATCH(Y$4,'MAG College Enrollment Forecast'!$B$1:$H$1,0)),50)</f>
        <v>3000</v>
      </c>
      <c r="Z74" s="115">
        <f>MROUND(INDEX('MAG College Enrollment Forecast'!$B$4:$H$74,MATCH($O74,'MAG College Enrollment Forecast'!$A$4:$A$74,0),MATCH(Z$4,'MAG College Enrollment Forecast'!$B$1:$H$1,0)),50)</f>
        <v>4300</v>
      </c>
      <c r="AA74" s="116">
        <f>MROUND(AA$3*INDEX('College Enrollment Projections'!$AJ$2:$AP$72,MATCH('Campus Enrol Disaggregation'!$O74,'College Enrollment Projections'!$AI$2:$AI$72,0),MATCH('Campus Enrol Disaggregation'!AA$2,'College Enrollment Projections'!$AJ$1:$AP$1,0)),50)</f>
        <v>38550</v>
      </c>
      <c r="AB74" s="116">
        <f>MROUND(AB$3*INDEX('College Enrollment Projections'!$AJ$2:$AP$72,MATCH('Campus Enrol Disaggregation'!$O74,'College Enrollment Projections'!$AI$2:$AI$72,0),MATCH('Campus Enrol Disaggregation'!AB$2,'College Enrollment Projections'!$AJ$1:$AP$1,0)),50)</f>
        <v>7750</v>
      </c>
      <c r="AC74" s="116">
        <f>MROUND(AC$3*INDEX('College Enrollment Projections'!$AJ$2:$AP$72,MATCH('Campus Enrol Disaggregation'!$O74,'College Enrollment Projections'!$AI$2:$AI$72,0),MATCH('Campus Enrol Disaggregation'!AC$2,'College Enrollment Projections'!$AJ$1:$AP$1,0)),50)</f>
        <v>3450</v>
      </c>
      <c r="AD74" s="117">
        <f t="shared" si="1"/>
        <v>255250</v>
      </c>
    </row>
    <row r="75" spans="15:30">
      <c r="O75" s="3">
        <v>2060</v>
      </c>
      <c r="P75" s="114">
        <f>MROUND(P$3*INDEX('College Enrollment Projections'!$AJ$2:$AP$72,MATCH('Campus Enrol Disaggregation'!$O75,'College Enrollment Projections'!$AI$2:$AI$72,0),MATCH('Campus Enrol Disaggregation'!P$2,'College Enrollment Projections'!$AJ$1:$AP$1,0)),50)</f>
        <v>39300</v>
      </c>
      <c r="Q75" s="114">
        <f>MROUND(Q$3*INDEX('College Enrollment Projections'!$AJ$2:$AP$72,MATCH('Campus Enrol Disaggregation'!$O75,'College Enrollment Projections'!$AI$2:$AI$72,0),MATCH('Campus Enrol Disaggregation'!Q$2,'College Enrollment Projections'!$AJ$1:$AP$1,0)),50)</f>
        <v>3200</v>
      </c>
      <c r="R75" s="114">
        <f>MROUND(R$3*INDEX('College Enrollment Projections'!$AJ$2:$AP$72,MATCH('Campus Enrol Disaggregation'!$O75,'College Enrollment Projections'!$AI$2:$AI$72,0),MATCH('Campus Enrol Disaggregation'!R$2,'College Enrollment Projections'!$AJ$1:$AP$1,0)),50)</f>
        <v>29400</v>
      </c>
      <c r="S75" s="114">
        <f>MROUND(S$3*INDEX('College Enrollment Projections'!$AJ$2:$AP$72,MATCH('Campus Enrol Disaggregation'!$O75,'College Enrollment Projections'!$AI$2:$AI$72,0),MATCH('Campus Enrol Disaggregation'!S$2,'College Enrollment Projections'!$AJ$1:$AP$1,0)),50)</f>
        <v>5750</v>
      </c>
      <c r="T75" s="114">
        <f>MROUND(T$3*INDEX('College Enrollment Projections'!$AJ$2:$AP$72,MATCH('Campus Enrol Disaggregation'!$O75,'College Enrollment Projections'!$AI$2:$AI$72,0),MATCH('Campus Enrol Disaggregation'!T$2,'College Enrollment Projections'!$AJ$1:$AP$1,0)),50)</f>
        <v>700</v>
      </c>
      <c r="U75" s="114">
        <f>MROUND(U$3*INDEX('College Enrollment Projections'!$AJ$2:$AP$72,MATCH('Campus Enrol Disaggregation'!$O75,'College Enrollment Projections'!$AI$2:$AI$72,0),MATCH('Campus Enrol Disaggregation'!U$2,'College Enrollment Projections'!$AJ$1:$AP$1,0)),50)</f>
        <v>4400</v>
      </c>
      <c r="V75" s="114">
        <f>MROUND(V$3*INDEX('College Enrollment Projections'!$AJ$2:$AP$72,MATCH('Campus Enrol Disaggregation'!$O75,'College Enrollment Projections'!$AI$2:$AI$72,0),MATCH('Campus Enrol Disaggregation'!V$2,'College Enrollment Projections'!$AJ$1:$AP$1,0)),50)</f>
        <v>45500</v>
      </c>
      <c r="W75" s="115">
        <f>MROUND(INDEX('MAG College Enrollment Forecast'!$B$4:$H$74,MATCH($O75,'MAG College Enrollment Forecast'!$A$4:$A$74,0),MATCH(W$4,'MAG College Enrollment Forecast'!$B$1:$H$1,0)),50)</f>
        <v>68000</v>
      </c>
      <c r="X75" s="115">
        <f>MROUND(INDEX('MAG College Enrollment Forecast'!$B$4:$H$74,MATCH($O75,'MAG College Enrollment Forecast'!$A$4:$A$74,0),MATCH(X$4,'MAG College Enrollment Forecast'!$B$1:$H$1,0)),50)</f>
        <v>2600</v>
      </c>
      <c r="Y75" s="115">
        <f>MROUND(INDEX('MAG College Enrollment Forecast'!$B$4:$H$74,MATCH($O75,'MAG College Enrollment Forecast'!$A$4:$A$74,0),MATCH(Y$4,'MAG College Enrollment Forecast'!$B$1:$H$1,0)),50)</f>
        <v>3000</v>
      </c>
      <c r="Z75" s="115">
        <f>MROUND(INDEX('MAG College Enrollment Forecast'!$B$4:$H$74,MATCH($O75,'MAG College Enrollment Forecast'!$A$4:$A$74,0),MATCH(Z$4,'MAG College Enrollment Forecast'!$B$1:$H$1,0)),50)</f>
        <v>4300</v>
      </c>
      <c r="AA75" s="116">
        <f>MROUND(AA$3*INDEX('College Enrollment Projections'!$AJ$2:$AP$72,MATCH('Campus Enrol Disaggregation'!$O75,'College Enrollment Projections'!$AI$2:$AI$72,0),MATCH('Campus Enrol Disaggregation'!AA$2,'College Enrollment Projections'!$AJ$1:$AP$1,0)),50)</f>
        <v>38950</v>
      </c>
      <c r="AB75" s="116">
        <f>MROUND(AB$3*INDEX('College Enrollment Projections'!$AJ$2:$AP$72,MATCH('Campus Enrol Disaggregation'!$O75,'College Enrollment Projections'!$AI$2:$AI$72,0),MATCH('Campus Enrol Disaggregation'!AB$2,'College Enrollment Projections'!$AJ$1:$AP$1,0)),50)</f>
        <v>7800</v>
      </c>
      <c r="AC75" s="116">
        <f>MROUND(AC$3*INDEX('College Enrollment Projections'!$AJ$2:$AP$72,MATCH('Campus Enrol Disaggregation'!$O75,'College Enrollment Projections'!$AI$2:$AI$72,0),MATCH('Campus Enrol Disaggregation'!AC$2,'College Enrollment Projections'!$AJ$1:$AP$1,0)),50)</f>
        <v>3500</v>
      </c>
      <c r="AD75" s="117">
        <f t="shared" si="1"/>
        <v>256400</v>
      </c>
    </row>
  </sheetData>
  <pageMargins left="0.7" right="0.7" top="0.75" bottom="0.7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98"/>
  <sheetViews>
    <sheetView tabSelected="1" topLeftCell="AE70" zoomScale="160" zoomScaleNormal="160" workbookViewId="0">
      <selection activeCell="AR79" sqref="AR79"/>
    </sheetView>
  </sheetViews>
  <sheetFormatPr defaultColWidth="9" defaultRowHeight="15"/>
  <cols>
    <col min="1" max="1" width="9" style="2" customWidth="1"/>
    <col min="2" max="24" width="9" style="2"/>
    <col min="25" max="25" width="9.7109375" style="2" customWidth="1"/>
    <col min="26" max="41" width="9" style="2"/>
    <col min="42" max="42" width="10.7109375" style="2" customWidth="1"/>
    <col min="43" max="43" width="9" style="2"/>
    <col min="44" max="44" width="27.42578125" style="2" customWidth="1"/>
    <col min="45" max="16384" width="9" style="2"/>
  </cols>
  <sheetData>
    <row r="1" spans="1:43">
      <c r="A1" s="5" t="str">
        <f>$AJ$1</f>
        <v>UOFU</v>
      </c>
      <c r="B1" s="5" t="s">
        <v>103</v>
      </c>
      <c r="C1" s="5"/>
      <c r="D1" s="110" t="s">
        <v>210</v>
      </c>
      <c r="E1" s="110">
        <v>47000</v>
      </c>
      <c r="F1" s="5"/>
      <c r="G1" s="5"/>
      <c r="H1" s="5"/>
      <c r="I1" s="5" t="str">
        <f>$AL$1</f>
        <v>UVU</v>
      </c>
      <c r="J1" s="5" t="s">
        <v>103</v>
      </c>
      <c r="K1" s="5"/>
      <c r="L1" s="110" t="s">
        <v>212</v>
      </c>
      <c r="M1" s="110"/>
      <c r="N1" s="110" t="s">
        <v>209</v>
      </c>
      <c r="O1" s="5"/>
      <c r="P1" s="5"/>
      <c r="Q1" s="5" t="str">
        <f>$AN$1</f>
        <v>BYU</v>
      </c>
      <c r="R1" s="5" t="s">
        <v>103</v>
      </c>
      <c r="T1" s="110" t="s">
        <v>214</v>
      </c>
      <c r="U1" s="110"/>
      <c r="V1" s="110" t="s">
        <v>209</v>
      </c>
      <c r="Y1" s="5" t="str">
        <f>$AP$1</f>
        <v>WESTMIN</v>
      </c>
      <c r="Z1" s="5" t="s">
        <v>103</v>
      </c>
      <c r="AB1" s="110" t="s">
        <v>216</v>
      </c>
      <c r="AC1" s="110"/>
      <c r="AD1" s="110">
        <v>3500</v>
      </c>
      <c r="AI1" s="3" t="s">
        <v>5</v>
      </c>
      <c r="AJ1" s="3" t="s">
        <v>1</v>
      </c>
      <c r="AK1" s="3" t="s">
        <v>2</v>
      </c>
      <c r="AL1" s="3" t="s">
        <v>3</v>
      </c>
      <c r="AM1" s="3" t="s">
        <v>4</v>
      </c>
      <c r="AN1" s="3" t="s">
        <v>15</v>
      </c>
      <c r="AO1" s="3" t="s">
        <v>16</v>
      </c>
      <c r="AP1" s="3" t="s">
        <v>17</v>
      </c>
      <c r="AQ1" s="7"/>
    </row>
    <row r="2" spans="1:43">
      <c r="AI2" s="3">
        <v>1990</v>
      </c>
      <c r="AJ2" s="20" cm="1">
        <f t="array" ref="AJ2">ROUND(
  IF(AND(AJ$1="Ensign", $AI2&gt;=2021, $AI2&lt;=2024),
    _xlfn.XLOOKUP($AI2, Ensign!$A$2:$A$12, Ensign!$B$2:$B$12),
    _xlfn.XLOOKUP($AI2, 'Historic (IPEDS &amp; 2019 RTP)'!$A:$A, _xlfn.XLOOKUP(AJ$1, 'Historic (IPEDS &amp; 2019 RTP)'!$A$1:$H$1, 'Historic (IPEDS &amp; 2019 RTP)'!$A:$H),
      IFERROR(_xlfn.XLOOKUP($AI2, 'USHE Historic'!$A$3:$A$13, _xlfn.XLOOKUP(AJ$1, 'USHE Historic'!$A$2:$E$2, 'USHE Historic'!$A$3:$E$13)),
        _xlfn.IFS(
          AJ$1="BYU", IFERROR(_xlfn.XLOOKUP($AI2, 'MAG College Enrollment Forecast'!$A:$A, 'MAG College Enrollment Forecast'!$B:$B), (AJ$72-AJ1)/($AI$72-$AI1)*($AI2-$AI1)+AJ1),
          AJ$1="UVU", IFERROR(_xlfn.XLOOKUP($AI2, 'MAG College Enrollment Forecast'!$A:$A, 'MAG College Enrollment Forecast'!$C:$C+'MAG College Enrollment Forecast'!$D:$D+'MAG College Enrollment Forecast'!$E:$E+'MAG College Enrollment Forecast'!$F:$F+'MAG College Enrollment Forecast'!$G:$G+'MAG College Enrollment Forecast'!$H:$H), (AJ$72-AJ1)/($AI$72-$AI1)*($AI2-$AI1)+AJ1),
          TRUE, IFERROR(_xlfn.XLOOKUP($AI2, 'USHE Projections'!$A:$A, IFERROR(_xlfn.XLOOKUP(AJ$1, 'USHE Projections'!$A$1:$E$1, 'USHE Projections'!$A:$E), "NONE"), (AJ$72-AJ1)/($AI$72-$AI1)*($AI2-$AI1)+AJ1), (AJ$72-AJ1)/($AI$72-$AI1)*($AI2-$AI1)+AJ1)
        )
      )
    )
  ), 0)</f>
        <v>24311</v>
      </c>
      <c r="AK2" s="20" cm="1">
        <f t="array" ref="AK2">ROUND(
  IF(AND(AK$1="Ensign", $AI2&gt;=2021, $AI2&lt;=2024),
    _xlfn.XLOOKUP($AI2, Ensign!$A$2:$A$12, Ensign!$B$2:$B$12),
    _xlfn.XLOOKUP($AI2, 'Historic (IPEDS &amp; 2019 RTP)'!$A:$A, _xlfn.XLOOKUP(AK$1, 'Historic (IPEDS &amp; 2019 RTP)'!$A$1:$H$1, 'Historic (IPEDS &amp; 2019 RTP)'!$A:$H),
      IFERROR(_xlfn.XLOOKUP($AI2, 'USHE Historic'!$A$3:$A$13, _xlfn.XLOOKUP(AK$1, 'USHE Historic'!$A$2:$E$2, 'USHE Historic'!$A$3:$E$13)),
        _xlfn.IFS(
          AK$1="BYU", IFERROR(_xlfn.XLOOKUP($AI2, 'MAG College Enrollment Forecast'!$A:$A, 'MAG College Enrollment Forecast'!$B:$B), (AK$72-AK1)/($AI$72-$AI1)*($AI2-$AI1)+AK1),
          AK$1="UVU", IFERROR(_xlfn.XLOOKUP($AI2, 'MAG College Enrollment Forecast'!$A:$A, 'MAG College Enrollment Forecast'!$C:$C+'MAG College Enrollment Forecast'!$D:$D+'MAG College Enrollment Forecast'!$E:$E+'MAG College Enrollment Forecast'!$F:$F+'MAG College Enrollment Forecast'!$G:$G+'MAG College Enrollment Forecast'!$H:$H), (AK$72-AK1)/($AI$72-$AI1)*($AI2-$AI1)+AK1),
          TRUE, IFERROR(_xlfn.XLOOKUP($AI2, 'USHE Projections'!$A:$A, IFERROR(_xlfn.XLOOKUP(AK$1, 'USHE Projections'!$A$1:$E$1, 'USHE Projections'!$A:$E), "NONE"), (AK$72-AK1)/($AI$72-$AI1)*($AI2-$AI1)+AK1), (AK$72-AK1)/($AI$72-$AI1)*($AI2-$AI1)+AK1)
        )
      )
    )
  ), 0)</f>
        <v>13449</v>
      </c>
      <c r="AL2" s="20" cm="1">
        <f t="array" ref="AL2">ROUND(
  IF(AND(AL$1="Ensign", $AI2&gt;=2021, $AI2&lt;=2024),
    _xlfn.XLOOKUP($AI2, Ensign!$A$2:$A$12, Ensign!$B$2:$B$12),
    _xlfn.XLOOKUP($AI2, 'Historic (IPEDS &amp; 2019 RTP)'!$A:$A, _xlfn.XLOOKUP(AL$1, 'Historic (IPEDS &amp; 2019 RTP)'!$A$1:$H$1, 'Historic (IPEDS &amp; 2019 RTP)'!$A:$H),
      IFERROR(_xlfn.XLOOKUP($AI2, 'USHE Historic'!$A$3:$A$13, _xlfn.XLOOKUP(AL$1, 'USHE Historic'!$A$2:$E$2, 'USHE Historic'!$A$3:$E$13)),
        _xlfn.IFS(
          AL$1="BYU", IFERROR(_xlfn.XLOOKUP($AI2, 'MAG College Enrollment Forecast'!$A:$A, 'MAG College Enrollment Forecast'!$B:$B), (AL$72-AL1)/($AI$72-$AI1)*($AI2-$AI1)+AL1),
          AL$1="UVU", IFERROR(_xlfn.XLOOKUP($AI2, 'MAG College Enrollment Forecast'!$A:$A, 'MAG College Enrollment Forecast'!$C:$C+'MAG College Enrollment Forecast'!$D:$D+'MAG College Enrollment Forecast'!$E:$E+'MAG College Enrollment Forecast'!$F:$F+'MAG College Enrollment Forecast'!$G:$G+'MAG College Enrollment Forecast'!$H:$H), (AL$72-AL1)/($AI$72-$AI1)*($AI2-$AI1)+AL1),
          TRUE, IFERROR(_xlfn.XLOOKUP($AI2, 'USHE Projections'!$A:$A, IFERROR(_xlfn.XLOOKUP(AL$1, 'USHE Projections'!$A$1:$E$1, 'USHE Projections'!$A:$E), "NONE"), (AL$72-AL1)/($AI$72-$AI1)*($AI2-$AI1)+AL1), (AL$72-AL1)/($AI$72-$AI1)*($AI2-$AI1)+AL1)
        )
      )
    )
  ), 0)</f>
        <v>7885</v>
      </c>
      <c r="AM2" s="20" cm="1">
        <f t="array" ref="AM2">ROUND(
  IF(AND(AM$1="Ensign", $AI2&gt;=2021, $AI2&lt;=2024),
    _xlfn.XLOOKUP($AI2, Ensign!$A$2:$A$12, Ensign!$B$2:$B$12),
    _xlfn.XLOOKUP($AI2, 'Historic (IPEDS &amp; 2019 RTP)'!$A:$A, _xlfn.XLOOKUP(AM$1, 'Historic (IPEDS &amp; 2019 RTP)'!$A$1:$H$1, 'Historic (IPEDS &amp; 2019 RTP)'!$A:$H),
      IFERROR(_xlfn.XLOOKUP($AI2, 'USHE Historic'!$A$3:$A$13, _xlfn.XLOOKUP(AM$1, 'USHE Historic'!$A$2:$E$2, 'USHE Historic'!$A$3:$E$13)),
        _xlfn.IFS(
          AM$1="BYU", IFERROR(_xlfn.XLOOKUP($AI2, 'MAG College Enrollment Forecast'!$A:$A, 'MAG College Enrollment Forecast'!$B:$B), (AM$72-AM1)/($AI$72-$AI1)*($AI2-$AI1)+AM1),
          AM$1="UVU", IFERROR(_xlfn.XLOOKUP($AI2, 'MAG College Enrollment Forecast'!$A:$A, 'MAG College Enrollment Forecast'!$C:$C+'MAG College Enrollment Forecast'!$D:$D+'MAG College Enrollment Forecast'!$E:$E+'MAG College Enrollment Forecast'!$F:$F+'MAG College Enrollment Forecast'!$G:$G+'MAG College Enrollment Forecast'!$H:$H), (AM$72-AM1)/($AI$72-$AI1)*($AI2-$AI1)+AM1),
          TRUE, IFERROR(_xlfn.XLOOKUP($AI2, 'USHE Projections'!$A:$A, IFERROR(_xlfn.XLOOKUP(AM$1, 'USHE Projections'!$A$1:$E$1, 'USHE Projections'!$A:$E), "NONE"), (AM$72-AM1)/($AI$72-$AI1)*($AI2-$AI1)+AM1), (AM$72-AM1)/($AI$72-$AI1)*($AI2-$AI1)+AM1)
        )
      )
    )
  ), 0)</f>
        <v>13344</v>
      </c>
      <c r="AN2" s="20" cm="1">
        <f t="array" ref="AN2">ROUND(
  IF(AND(AN$1="Ensign", $AI2&gt;=2021, $AI2&lt;=2024),
    _xlfn.XLOOKUP($AI2, Ensign!$A$2:$A$12, Ensign!$B$2:$B$12),
    _xlfn.XLOOKUP($AI2, 'Historic (IPEDS &amp; 2019 RTP)'!$A:$A, _xlfn.XLOOKUP(AN$1, 'Historic (IPEDS &amp; 2019 RTP)'!$A$1:$H$1, 'Historic (IPEDS &amp; 2019 RTP)'!$A:$H),
      IFERROR(_xlfn.XLOOKUP($AI2, 'USHE Historic'!$A$3:$A$13, _xlfn.XLOOKUP(AN$1, 'USHE Historic'!$A$2:$E$2, 'USHE Historic'!$A$3:$E$13)),
        _xlfn.IFS(
          AN$1="BYU", IFERROR(_xlfn.XLOOKUP($AI2, 'MAG College Enrollment Forecast'!$A:$A, 'MAG College Enrollment Forecast'!$B:$B), (AN$72-AN1)/($AI$72-$AI1)*($AI2-$AI1)+AN1),
          AN$1="UVU", IFERROR(_xlfn.XLOOKUP($AI2, 'MAG College Enrollment Forecast'!$A:$A, 'MAG College Enrollment Forecast'!$C:$C+'MAG College Enrollment Forecast'!$D:$D+'MAG College Enrollment Forecast'!$E:$E+'MAG College Enrollment Forecast'!$F:$F+'MAG College Enrollment Forecast'!$G:$G+'MAG College Enrollment Forecast'!$H:$H), (AN$72-AN1)/($AI$72-$AI1)*($AI2-$AI1)+AN1),
          TRUE, IFERROR(_xlfn.XLOOKUP($AI2, 'USHE Projections'!$A:$A, IFERROR(_xlfn.XLOOKUP(AN$1, 'USHE Projections'!$A$1:$E$1, 'USHE Projections'!$A:$E), "NONE"), (AN$72-AN1)/($AI$72-$AI1)*($AI2-$AI1)+AN1), (AN$72-AN1)/($AI$72-$AI1)*($AI2-$AI1)+AN1)
        )
      )
    )
  ), 0)</f>
        <v>30465</v>
      </c>
      <c r="AO2" s="20" cm="1">
        <f t="array" ref="AO2">ROUND(
  IF(AND(AO$1="Ensign", $AI2&gt;=2021, $AI2&lt;=2024),
    _xlfn.XLOOKUP($AI2, Ensign!$A$2:$A$12, Ensign!$B$2:$B$12),
    _xlfn.XLOOKUP($AI2, 'Historic (IPEDS &amp; 2019 RTP)'!$A:$A, _xlfn.XLOOKUP(AO$1, 'Historic (IPEDS &amp; 2019 RTP)'!$A$1:$H$1, 'Historic (IPEDS &amp; 2019 RTP)'!$A:$H),
      IFERROR(_xlfn.XLOOKUP($AI2, 'USHE Historic'!$A$3:$A$13, _xlfn.XLOOKUP(AO$1, 'USHE Historic'!$A$2:$E$2, 'USHE Historic'!$A$3:$E$13)),
        _xlfn.IFS(
          AO$1="BYU", IFERROR(_xlfn.XLOOKUP($AI2, 'MAG College Enrollment Forecast'!$A:$A, 'MAG College Enrollment Forecast'!$B:$B), (AO$72-AO1)/($AI$72-$AI1)*($AI2-$AI1)+AO1),
          AO$1="UVU", IFERROR(_xlfn.XLOOKUP($AI2, 'MAG College Enrollment Forecast'!$A:$A, 'MAG College Enrollment Forecast'!$C:$C+'MAG College Enrollment Forecast'!$D:$D+'MAG College Enrollment Forecast'!$E:$E+'MAG College Enrollment Forecast'!$F:$F+'MAG College Enrollment Forecast'!$G:$G+'MAG College Enrollment Forecast'!$H:$H), (AO$72-AO1)/($AI$72-$AI1)*($AI2-$AI1)+AO1),
          TRUE, IFERROR(_xlfn.XLOOKUP($AI2, 'USHE Projections'!$A:$A, IFERROR(_xlfn.XLOOKUP(AO$1, 'USHE Projections'!$A$1:$E$1, 'USHE Projections'!$A:$E), "NONE"), (AO$72-AO1)/($AI$72-$AI1)*($AI2-$AI1)+AO1), (AO$72-AO1)/($AI$72-$AI1)*($AI2-$AI1)+AO1)
        )
      )
    )
  ), 0)</f>
        <v>0</v>
      </c>
      <c r="AP2" s="20" cm="1">
        <f t="array" ref="AP2">ROUND(
  IF(AND(AP$1="Ensign", $AI2&gt;=2021, $AI2&lt;=2024),
    _xlfn.XLOOKUP($AI2, Ensign!$A$2:$A$12, Ensign!$B$2:$B$12),
    _xlfn.XLOOKUP($AI2, 'Historic (IPEDS &amp; 2019 RTP)'!$A:$A, _xlfn.XLOOKUP(AP$1, 'Historic (IPEDS &amp; 2019 RTP)'!$A$1:$H$1, 'Historic (IPEDS &amp; 2019 RTP)'!$A:$H),
      IFERROR(_xlfn.XLOOKUP($AI2, 'USHE Historic'!$A$3:$A$13, _xlfn.XLOOKUP(AP$1, 'USHE Historic'!$A$2:$E$2, 'USHE Historic'!$A$3:$E$13)),
        _xlfn.IFS(
          AP$1="BYU", IFERROR(_xlfn.XLOOKUP($AI2, 'MAG College Enrollment Forecast'!$A:$A, 'MAG College Enrollment Forecast'!$B:$B), (AP$72-AP1)/($AI$72-$AI1)*($AI2-$AI1)+AP1),
          AP$1="UVU", IFERROR(_xlfn.XLOOKUP($AI2, 'MAG College Enrollment Forecast'!$A:$A, 'MAG College Enrollment Forecast'!$C:$C+'MAG College Enrollment Forecast'!$D:$D+'MAG College Enrollment Forecast'!$E:$E+'MAG College Enrollment Forecast'!$F:$F+'MAG College Enrollment Forecast'!$G:$G+'MAG College Enrollment Forecast'!$H:$H), (AP$72-AP1)/($AI$72-$AI1)*($AI2-$AI1)+AP1),
          TRUE, IFERROR(_xlfn.XLOOKUP($AI2, 'USHE Projections'!$A:$A, IFERROR(_xlfn.XLOOKUP(AP$1, 'USHE Projections'!$A$1:$E$1, 'USHE Projections'!$A:$E), "NONE"), (AP$72-AP1)/($AI$72-$AI1)*($AI2-$AI1)+AP1), (AP$72-AP1)/($AI$72-$AI1)*($AI2-$AI1)+AP1)
        )
      )
    )
  ), 0)</f>
        <v>0</v>
      </c>
      <c r="AQ2" s="7"/>
    </row>
    <row r="3" spans="1:43">
      <c r="AI3" s="3">
        <v>1991</v>
      </c>
      <c r="AJ3" s="20" cm="1">
        <f t="array" ref="AJ3">ROUND(
  IF(AND(AJ$1="Ensign", $AI3&gt;=2021, $AI3&lt;=2024),
    _xlfn.XLOOKUP($AI3, Ensign!$A$2:$A$12, Ensign!$B$2:$B$12),
    _xlfn.XLOOKUP($AI3, 'Historic (IPEDS &amp; 2019 RTP)'!$A:$A, _xlfn.XLOOKUP(AJ$1, 'Historic (IPEDS &amp; 2019 RTP)'!$A$1:$H$1, 'Historic (IPEDS &amp; 2019 RTP)'!$A:$H),
      IFERROR(_xlfn.XLOOKUP($AI3, 'USHE Historic'!$A$3:$A$13, _xlfn.XLOOKUP(AJ$1, 'USHE Historic'!$A$2:$E$2, 'USHE Historic'!$A$3:$E$13)),
        _xlfn.IFS(
          AJ$1="BYU", IFERROR(_xlfn.XLOOKUP($AI3, 'MAG College Enrollment Forecast'!$A:$A, 'MAG College Enrollment Forecast'!$B:$B), (AJ$72-AJ2)/($AI$72-$AI2)*($AI3-$AI2)+AJ2),
          AJ$1="UVU", IFERROR(_xlfn.XLOOKUP($AI3, 'MAG College Enrollment Forecast'!$A:$A, 'MAG College Enrollment Forecast'!$C:$C+'MAG College Enrollment Forecast'!$D:$D+'MAG College Enrollment Forecast'!$E:$E+'MAG College Enrollment Forecast'!$F:$F+'MAG College Enrollment Forecast'!$G:$G+'MAG College Enrollment Forecast'!$H:$H), (AJ$72-AJ2)/($AI$72-$AI2)*($AI3-$AI2)+AJ2),
          TRUE, IFERROR(_xlfn.XLOOKUP($AI3, 'USHE Projections'!$A:$A, IFERROR(_xlfn.XLOOKUP(AJ$1, 'USHE Projections'!$A$1:$E$1, 'USHE Projections'!$A:$E), "NONE"), (AJ$72-AJ2)/($AI$72-$AI2)*($AI3-$AI2)+AJ2), (AJ$72-AJ2)/($AI$72-$AI2)*($AI3-$AI2)+AJ2)
        )
      )
    )
  ), 0)</f>
        <v>25581</v>
      </c>
      <c r="AK3" s="20" cm="1">
        <f t="array" ref="AK3">ROUND(
  IF(AND(AK$1="Ensign", $AI3&gt;=2021, $AI3&lt;=2024),
    _xlfn.XLOOKUP($AI3, Ensign!$A$2:$A$12, Ensign!$B$2:$B$12),
    _xlfn.XLOOKUP($AI3, 'Historic (IPEDS &amp; 2019 RTP)'!$A:$A, _xlfn.XLOOKUP(AK$1, 'Historic (IPEDS &amp; 2019 RTP)'!$A$1:$H$1, 'Historic (IPEDS &amp; 2019 RTP)'!$A:$H),
      IFERROR(_xlfn.XLOOKUP($AI3, 'USHE Historic'!$A$3:$A$13, _xlfn.XLOOKUP(AK$1, 'USHE Historic'!$A$2:$E$2, 'USHE Historic'!$A$3:$E$13)),
        _xlfn.IFS(
          AK$1="BYU", IFERROR(_xlfn.XLOOKUP($AI3, 'MAG College Enrollment Forecast'!$A:$A, 'MAG College Enrollment Forecast'!$B:$B), (AK$72-AK2)/($AI$72-$AI2)*($AI3-$AI2)+AK2),
          AK$1="UVU", IFERROR(_xlfn.XLOOKUP($AI3, 'MAG College Enrollment Forecast'!$A:$A, 'MAG College Enrollment Forecast'!$C:$C+'MAG College Enrollment Forecast'!$D:$D+'MAG College Enrollment Forecast'!$E:$E+'MAG College Enrollment Forecast'!$F:$F+'MAG College Enrollment Forecast'!$G:$G+'MAG College Enrollment Forecast'!$H:$H), (AK$72-AK2)/($AI$72-$AI2)*($AI3-$AI2)+AK2),
          TRUE, IFERROR(_xlfn.XLOOKUP($AI3, 'USHE Projections'!$A:$A, IFERROR(_xlfn.XLOOKUP(AK$1, 'USHE Projections'!$A$1:$E$1, 'USHE Projections'!$A:$E), "NONE"), (AK$72-AK2)/($AI$72-$AI2)*($AI3-$AI2)+AK2), (AK$72-AK2)/($AI$72-$AI2)*($AI3-$AI2)+AK2)
        )
      )
    )
  ), 0)</f>
        <v>14495</v>
      </c>
      <c r="AL3" s="20" cm="1">
        <f t="array" ref="AL3">ROUND(
  IF(AND(AL$1="Ensign", $AI3&gt;=2021, $AI3&lt;=2024),
    _xlfn.XLOOKUP($AI3, Ensign!$A$2:$A$12, Ensign!$B$2:$B$12),
    _xlfn.XLOOKUP($AI3, 'Historic (IPEDS &amp; 2019 RTP)'!$A:$A, _xlfn.XLOOKUP(AL$1, 'Historic (IPEDS &amp; 2019 RTP)'!$A$1:$H$1, 'Historic (IPEDS &amp; 2019 RTP)'!$A:$H),
      IFERROR(_xlfn.XLOOKUP($AI3, 'USHE Historic'!$A$3:$A$13, _xlfn.XLOOKUP(AL$1, 'USHE Historic'!$A$2:$E$2, 'USHE Historic'!$A$3:$E$13)),
        _xlfn.IFS(
          AL$1="BYU", IFERROR(_xlfn.XLOOKUP($AI3, 'MAG College Enrollment Forecast'!$A:$A, 'MAG College Enrollment Forecast'!$B:$B), (AL$72-AL2)/($AI$72-$AI2)*($AI3-$AI2)+AL2),
          AL$1="UVU", IFERROR(_xlfn.XLOOKUP($AI3, 'MAG College Enrollment Forecast'!$A:$A, 'MAG College Enrollment Forecast'!$C:$C+'MAG College Enrollment Forecast'!$D:$D+'MAG College Enrollment Forecast'!$E:$E+'MAG College Enrollment Forecast'!$F:$F+'MAG College Enrollment Forecast'!$G:$G+'MAG College Enrollment Forecast'!$H:$H), (AL$72-AL2)/($AI$72-$AI2)*($AI3-$AI2)+AL2),
          TRUE, IFERROR(_xlfn.XLOOKUP($AI3, 'USHE Projections'!$A:$A, IFERROR(_xlfn.XLOOKUP(AL$1, 'USHE Projections'!$A$1:$E$1, 'USHE Projections'!$A:$E), "NONE"), (AL$72-AL2)/($AI$72-$AI2)*($AI3-$AI2)+AL2), (AL$72-AL2)/($AI$72-$AI2)*($AI3-$AI2)+AL2)
        )
      )
    )
  ), 0)</f>
        <v>8777</v>
      </c>
      <c r="AM3" s="20" cm="1">
        <f t="array" ref="AM3">ROUND(
  IF(AND(AM$1="Ensign", $AI3&gt;=2021, $AI3&lt;=2024),
    _xlfn.XLOOKUP($AI3, Ensign!$A$2:$A$12, Ensign!$B$2:$B$12),
    _xlfn.XLOOKUP($AI3, 'Historic (IPEDS &amp; 2019 RTP)'!$A:$A, _xlfn.XLOOKUP(AM$1, 'Historic (IPEDS &amp; 2019 RTP)'!$A$1:$H$1, 'Historic (IPEDS &amp; 2019 RTP)'!$A:$H),
      IFERROR(_xlfn.XLOOKUP($AI3, 'USHE Historic'!$A$3:$A$13, _xlfn.XLOOKUP(AM$1, 'USHE Historic'!$A$2:$E$2, 'USHE Historic'!$A$3:$E$13)),
        _xlfn.IFS(
          AM$1="BYU", IFERROR(_xlfn.XLOOKUP($AI3, 'MAG College Enrollment Forecast'!$A:$A, 'MAG College Enrollment Forecast'!$B:$B), (AM$72-AM2)/($AI$72-$AI2)*($AI3-$AI2)+AM2),
          AM$1="UVU", IFERROR(_xlfn.XLOOKUP($AI3, 'MAG College Enrollment Forecast'!$A:$A, 'MAG College Enrollment Forecast'!$C:$C+'MAG College Enrollment Forecast'!$D:$D+'MAG College Enrollment Forecast'!$E:$E+'MAG College Enrollment Forecast'!$F:$F+'MAG College Enrollment Forecast'!$G:$G+'MAG College Enrollment Forecast'!$H:$H), (AM$72-AM2)/($AI$72-$AI2)*($AI3-$AI2)+AM2),
          TRUE, IFERROR(_xlfn.XLOOKUP($AI3, 'USHE Projections'!$A:$A, IFERROR(_xlfn.XLOOKUP(AM$1, 'USHE Projections'!$A$1:$E$1, 'USHE Projections'!$A:$E), "NONE"), (AM$72-AM2)/($AI$72-$AI2)*($AI3-$AI2)+AM2), (AM$72-AM2)/($AI$72-$AI2)*($AI3-$AI2)+AM2)
        )
      )
    )
  ), 0)</f>
        <v>15972</v>
      </c>
      <c r="AN3" s="20" cm="1">
        <f t="array" ref="AN3">ROUND(
  IF(AND(AN$1="Ensign", $AI3&gt;=2021, $AI3&lt;=2024),
    _xlfn.XLOOKUP($AI3, Ensign!$A$2:$A$12, Ensign!$B$2:$B$12),
    _xlfn.XLOOKUP($AI3, 'Historic (IPEDS &amp; 2019 RTP)'!$A:$A, _xlfn.XLOOKUP(AN$1, 'Historic (IPEDS &amp; 2019 RTP)'!$A$1:$H$1, 'Historic (IPEDS &amp; 2019 RTP)'!$A:$H),
      IFERROR(_xlfn.XLOOKUP($AI3, 'USHE Historic'!$A$3:$A$13, _xlfn.XLOOKUP(AN$1, 'USHE Historic'!$A$2:$E$2, 'USHE Historic'!$A$3:$E$13)),
        _xlfn.IFS(
          AN$1="BYU", IFERROR(_xlfn.XLOOKUP($AI3, 'MAG College Enrollment Forecast'!$A:$A, 'MAG College Enrollment Forecast'!$B:$B), (AN$72-AN2)/($AI$72-$AI2)*($AI3-$AI2)+AN2),
          AN$1="UVU", IFERROR(_xlfn.XLOOKUP($AI3, 'MAG College Enrollment Forecast'!$A:$A, 'MAG College Enrollment Forecast'!$C:$C+'MAG College Enrollment Forecast'!$D:$D+'MAG College Enrollment Forecast'!$E:$E+'MAG College Enrollment Forecast'!$F:$F+'MAG College Enrollment Forecast'!$G:$G+'MAG College Enrollment Forecast'!$H:$H), (AN$72-AN2)/($AI$72-$AI2)*($AI3-$AI2)+AN2),
          TRUE, IFERROR(_xlfn.XLOOKUP($AI3, 'USHE Projections'!$A:$A, IFERROR(_xlfn.XLOOKUP(AN$1, 'USHE Projections'!$A$1:$E$1, 'USHE Projections'!$A:$E), "NONE"), (AN$72-AN2)/($AI$72-$AI2)*($AI3-$AI2)+AN2), (AN$72-AN2)/($AI$72-$AI2)*($AI3-$AI2)+AN2)
        )
      )
    )
  ), 0)</f>
        <v>31101</v>
      </c>
      <c r="AO3" s="20" cm="1">
        <f t="array" ref="AO3">ROUND(
  IF(AND(AO$1="Ensign", $AI3&gt;=2021, $AI3&lt;=2024),
    _xlfn.XLOOKUP($AI3, Ensign!$A$2:$A$12, Ensign!$B$2:$B$12),
    _xlfn.XLOOKUP($AI3, 'Historic (IPEDS &amp; 2019 RTP)'!$A:$A, _xlfn.XLOOKUP(AO$1, 'Historic (IPEDS &amp; 2019 RTP)'!$A$1:$H$1, 'Historic (IPEDS &amp; 2019 RTP)'!$A:$H),
      IFERROR(_xlfn.XLOOKUP($AI3, 'USHE Historic'!$A$3:$A$13, _xlfn.XLOOKUP(AO$1, 'USHE Historic'!$A$2:$E$2, 'USHE Historic'!$A$3:$E$13)),
        _xlfn.IFS(
          AO$1="BYU", IFERROR(_xlfn.XLOOKUP($AI3, 'MAG College Enrollment Forecast'!$A:$A, 'MAG College Enrollment Forecast'!$B:$B), (AO$72-AO2)/($AI$72-$AI2)*($AI3-$AI2)+AO2),
          AO$1="UVU", IFERROR(_xlfn.XLOOKUP($AI3, 'MAG College Enrollment Forecast'!$A:$A, 'MAG College Enrollment Forecast'!$C:$C+'MAG College Enrollment Forecast'!$D:$D+'MAG College Enrollment Forecast'!$E:$E+'MAG College Enrollment Forecast'!$F:$F+'MAG College Enrollment Forecast'!$G:$G+'MAG College Enrollment Forecast'!$H:$H), (AO$72-AO2)/($AI$72-$AI2)*($AI3-$AI2)+AO2),
          TRUE, IFERROR(_xlfn.XLOOKUP($AI3, 'USHE Projections'!$A:$A, IFERROR(_xlfn.XLOOKUP(AO$1, 'USHE Projections'!$A$1:$E$1, 'USHE Projections'!$A:$E), "NONE"), (AO$72-AO2)/($AI$72-$AI2)*($AI3-$AI2)+AO2), (AO$72-AO2)/($AI$72-$AI2)*($AI3-$AI2)+AO2)
        )
      )
    )
  ), 0)</f>
        <v>0</v>
      </c>
      <c r="AP3" s="20" cm="1">
        <f t="array" ref="AP3">ROUND(
  IF(AND(AP$1="Ensign", $AI3&gt;=2021, $AI3&lt;=2024),
    _xlfn.XLOOKUP($AI3, Ensign!$A$2:$A$12, Ensign!$B$2:$B$12),
    _xlfn.XLOOKUP($AI3, 'Historic (IPEDS &amp; 2019 RTP)'!$A:$A, _xlfn.XLOOKUP(AP$1, 'Historic (IPEDS &amp; 2019 RTP)'!$A$1:$H$1, 'Historic (IPEDS &amp; 2019 RTP)'!$A:$H),
      IFERROR(_xlfn.XLOOKUP($AI3, 'USHE Historic'!$A$3:$A$13, _xlfn.XLOOKUP(AP$1, 'USHE Historic'!$A$2:$E$2, 'USHE Historic'!$A$3:$E$13)),
        _xlfn.IFS(
          AP$1="BYU", IFERROR(_xlfn.XLOOKUP($AI3, 'MAG College Enrollment Forecast'!$A:$A, 'MAG College Enrollment Forecast'!$B:$B), (AP$72-AP2)/($AI$72-$AI2)*($AI3-$AI2)+AP2),
          AP$1="UVU", IFERROR(_xlfn.XLOOKUP($AI3, 'MAG College Enrollment Forecast'!$A:$A, 'MAG College Enrollment Forecast'!$C:$C+'MAG College Enrollment Forecast'!$D:$D+'MAG College Enrollment Forecast'!$E:$E+'MAG College Enrollment Forecast'!$F:$F+'MAG College Enrollment Forecast'!$G:$G+'MAG College Enrollment Forecast'!$H:$H), (AP$72-AP2)/($AI$72-$AI2)*($AI3-$AI2)+AP2),
          TRUE, IFERROR(_xlfn.XLOOKUP($AI3, 'USHE Projections'!$A:$A, IFERROR(_xlfn.XLOOKUP(AP$1, 'USHE Projections'!$A$1:$E$1, 'USHE Projections'!$A:$E), "NONE"), (AP$72-AP2)/($AI$72-$AI2)*($AI3-$AI2)+AP2), (AP$72-AP2)/($AI$72-$AI2)*($AI3-$AI2)+AP2)
        )
      )
    )
  ), 0)</f>
        <v>0</v>
      </c>
      <c r="AQ3" s="7"/>
    </row>
    <row r="4" spans="1:43">
      <c r="AI4" s="3">
        <v>1992</v>
      </c>
      <c r="AJ4" s="20" cm="1">
        <f t="array" ref="AJ4">ROUND(
  IF(AND(AJ$1="Ensign", $AI4&gt;=2021, $AI4&lt;=2024),
    _xlfn.XLOOKUP($AI4, Ensign!$A$2:$A$12, Ensign!$B$2:$B$12),
    _xlfn.XLOOKUP($AI4, 'Historic (IPEDS &amp; 2019 RTP)'!$A:$A, _xlfn.XLOOKUP(AJ$1, 'Historic (IPEDS &amp; 2019 RTP)'!$A$1:$H$1, 'Historic (IPEDS &amp; 2019 RTP)'!$A:$H),
      IFERROR(_xlfn.XLOOKUP($AI4, 'USHE Historic'!$A$3:$A$13, _xlfn.XLOOKUP(AJ$1, 'USHE Historic'!$A$2:$E$2, 'USHE Historic'!$A$3:$E$13)),
        _xlfn.IFS(
          AJ$1="BYU", IFERROR(_xlfn.XLOOKUP($AI4, 'MAG College Enrollment Forecast'!$A:$A, 'MAG College Enrollment Forecast'!$B:$B), (AJ$72-AJ3)/($AI$72-$AI3)*($AI4-$AI3)+AJ3),
          AJ$1="UVU", IFERROR(_xlfn.XLOOKUP($AI4, 'MAG College Enrollment Forecast'!$A:$A, 'MAG College Enrollment Forecast'!$C:$C+'MAG College Enrollment Forecast'!$D:$D+'MAG College Enrollment Forecast'!$E:$E+'MAG College Enrollment Forecast'!$F:$F+'MAG College Enrollment Forecast'!$G:$G+'MAG College Enrollment Forecast'!$H:$H), (AJ$72-AJ3)/($AI$72-$AI3)*($AI4-$AI3)+AJ3),
          TRUE, IFERROR(_xlfn.XLOOKUP($AI4, 'USHE Projections'!$A:$A, IFERROR(_xlfn.XLOOKUP(AJ$1, 'USHE Projections'!$A$1:$E$1, 'USHE Projections'!$A:$E), "NONE"), (AJ$72-AJ3)/($AI$72-$AI3)*($AI4-$AI3)+AJ3), (AJ$72-AJ3)/($AI$72-$AI3)*($AI4-$AI3)+AJ3)
        )
      )
    )
  ), 0)</f>
        <v>25868</v>
      </c>
      <c r="AK4" s="20" cm="1">
        <f t="array" ref="AK4">ROUND(
  IF(AND(AK$1="Ensign", $AI4&gt;=2021, $AI4&lt;=2024),
    _xlfn.XLOOKUP($AI4, Ensign!$A$2:$A$12, Ensign!$B$2:$B$12),
    _xlfn.XLOOKUP($AI4, 'Historic (IPEDS &amp; 2019 RTP)'!$A:$A, _xlfn.XLOOKUP(AK$1, 'Historic (IPEDS &amp; 2019 RTP)'!$A$1:$H$1, 'Historic (IPEDS &amp; 2019 RTP)'!$A:$H),
      IFERROR(_xlfn.XLOOKUP($AI4, 'USHE Historic'!$A$3:$A$13, _xlfn.XLOOKUP(AK$1, 'USHE Historic'!$A$2:$E$2, 'USHE Historic'!$A$3:$E$13)),
        _xlfn.IFS(
          AK$1="BYU", IFERROR(_xlfn.XLOOKUP($AI4, 'MAG College Enrollment Forecast'!$A:$A, 'MAG College Enrollment Forecast'!$B:$B), (AK$72-AK3)/($AI$72-$AI3)*($AI4-$AI3)+AK3),
          AK$1="UVU", IFERROR(_xlfn.XLOOKUP($AI4, 'MAG College Enrollment Forecast'!$A:$A, 'MAG College Enrollment Forecast'!$C:$C+'MAG College Enrollment Forecast'!$D:$D+'MAG College Enrollment Forecast'!$E:$E+'MAG College Enrollment Forecast'!$F:$F+'MAG College Enrollment Forecast'!$G:$G+'MAG College Enrollment Forecast'!$H:$H), (AK$72-AK3)/($AI$72-$AI3)*($AI4-$AI3)+AK3),
          TRUE, IFERROR(_xlfn.XLOOKUP($AI4, 'USHE Projections'!$A:$A, IFERROR(_xlfn.XLOOKUP(AK$1, 'USHE Projections'!$A$1:$E$1, 'USHE Projections'!$A:$E), "NONE"), (AK$72-AK3)/($AI$72-$AI3)*($AI4-$AI3)+AK3), (AK$72-AK3)/($AI$72-$AI3)*($AI4-$AI3)+AK3)
        )
      )
    )
  ), 0)</f>
        <v>14993</v>
      </c>
      <c r="AL4" s="20" cm="1">
        <f t="array" ref="AL4">ROUND(
  IF(AND(AL$1="Ensign", $AI4&gt;=2021, $AI4&lt;=2024),
    _xlfn.XLOOKUP($AI4, Ensign!$A$2:$A$12, Ensign!$B$2:$B$12),
    _xlfn.XLOOKUP($AI4, 'Historic (IPEDS &amp; 2019 RTP)'!$A:$A, _xlfn.XLOOKUP(AL$1, 'Historic (IPEDS &amp; 2019 RTP)'!$A$1:$H$1, 'Historic (IPEDS &amp; 2019 RTP)'!$A:$H),
      IFERROR(_xlfn.XLOOKUP($AI4, 'USHE Historic'!$A$3:$A$13, _xlfn.XLOOKUP(AL$1, 'USHE Historic'!$A$2:$E$2, 'USHE Historic'!$A$3:$E$13)),
        _xlfn.IFS(
          AL$1="BYU", IFERROR(_xlfn.XLOOKUP($AI4, 'MAG College Enrollment Forecast'!$A:$A, 'MAG College Enrollment Forecast'!$B:$B), (AL$72-AL3)/($AI$72-$AI3)*($AI4-$AI3)+AL3),
          AL$1="UVU", IFERROR(_xlfn.XLOOKUP($AI4, 'MAG College Enrollment Forecast'!$A:$A, 'MAG College Enrollment Forecast'!$C:$C+'MAG College Enrollment Forecast'!$D:$D+'MAG College Enrollment Forecast'!$E:$E+'MAG College Enrollment Forecast'!$F:$F+'MAG College Enrollment Forecast'!$G:$G+'MAG College Enrollment Forecast'!$H:$H), (AL$72-AL3)/($AI$72-$AI3)*($AI4-$AI3)+AL3),
          TRUE, IFERROR(_xlfn.XLOOKUP($AI4, 'USHE Projections'!$A:$A, IFERROR(_xlfn.XLOOKUP(AL$1, 'USHE Projections'!$A$1:$E$1, 'USHE Projections'!$A:$E), "NONE"), (AL$72-AL3)/($AI$72-$AI3)*($AI4-$AI3)+AL3), (AL$72-AL3)/($AI$72-$AI3)*($AI4-$AI3)+AL3)
        )
      )
    )
  ), 0)</f>
        <v>9623</v>
      </c>
      <c r="AM4" s="20" cm="1">
        <f t="array" ref="AM4">ROUND(
  IF(AND(AM$1="Ensign", $AI4&gt;=2021, $AI4&lt;=2024),
    _xlfn.XLOOKUP($AI4, Ensign!$A$2:$A$12, Ensign!$B$2:$B$12),
    _xlfn.XLOOKUP($AI4, 'Historic (IPEDS &amp; 2019 RTP)'!$A:$A, _xlfn.XLOOKUP(AM$1, 'Historic (IPEDS &amp; 2019 RTP)'!$A$1:$H$1, 'Historic (IPEDS &amp; 2019 RTP)'!$A:$H),
      IFERROR(_xlfn.XLOOKUP($AI4, 'USHE Historic'!$A$3:$A$13, _xlfn.XLOOKUP(AM$1, 'USHE Historic'!$A$2:$E$2, 'USHE Historic'!$A$3:$E$13)),
        _xlfn.IFS(
          AM$1="BYU", IFERROR(_xlfn.XLOOKUP($AI4, 'MAG College Enrollment Forecast'!$A:$A, 'MAG College Enrollment Forecast'!$B:$B), (AM$72-AM3)/($AI$72-$AI3)*($AI4-$AI3)+AM3),
          AM$1="UVU", IFERROR(_xlfn.XLOOKUP($AI4, 'MAG College Enrollment Forecast'!$A:$A, 'MAG College Enrollment Forecast'!$C:$C+'MAG College Enrollment Forecast'!$D:$D+'MAG College Enrollment Forecast'!$E:$E+'MAG College Enrollment Forecast'!$F:$F+'MAG College Enrollment Forecast'!$G:$G+'MAG College Enrollment Forecast'!$H:$H), (AM$72-AM3)/($AI$72-$AI3)*($AI4-$AI3)+AM3),
          TRUE, IFERROR(_xlfn.XLOOKUP($AI4, 'USHE Projections'!$A:$A, IFERROR(_xlfn.XLOOKUP(AM$1, 'USHE Projections'!$A$1:$E$1, 'USHE Projections'!$A:$E), "NONE"), (AM$72-AM3)/($AI$72-$AI3)*($AI4-$AI3)+AM3), (AM$72-AM3)/($AI$72-$AI3)*($AI4-$AI3)+AM3)
        )
      )
    )
  ), 0)</f>
        <v>17766</v>
      </c>
      <c r="AN4" s="20" cm="1">
        <f t="array" ref="AN4">ROUND(
  IF(AND(AN$1="Ensign", $AI4&gt;=2021, $AI4&lt;=2024),
    _xlfn.XLOOKUP($AI4, Ensign!$A$2:$A$12, Ensign!$B$2:$B$12),
    _xlfn.XLOOKUP($AI4, 'Historic (IPEDS &amp; 2019 RTP)'!$A:$A, _xlfn.XLOOKUP(AN$1, 'Historic (IPEDS &amp; 2019 RTP)'!$A$1:$H$1, 'Historic (IPEDS &amp; 2019 RTP)'!$A:$H),
      IFERROR(_xlfn.XLOOKUP($AI4, 'USHE Historic'!$A$3:$A$13, _xlfn.XLOOKUP(AN$1, 'USHE Historic'!$A$2:$E$2, 'USHE Historic'!$A$3:$E$13)),
        _xlfn.IFS(
          AN$1="BYU", IFERROR(_xlfn.XLOOKUP($AI4, 'MAG College Enrollment Forecast'!$A:$A, 'MAG College Enrollment Forecast'!$B:$B), (AN$72-AN3)/($AI$72-$AI3)*($AI4-$AI3)+AN3),
          AN$1="UVU", IFERROR(_xlfn.XLOOKUP($AI4, 'MAG College Enrollment Forecast'!$A:$A, 'MAG College Enrollment Forecast'!$C:$C+'MAG College Enrollment Forecast'!$D:$D+'MAG College Enrollment Forecast'!$E:$E+'MAG College Enrollment Forecast'!$F:$F+'MAG College Enrollment Forecast'!$G:$G+'MAG College Enrollment Forecast'!$H:$H), (AN$72-AN3)/($AI$72-$AI3)*($AI4-$AI3)+AN3),
          TRUE, IFERROR(_xlfn.XLOOKUP($AI4, 'USHE Projections'!$A:$A, IFERROR(_xlfn.XLOOKUP(AN$1, 'USHE Projections'!$A$1:$E$1, 'USHE Projections'!$A:$E), "NONE"), (AN$72-AN3)/($AI$72-$AI3)*($AI4-$AI3)+AN3), (AN$72-AN3)/($AI$72-$AI3)*($AI4-$AI3)+AN3)
        )
      )
    )
  ), 0)</f>
        <v>31108</v>
      </c>
      <c r="AO4" s="20" cm="1">
        <f t="array" ref="AO4">ROUND(
  IF(AND(AO$1="Ensign", $AI4&gt;=2021, $AI4&lt;=2024),
    _xlfn.XLOOKUP($AI4, Ensign!$A$2:$A$12, Ensign!$B$2:$B$12),
    _xlfn.XLOOKUP($AI4, 'Historic (IPEDS &amp; 2019 RTP)'!$A:$A, _xlfn.XLOOKUP(AO$1, 'Historic (IPEDS &amp; 2019 RTP)'!$A$1:$H$1, 'Historic (IPEDS &amp; 2019 RTP)'!$A:$H),
      IFERROR(_xlfn.XLOOKUP($AI4, 'USHE Historic'!$A$3:$A$13, _xlfn.XLOOKUP(AO$1, 'USHE Historic'!$A$2:$E$2, 'USHE Historic'!$A$3:$E$13)),
        _xlfn.IFS(
          AO$1="BYU", IFERROR(_xlfn.XLOOKUP($AI4, 'MAG College Enrollment Forecast'!$A:$A, 'MAG College Enrollment Forecast'!$B:$B), (AO$72-AO3)/($AI$72-$AI3)*($AI4-$AI3)+AO3),
          AO$1="UVU", IFERROR(_xlfn.XLOOKUP($AI4, 'MAG College Enrollment Forecast'!$A:$A, 'MAG College Enrollment Forecast'!$C:$C+'MAG College Enrollment Forecast'!$D:$D+'MAG College Enrollment Forecast'!$E:$E+'MAG College Enrollment Forecast'!$F:$F+'MAG College Enrollment Forecast'!$G:$G+'MAG College Enrollment Forecast'!$H:$H), (AO$72-AO3)/($AI$72-$AI3)*($AI4-$AI3)+AO3),
          TRUE, IFERROR(_xlfn.XLOOKUP($AI4, 'USHE Projections'!$A:$A, IFERROR(_xlfn.XLOOKUP(AO$1, 'USHE Projections'!$A$1:$E$1, 'USHE Projections'!$A:$E), "NONE"), (AO$72-AO3)/($AI$72-$AI3)*($AI4-$AI3)+AO3), (AO$72-AO3)/($AI$72-$AI3)*($AI4-$AI3)+AO3)
        )
      )
    )
  ), 0)</f>
        <v>0</v>
      </c>
      <c r="AP4" s="20" cm="1">
        <f t="array" ref="AP4">ROUND(
  IF(AND(AP$1="Ensign", $AI4&gt;=2021, $AI4&lt;=2024),
    _xlfn.XLOOKUP($AI4, Ensign!$A$2:$A$12, Ensign!$B$2:$B$12),
    _xlfn.XLOOKUP($AI4, 'Historic (IPEDS &amp; 2019 RTP)'!$A:$A, _xlfn.XLOOKUP(AP$1, 'Historic (IPEDS &amp; 2019 RTP)'!$A$1:$H$1, 'Historic (IPEDS &amp; 2019 RTP)'!$A:$H),
      IFERROR(_xlfn.XLOOKUP($AI4, 'USHE Historic'!$A$3:$A$13, _xlfn.XLOOKUP(AP$1, 'USHE Historic'!$A$2:$E$2, 'USHE Historic'!$A$3:$E$13)),
        _xlfn.IFS(
          AP$1="BYU", IFERROR(_xlfn.XLOOKUP($AI4, 'MAG College Enrollment Forecast'!$A:$A, 'MAG College Enrollment Forecast'!$B:$B), (AP$72-AP3)/($AI$72-$AI3)*($AI4-$AI3)+AP3),
          AP$1="UVU", IFERROR(_xlfn.XLOOKUP($AI4, 'MAG College Enrollment Forecast'!$A:$A, 'MAG College Enrollment Forecast'!$C:$C+'MAG College Enrollment Forecast'!$D:$D+'MAG College Enrollment Forecast'!$E:$E+'MAG College Enrollment Forecast'!$F:$F+'MAG College Enrollment Forecast'!$G:$G+'MAG College Enrollment Forecast'!$H:$H), (AP$72-AP3)/($AI$72-$AI3)*($AI4-$AI3)+AP3),
          TRUE, IFERROR(_xlfn.XLOOKUP($AI4, 'USHE Projections'!$A:$A, IFERROR(_xlfn.XLOOKUP(AP$1, 'USHE Projections'!$A$1:$E$1, 'USHE Projections'!$A:$E), "NONE"), (AP$72-AP3)/($AI$72-$AI3)*($AI4-$AI3)+AP3), (AP$72-AP3)/($AI$72-$AI3)*($AI4-$AI3)+AP3)
        )
      )
    )
  ), 0)</f>
        <v>0</v>
      </c>
      <c r="AQ4" s="7"/>
    </row>
    <row r="5" spans="1:43">
      <c r="AI5" s="3">
        <v>1993</v>
      </c>
      <c r="AJ5" s="20" cm="1">
        <f t="array" ref="AJ5">ROUND(
  IF(AND(AJ$1="Ensign", $AI5&gt;=2021, $AI5&lt;=2024),
    _xlfn.XLOOKUP($AI5, Ensign!$A$2:$A$12, Ensign!$B$2:$B$12),
    _xlfn.XLOOKUP($AI5, 'Historic (IPEDS &amp; 2019 RTP)'!$A:$A, _xlfn.XLOOKUP(AJ$1, 'Historic (IPEDS &amp; 2019 RTP)'!$A$1:$H$1, 'Historic (IPEDS &amp; 2019 RTP)'!$A:$H),
      IFERROR(_xlfn.XLOOKUP($AI5, 'USHE Historic'!$A$3:$A$13, _xlfn.XLOOKUP(AJ$1, 'USHE Historic'!$A$2:$E$2, 'USHE Historic'!$A$3:$E$13)),
        _xlfn.IFS(
          AJ$1="BYU", IFERROR(_xlfn.XLOOKUP($AI5, 'MAG College Enrollment Forecast'!$A:$A, 'MAG College Enrollment Forecast'!$B:$B), (AJ$72-AJ4)/($AI$72-$AI4)*($AI5-$AI4)+AJ4),
          AJ$1="UVU", IFERROR(_xlfn.XLOOKUP($AI5, 'MAG College Enrollment Forecast'!$A:$A, 'MAG College Enrollment Forecast'!$C:$C+'MAG College Enrollment Forecast'!$D:$D+'MAG College Enrollment Forecast'!$E:$E+'MAG College Enrollment Forecast'!$F:$F+'MAG College Enrollment Forecast'!$G:$G+'MAG College Enrollment Forecast'!$H:$H), (AJ$72-AJ4)/($AI$72-$AI4)*($AI5-$AI4)+AJ4),
          TRUE, IFERROR(_xlfn.XLOOKUP($AI5, 'USHE Projections'!$A:$A, IFERROR(_xlfn.XLOOKUP(AJ$1, 'USHE Projections'!$A$1:$E$1, 'USHE Projections'!$A:$E), "NONE"), (AJ$72-AJ4)/($AI$72-$AI4)*($AI5-$AI4)+AJ4), (AJ$72-AJ4)/($AI$72-$AI4)*($AI5-$AI4)+AJ4)
        )
      )
    )
  ), 0)</f>
        <v>25982</v>
      </c>
      <c r="AK5" s="20" cm="1">
        <f t="array" ref="AK5">ROUND(
  IF(AND(AK$1="Ensign", $AI5&gt;=2021, $AI5&lt;=2024),
    _xlfn.XLOOKUP($AI5, Ensign!$A$2:$A$12, Ensign!$B$2:$B$12),
    _xlfn.XLOOKUP($AI5, 'Historic (IPEDS &amp; 2019 RTP)'!$A:$A, _xlfn.XLOOKUP(AK$1, 'Historic (IPEDS &amp; 2019 RTP)'!$A$1:$H$1, 'Historic (IPEDS &amp; 2019 RTP)'!$A:$H),
      IFERROR(_xlfn.XLOOKUP($AI5, 'USHE Historic'!$A$3:$A$13, _xlfn.XLOOKUP(AK$1, 'USHE Historic'!$A$2:$E$2, 'USHE Historic'!$A$3:$E$13)),
        _xlfn.IFS(
          AK$1="BYU", IFERROR(_xlfn.XLOOKUP($AI5, 'MAG College Enrollment Forecast'!$A:$A, 'MAG College Enrollment Forecast'!$B:$B), (AK$72-AK4)/($AI$72-$AI4)*($AI5-$AI4)+AK4),
          AK$1="UVU", IFERROR(_xlfn.XLOOKUP($AI5, 'MAG College Enrollment Forecast'!$A:$A, 'MAG College Enrollment Forecast'!$C:$C+'MAG College Enrollment Forecast'!$D:$D+'MAG College Enrollment Forecast'!$E:$E+'MAG College Enrollment Forecast'!$F:$F+'MAG College Enrollment Forecast'!$G:$G+'MAG College Enrollment Forecast'!$H:$H), (AK$72-AK4)/($AI$72-$AI4)*($AI5-$AI4)+AK4),
          TRUE, IFERROR(_xlfn.XLOOKUP($AI5, 'USHE Projections'!$A:$A, IFERROR(_xlfn.XLOOKUP(AK$1, 'USHE Projections'!$A$1:$E$1, 'USHE Projections'!$A:$E), "NONE"), (AK$72-AK4)/($AI$72-$AI4)*($AI5-$AI4)+AK4), (AK$72-AK4)/($AI$72-$AI4)*($AI5-$AI4)+AK4)
        )
      )
    )
  ), 0)</f>
        <v>14447</v>
      </c>
      <c r="AL5" s="20" cm="1">
        <f t="array" ref="AL5">ROUND(
  IF(AND(AL$1="Ensign", $AI5&gt;=2021, $AI5&lt;=2024),
    _xlfn.XLOOKUP($AI5, Ensign!$A$2:$A$12, Ensign!$B$2:$B$12),
    _xlfn.XLOOKUP($AI5, 'Historic (IPEDS &amp; 2019 RTP)'!$A:$A, _xlfn.XLOOKUP(AL$1, 'Historic (IPEDS &amp; 2019 RTP)'!$A$1:$H$1, 'Historic (IPEDS &amp; 2019 RTP)'!$A:$H),
      IFERROR(_xlfn.XLOOKUP($AI5, 'USHE Historic'!$A$3:$A$13, _xlfn.XLOOKUP(AL$1, 'USHE Historic'!$A$2:$E$2, 'USHE Historic'!$A$3:$E$13)),
        _xlfn.IFS(
          AL$1="BYU", IFERROR(_xlfn.XLOOKUP($AI5, 'MAG College Enrollment Forecast'!$A:$A, 'MAG College Enrollment Forecast'!$B:$B), (AL$72-AL4)/($AI$72-$AI4)*($AI5-$AI4)+AL4),
          AL$1="UVU", IFERROR(_xlfn.XLOOKUP($AI5, 'MAG College Enrollment Forecast'!$A:$A, 'MAG College Enrollment Forecast'!$C:$C+'MAG College Enrollment Forecast'!$D:$D+'MAG College Enrollment Forecast'!$E:$E+'MAG College Enrollment Forecast'!$F:$F+'MAG College Enrollment Forecast'!$G:$G+'MAG College Enrollment Forecast'!$H:$H), (AL$72-AL4)/($AI$72-$AI4)*($AI5-$AI4)+AL4),
          TRUE, IFERROR(_xlfn.XLOOKUP($AI5, 'USHE Projections'!$A:$A, IFERROR(_xlfn.XLOOKUP(AL$1, 'USHE Projections'!$A$1:$E$1, 'USHE Projections'!$A:$E), "NONE"), (AL$72-AL4)/($AI$72-$AI4)*($AI5-$AI4)+AL4), (AL$72-AL4)/($AI$72-$AI4)*($AI5-$AI4)+AL4)
        )
      )
    )
  ), 0)</f>
        <v>10512</v>
      </c>
      <c r="AM5" s="20" cm="1">
        <f t="array" ref="AM5">ROUND(
  IF(AND(AM$1="Ensign", $AI5&gt;=2021, $AI5&lt;=2024),
    _xlfn.XLOOKUP($AI5, Ensign!$A$2:$A$12, Ensign!$B$2:$B$12),
    _xlfn.XLOOKUP($AI5, 'Historic (IPEDS &amp; 2019 RTP)'!$A:$A, _xlfn.XLOOKUP(AM$1, 'Historic (IPEDS &amp; 2019 RTP)'!$A$1:$H$1, 'Historic (IPEDS &amp; 2019 RTP)'!$A:$H),
      IFERROR(_xlfn.XLOOKUP($AI5, 'USHE Historic'!$A$3:$A$13, _xlfn.XLOOKUP(AM$1, 'USHE Historic'!$A$2:$E$2, 'USHE Historic'!$A$3:$E$13)),
        _xlfn.IFS(
          AM$1="BYU", IFERROR(_xlfn.XLOOKUP($AI5, 'MAG College Enrollment Forecast'!$A:$A, 'MAG College Enrollment Forecast'!$B:$B), (AM$72-AM4)/($AI$72-$AI4)*($AI5-$AI4)+AM4),
          AM$1="UVU", IFERROR(_xlfn.XLOOKUP($AI5, 'MAG College Enrollment Forecast'!$A:$A, 'MAG College Enrollment Forecast'!$C:$C+'MAG College Enrollment Forecast'!$D:$D+'MAG College Enrollment Forecast'!$E:$E+'MAG College Enrollment Forecast'!$F:$F+'MAG College Enrollment Forecast'!$G:$G+'MAG College Enrollment Forecast'!$H:$H), (AM$72-AM4)/($AI$72-$AI4)*($AI5-$AI4)+AM4),
          TRUE, IFERROR(_xlfn.XLOOKUP($AI5, 'USHE Projections'!$A:$A, IFERROR(_xlfn.XLOOKUP(AM$1, 'USHE Projections'!$A$1:$E$1, 'USHE Projections'!$A:$E), "NONE"), (AM$72-AM4)/($AI$72-$AI4)*($AI5-$AI4)+AM4), (AM$72-AM4)/($AI$72-$AI4)*($AI5-$AI4)+AM4)
        )
      )
    )
  ), 0)</f>
        <v>18311</v>
      </c>
      <c r="AN5" s="20" cm="1">
        <f t="array" ref="AN5">ROUND(
  IF(AND(AN$1="Ensign", $AI5&gt;=2021, $AI5&lt;=2024),
    _xlfn.XLOOKUP($AI5, Ensign!$A$2:$A$12, Ensign!$B$2:$B$12),
    _xlfn.XLOOKUP($AI5, 'Historic (IPEDS &amp; 2019 RTP)'!$A:$A, _xlfn.XLOOKUP(AN$1, 'Historic (IPEDS &amp; 2019 RTP)'!$A$1:$H$1, 'Historic (IPEDS &amp; 2019 RTP)'!$A:$H),
      IFERROR(_xlfn.XLOOKUP($AI5, 'USHE Historic'!$A$3:$A$13, _xlfn.XLOOKUP(AN$1, 'USHE Historic'!$A$2:$E$2, 'USHE Historic'!$A$3:$E$13)),
        _xlfn.IFS(
          AN$1="BYU", IFERROR(_xlfn.XLOOKUP($AI5, 'MAG College Enrollment Forecast'!$A:$A, 'MAG College Enrollment Forecast'!$B:$B), (AN$72-AN4)/($AI$72-$AI4)*($AI5-$AI4)+AN4),
          AN$1="UVU", IFERROR(_xlfn.XLOOKUP($AI5, 'MAG College Enrollment Forecast'!$A:$A, 'MAG College Enrollment Forecast'!$C:$C+'MAG College Enrollment Forecast'!$D:$D+'MAG College Enrollment Forecast'!$E:$E+'MAG College Enrollment Forecast'!$F:$F+'MAG College Enrollment Forecast'!$G:$G+'MAG College Enrollment Forecast'!$H:$H), (AN$72-AN4)/($AI$72-$AI4)*($AI5-$AI4)+AN4),
          TRUE, IFERROR(_xlfn.XLOOKUP($AI5, 'USHE Projections'!$A:$A, IFERROR(_xlfn.XLOOKUP(AN$1, 'USHE Projections'!$A$1:$E$1, 'USHE Projections'!$A:$E), "NONE"), (AN$72-AN4)/($AI$72-$AI4)*($AI5-$AI4)+AN4), (AN$72-AN4)/($AI$72-$AI4)*($AI5-$AI4)+AN4)
        )
      )
    )
  ), 0)</f>
        <v>30547</v>
      </c>
      <c r="AO5" s="20" cm="1">
        <f t="array" ref="AO5">ROUND(
  IF(AND(AO$1="Ensign", $AI5&gt;=2021, $AI5&lt;=2024),
    _xlfn.XLOOKUP($AI5, Ensign!$A$2:$A$12, Ensign!$B$2:$B$12),
    _xlfn.XLOOKUP($AI5, 'Historic (IPEDS &amp; 2019 RTP)'!$A:$A, _xlfn.XLOOKUP(AO$1, 'Historic (IPEDS &amp; 2019 RTP)'!$A$1:$H$1, 'Historic (IPEDS &amp; 2019 RTP)'!$A:$H),
      IFERROR(_xlfn.XLOOKUP($AI5, 'USHE Historic'!$A$3:$A$13, _xlfn.XLOOKUP(AO$1, 'USHE Historic'!$A$2:$E$2, 'USHE Historic'!$A$3:$E$13)),
        _xlfn.IFS(
          AO$1="BYU", IFERROR(_xlfn.XLOOKUP($AI5, 'MAG College Enrollment Forecast'!$A:$A, 'MAG College Enrollment Forecast'!$B:$B), (AO$72-AO4)/($AI$72-$AI4)*($AI5-$AI4)+AO4),
          AO$1="UVU", IFERROR(_xlfn.XLOOKUP($AI5, 'MAG College Enrollment Forecast'!$A:$A, 'MAG College Enrollment Forecast'!$C:$C+'MAG College Enrollment Forecast'!$D:$D+'MAG College Enrollment Forecast'!$E:$E+'MAG College Enrollment Forecast'!$F:$F+'MAG College Enrollment Forecast'!$G:$G+'MAG College Enrollment Forecast'!$H:$H), (AO$72-AO4)/($AI$72-$AI4)*($AI5-$AI4)+AO4),
          TRUE, IFERROR(_xlfn.XLOOKUP($AI5, 'USHE Projections'!$A:$A, IFERROR(_xlfn.XLOOKUP(AO$1, 'USHE Projections'!$A$1:$E$1, 'USHE Projections'!$A:$E), "NONE"), (AO$72-AO4)/($AI$72-$AI4)*($AI5-$AI4)+AO4), (AO$72-AO4)/($AI$72-$AI4)*($AI5-$AI4)+AO4)
        )
      )
    )
  ), 0)</f>
        <v>0</v>
      </c>
      <c r="AP5" s="20" cm="1">
        <f t="array" ref="AP5">ROUND(
  IF(AND(AP$1="Ensign", $AI5&gt;=2021, $AI5&lt;=2024),
    _xlfn.XLOOKUP($AI5, Ensign!$A$2:$A$12, Ensign!$B$2:$B$12),
    _xlfn.XLOOKUP($AI5, 'Historic (IPEDS &amp; 2019 RTP)'!$A:$A, _xlfn.XLOOKUP(AP$1, 'Historic (IPEDS &amp; 2019 RTP)'!$A$1:$H$1, 'Historic (IPEDS &amp; 2019 RTP)'!$A:$H),
      IFERROR(_xlfn.XLOOKUP($AI5, 'USHE Historic'!$A$3:$A$13, _xlfn.XLOOKUP(AP$1, 'USHE Historic'!$A$2:$E$2, 'USHE Historic'!$A$3:$E$13)),
        _xlfn.IFS(
          AP$1="BYU", IFERROR(_xlfn.XLOOKUP($AI5, 'MAG College Enrollment Forecast'!$A:$A, 'MAG College Enrollment Forecast'!$B:$B), (AP$72-AP4)/($AI$72-$AI4)*($AI5-$AI4)+AP4),
          AP$1="UVU", IFERROR(_xlfn.XLOOKUP($AI5, 'MAG College Enrollment Forecast'!$A:$A, 'MAG College Enrollment Forecast'!$C:$C+'MAG College Enrollment Forecast'!$D:$D+'MAG College Enrollment Forecast'!$E:$E+'MAG College Enrollment Forecast'!$F:$F+'MAG College Enrollment Forecast'!$G:$G+'MAG College Enrollment Forecast'!$H:$H), (AP$72-AP4)/($AI$72-$AI4)*($AI5-$AI4)+AP4),
          TRUE, IFERROR(_xlfn.XLOOKUP($AI5, 'USHE Projections'!$A:$A, IFERROR(_xlfn.XLOOKUP(AP$1, 'USHE Projections'!$A$1:$E$1, 'USHE Projections'!$A:$E), "NONE"), (AP$72-AP4)/($AI$72-$AI4)*($AI5-$AI4)+AP4), (AP$72-AP4)/($AI$72-$AI4)*($AI5-$AI4)+AP4)
        )
      )
    )
  ), 0)</f>
        <v>0</v>
      </c>
      <c r="AQ5" s="7"/>
    </row>
    <row r="6" spans="1:43">
      <c r="AI6" s="3">
        <v>1994</v>
      </c>
      <c r="AJ6" s="20" cm="1">
        <f t="array" ref="AJ6">ROUND(
  IF(AND(AJ$1="Ensign", $AI6&gt;=2021, $AI6&lt;=2024),
    _xlfn.XLOOKUP($AI6, Ensign!$A$2:$A$12, Ensign!$B$2:$B$12),
    _xlfn.XLOOKUP($AI6, 'Historic (IPEDS &amp; 2019 RTP)'!$A:$A, _xlfn.XLOOKUP(AJ$1, 'Historic (IPEDS &amp; 2019 RTP)'!$A$1:$H$1, 'Historic (IPEDS &amp; 2019 RTP)'!$A:$H),
      IFERROR(_xlfn.XLOOKUP($AI6, 'USHE Historic'!$A$3:$A$13, _xlfn.XLOOKUP(AJ$1, 'USHE Historic'!$A$2:$E$2, 'USHE Historic'!$A$3:$E$13)),
        _xlfn.IFS(
          AJ$1="BYU", IFERROR(_xlfn.XLOOKUP($AI6, 'MAG College Enrollment Forecast'!$A:$A, 'MAG College Enrollment Forecast'!$B:$B), (AJ$72-AJ5)/($AI$72-$AI5)*($AI6-$AI5)+AJ5),
          AJ$1="UVU", IFERROR(_xlfn.XLOOKUP($AI6, 'MAG College Enrollment Forecast'!$A:$A, 'MAG College Enrollment Forecast'!$C:$C+'MAG College Enrollment Forecast'!$D:$D+'MAG College Enrollment Forecast'!$E:$E+'MAG College Enrollment Forecast'!$F:$F+'MAG College Enrollment Forecast'!$G:$G+'MAG College Enrollment Forecast'!$H:$H), (AJ$72-AJ5)/($AI$72-$AI5)*($AI6-$AI5)+AJ5),
          TRUE, IFERROR(_xlfn.XLOOKUP($AI6, 'USHE Projections'!$A:$A, IFERROR(_xlfn.XLOOKUP(AJ$1, 'USHE Projections'!$A$1:$E$1, 'USHE Projections'!$A:$E), "NONE"), (AJ$72-AJ5)/($AI$72-$AI5)*($AI6-$AI5)+AJ5), (AJ$72-AJ5)/($AI$72-$AI5)*($AI6-$AI5)+AJ5)
        )
      )
    )
  ), 0)</f>
        <v>25645</v>
      </c>
      <c r="AK6" s="20" cm="1">
        <f t="array" ref="AK6">ROUND(
  IF(AND(AK$1="Ensign", $AI6&gt;=2021, $AI6&lt;=2024),
    _xlfn.XLOOKUP($AI6, Ensign!$A$2:$A$12, Ensign!$B$2:$B$12),
    _xlfn.XLOOKUP($AI6, 'Historic (IPEDS &amp; 2019 RTP)'!$A:$A, _xlfn.XLOOKUP(AK$1, 'Historic (IPEDS &amp; 2019 RTP)'!$A$1:$H$1, 'Historic (IPEDS &amp; 2019 RTP)'!$A:$H),
      IFERROR(_xlfn.XLOOKUP($AI6, 'USHE Historic'!$A$3:$A$13, _xlfn.XLOOKUP(AK$1, 'USHE Historic'!$A$2:$E$2, 'USHE Historic'!$A$3:$E$13)),
        _xlfn.IFS(
          AK$1="BYU", IFERROR(_xlfn.XLOOKUP($AI6, 'MAG College Enrollment Forecast'!$A:$A, 'MAG College Enrollment Forecast'!$B:$B), (AK$72-AK5)/($AI$72-$AI5)*($AI6-$AI5)+AK5),
          AK$1="UVU", IFERROR(_xlfn.XLOOKUP($AI6, 'MAG College Enrollment Forecast'!$A:$A, 'MAG College Enrollment Forecast'!$C:$C+'MAG College Enrollment Forecast'!$D:$D+'MAG College Enrollment Forecast'!$E:$E+'MAG College Enrollment Forecast'!$F:$F+'MAG College Enrollment Forecast'!$G:$G+'MAG College Enrollment Forecast'!$H:$H), (AK$72-AK5)/($AI$72-$AI5)*($AI6-$AI5)+AK5),
          TRUE, IFERROR(_xlfn.XLOOKUP($AI6, 'USHE Projections'!$A:$A, IFERROR(_xlfn.XLOOKUP(AK$1, 'USHE Projections'!$A$1:$E$1, 'USHE Projections'!$A:$E), "NONE"), (AK$72-AK5)/($AI$72-$AI5)*($AI6-$AI5)+AK5), (AK$72-AK5)/($AI$72-$AI5)*($AI6-$AI5)+AK5)
        )
      )
    )
  ), 0)</f>
        <v>14230</v>
      </c>
      <c r="AL6" s="20" cm="1">
        <f t="array" ref="AL6">ROUND(
  IF(AND(AL$1="Ensign", $AI6&gt;=2021, $AI6&lt;=2024),
    _xlfn.XLOOKUP($AI6, Ensign!$A$2:$A$12, Ensign!$B$2:$B$12),
    _xlfn.XLOOKUP($AI6, 'Historic (IPEDS &amp; 2019 RTP)'!$A:$A, _xlfn.XLOOKUP(AL$1, 'Historic (IPEDS &amp; 2019 RTP)'!$A$1:$H$1, 'Historic (IPEDS &amp; 2019 RTP)'!$A:$H),
      IFERROR(_xlfn.XLOOKUP($AI6, 'USHE Historic'!$A$3:$A$13, _xlfn.XLOOKUP(AL$1, 'USHE Historic'!$A$2:$E$2, 'USHE Historic'!$A$3:$E$13)),
        _xlfn.IFS(
          AL$1="BYU", IFERROR(_xlfn.XLOOKUP($AI6, 'MAG College Enrollment Forecast'!$A:$A, 'MAG College Enrollment Forecast'!$B:$B), (AL$72-AL5)/($AI$72-$AI5)*($AI6-$AI5)+AL5),
          AL$1="UVU", IFERROR(_xlfn.XLOOKUP($AI6, 'MAG College Enrollment Forecast'!$A:$A, 'MAG College Enrollment Forecast'!$C:$C+'MAG College Enrollment Forecast'!$D:$D+'MAG College Enrollment Forecast'!$E:$E+'MAG College Enrollment Forecast'!$F:$F+'MAG College Enrollment Forecast'!$G:$G+'MAG College Enrollment Forecast'!$H:$H), (AL$72-AL5)/($AI$72-$AI5)*($AI6-$AI5)+AL5),
          TRUE, IFERROR(_xlfn.XLOOKUP($AI6, 'USHE Projections'!$A:$A, IFERROR(_xlfn.XLOOKUP(AL$1, 'USHE Projections'!$A$1:$E$1, 'USHE Projections'!$A:$E), "NONE"), (AL$72-AL5)/($AI$72-$AI5)*($AI6-$AI5)+AL5), (AL$72-AL5)/($AI$72-$AI5)*($AI6-$AI5)+AL5)
        )
      )
    )
  ), 0)</f>
        <v>13293</v>
      </c>
      <c r="AM6" s="20" cm="1">
        <f t="array" ref="AM6">ROUND(
  IF(AND(AM$1="Ensign", $AI6&gt;=2021, $AI6&lt;=2024),
    _xlfn.XLOOKUP($AI6, Ensign!$A$2:$A$12, Ensign!$B$2:$B$12),
    _xlfn.XLOOKUP($AI6, 'Historic (IPEDS &amp; 2019 RTP)'!$A:$A, _xlfn.XLOOKUP(AM$1, 'Historic (IPEDS &amp; 2019 RTP)'!$A$1:$H$1, 'Historic (IPEDS &amp; 2019 RTP)'!$A:$H),
      IFERROR(_xlfn.XLOOKUP($AI6, 'USHE Historic'!$A$3:$A$13, _xlfn.XLOOKUP(AM$1, 'USHE Historic'!$A$2:$E$2, 'USHE Historic'!$A$3:$E$13)),
        _xlfn.IFS(
          AM$1="BYU", IFERROR(_xlfn.XLOOKUP($AI6, 'MAG College Enrollment Forecast'!$A:$A, 'MAG College Enrollment Forecast'!$B:$B), (AM$72-AM5)/($AI$72-$AI5)*($AI6-$AI5)+AM5),
          AM$1="UVU", IFERROR(_xlfn.XLOOKUP($AI6, 'MAG College Enrollment Forecast'!$A:$A, 'MAG College Enrollment Forecast'!$C:$C+'MAG College Enrollment Forecast'!$D:$D+'MAG College Enrollment Forecast'!$E:$E+'MAG College Enrollment Forecast'!$F:$F+'MAG College Enrollment Forecast'!$G:$G+'MAG College Enrollment Forecast'!$H:$H), (AM$72-AM5)/($AI$72-$AI5)*($AI6-$AI5)+AM5),
          TRUE, IFERROR(_xlfn.XLOOKUP($AI6, 'USHE Projections'!$A:$A, IFERROR(_xlfn.XLOOKUP(AM$1, 'USHE Projections'!$A$1:$E$1, 'USHE Projections'!$A:$E), "NONE"), (AM$72-AM5)/($AI$72-$AI5)*($AI6-$AI5)+AM5), (AM$72-AM5)/($AI$72-$AI5)*($AI6-$AI5)+AM5)
        )
      )
    )
  ), 0)</f>
        <v>19440</v>
      </c>
      <c r="AN6" s="20" cm="1">
        <f t="array" ref="AN6">ROUND(
  IF(AND(AN$1="Ensign", $AI6&gt;=2021, $AI6&lt;=2024),
    _xlfn.XLOOKUP($AI6, Ensign!$A$2:$A$12, Ensign!$B$2:$B$12),
    _xlfn.XLOOKUP($AI6, 'Historic (IPEDS &amp; 2019 RTP)'!$A:$A, _xlfn.XLOOKUP(AN$1, 'Historic (IPEDS &amp; 2019 RTP)'!$A$1:$H$1, 'Historic (IPEDS &amp; 2019 RTP)'!$A:$H),
      IFERROR(_xlfn.XLOOKUP($AI6, 'USHE Historic'!$A$3:$A$13, _xlfn.XLOOKUP(AN$1, 'USHE Historic'!$A$2:$E$2, 'USHE Historic'!$A$3:$E$13)),
        _xlfn.IFS(
          AN$1="BYU", IFERROR(_xlfn.XLOOKUP($AI6, 'MAG College Enrollment Forecast'!$A:$A, 'MAG College Enrollment Forecast'!$B:$B), (AN$72-AN5)/($AI$72-$AI5)*($AI6-$AI5)+AN5),
          AN$1="UVU", IFERROR(_xlfn.XLOOKUP($AI6, 'MAG College Enrollment Forecast'!$A:$A, 'MAG College Enrollment Forecast'!$C:$C+'MAG College Enrollment Forecast'!$D:$D+'MAG College Enrollment Forecast'!$E:$E+'MAG College Enrollment Forecast'!$F:$F+'MAG College Enrollment Forecast'!$G:$G+'MAG College Enrollment Forecast'!$H:$H), (AN$72-AN5)/($AI$72-$AI5)*($AI6-$AI5)+AN5),
          TRUE, IFERROR(_xlfn.XLOOKUP($AI6, 'USHE Projections'!$A:$A, IFERROR(_xlfn.XLOOKUP(AN$1, 'USHE Projections'!$A$1:$E$1, 'USHE Projections'!$A:$E), "NONE"), (AN$72-AN5)/($AI$72-$AI5)*($AI6-$AI5)+AN5), (AN$72-AN5)/($AI$72-$AI5)*($AI6-$AI5)+AN5)
        )
      )
    )
  ), 0)</f>
        <v>30413</v>
      </c>
      <c r="AO6" s="20" cm="1">
        <f t="array" ref="AO6">ROUND(
  IF(AND(AO$1="Ensign", $AI6&gt;=2021, $AI6&lt;=2024),
    _xlfn.XLOOKUP($AI6, Ensign!$A$2:$A$12, Ensign!$B$2:$B$12),
    _xlfn.XLOOKUP($AI6, 'Historic (IPEDS &amp; 2019 RTP)'!$A:$A, _xlfn.XLOOKUP(AO$1, 'Historic (IPEDS &amp; 2019 RTP)'!$A$1:$H$1, 'Historic (IPEDS &amp; 2019 RTP)'!$A:$H),
      IFERROR(_xlfn.XLOOKUP($AI6, 'USHE Historic'!$A$3:$A$13, _xlfn.XLOOKUP(AO$1, 'USHE Historic'!$A$2:$E$2, 'USHE Historic'!$A$3:$E$13)),
        _xlfn.IFS(
          AO$1="BYU", IFERROR(_xlfn.XLOOKUP($AI6, 'MAG College Enrollment Forecast'!$A:$A, 'MAG College Enrollment Forecast'!$B:$B), (AO$72-AO5)/($AI$72-$AI5)*($AI6-$AI5)+AO5),
          AO$1="UVU", IFERROR(_xlfn.XLOOKUP($AI6, 'MAG College Enrollment Forecast'!$A:$A, 'MAG College Enrollment Forecast'!$C:$C+'MAG College Enrollment Forecast'!$D:$D+'MAG College Enrollment Forecast'!$E:$E+'MAG College Enrollment Forecast'!$F:$F+'MAG College Enrollment Forecast'!$G:$G+'MAG College Enrollment Forecast'!$H:$H), (AO$72-AO5)/($AI$72-$AI5)*($AI6-$AI5)+AO5),
          TRUE, IFERROR(_xlfn.XLOOKUP($AI6, 'USHE Projections'!$A:$A, IFERROR(_xlfn.XLOOKUP(AO$1, 'USHE Projections'!$A$1:$E$1, 'USHE Projections'!$A:$E), "NONE"), (AO$72-AO5)/($AI$72-$AI5)*($AI6-$AI5)+AO5), (AO$72-AO5)/($AI$72-$AI5)*($AI6-$AI5)+AO5)
        )
      )
    )
  ), 0)</f>
        <v>0</v>
      </c>
      <c r="AP6" s="20" cm="1">
        <f t="array" ref="AP6">ROUND(
  IF(AND(AP$1="Ensign", $AI6&gt;=2021, $AI6&lt;=2024),
    _xlfn.XLOOKUP($AI6, Ensign!$A$2:$A$12, Ensign!$B$2:$B$12),
    _xlfn.XLOOKUP($AI6, 'Historic (IPEDS &amp; 2019 RTP)'!$A:$A, _xlfn.XLOOKUP(AP$1, 'Historic (IPEDS &amp; 2019 RTP)'!$A$1:$H$1, 'Historic (IPEDS &amp; 2019 RTP)'!$A:$H),
      IFERROR(_xlfn.XLOOKUP($AI6, 'USHE Historic'!$A$3:$A$13, _xlfn.XLOOKUP(AP$1, 'USHE Historic'!$A$2:$E$2, 'USHE Historic'!$A$3:$E$13)),
        _xlfn.IFS(
          AP$1="BYU", IFERROR(_xlfn.XLOOKUP($AI6, 'MAG College Enrollment Forecast'!$A:$A, 'MAG College Enrollment Forecast'!$B:$B), (AP$72-AP5)/($AI$72-$AI5)*($AI6-$AI5)+AP5),
          AP$1="UVU", IFERROR(_xlfn.XLOOKUP($AI6, 'MAG College Enrollment Forecast'!$A:$A, 'MAG College Enrollment Forecast'!$C:$C+'MAG College Enrollment Forecast'!$D:$D+'MAG College Enrollment Forecast'!$E:$E+'MAG College Enrollment Forecast'!$F:$F+'MAG College Enrollment Forecast'!$G:$G+'MAG College Enrollment Forecast'!$H:$H), (AP$72-AP5)/($AI$72-$AI5)*($AI6-$AI5)+AP5),
          TRUE, IFERROR(_xlfn.XLOOKUP($AI6, 'USHE Projections'!$A:$A, IFERROR(_xlfn.XLOOKUP(AP$1, 'USHE Projections'!$A$1:$E$1, 'USHE Projections'!$A:$E), "NONE"), (AP$72-AP5)/($AI$72-$AI5)*($AI6-$AI5)+AP5), (AP$72-AP5)/($AI$72-$AI5)*($AI6-$AI5)+AP5)
        )
      )
    )
  ), 0)</f>
        <v>0</v>
      </c>
      <c r="AQ6" s="7"/>
    </row>
    <row r="7" spans="1:43">
      <c r="AI7" s="3">
        <v>1995</v>
      </c>
      <c r="AJ7" s="20" cm="1">
        <f t="array" ref="AJ7">ROUND(
  IF(AND(AJ$1="Ensign", $AI7&gt;=2021, $AI7&lt;=2024),
    _xlfn.XLOOKUP($AI7, Ensign!$A$2:$A$12, Ensign!$B$2:$B$12),
    _xlfn.XLOOKUP($AI7, 'Historic (IPEDS &amp; 2019 RTP)'!$A:$A, _xlfn.XLOOKUP(AJ$1, 'Historic (IPEDS &amp; 2019 RTP)'!$A$1:$H$1, 'Historic (IPEDS &amp; 2019 RTP)'!$A:$H),
      IFERROR(_xlfn.XLOOKUP($AI7, 'USHE Historic'!$A$3:$A$13, _xlfn.XLOOKUP(AJ$1, 'USHE Historic'!$A$2:$E$2, 'USHE Historic'!$A$3:$E$13)),
        _xlfn.IFS(
          AJ$1="BYU", IFERROR(_xlfn.XLOOKUP($AI7, 'MAG College Enrollment Forecast'!$A:$A, 'MAG College Enrollment Forecast'!$B:$B), (AJ$72-AJ6)/($AI$72-$AI6)*($AI7-$AI6)+AJ6),
          AJ$1="UVU", IFERROR(_xlfn.XLOOKUP($AI7, 'MAG College Enrollment Forecast'!$A:$A, 'MAG College Enrollment Forecast'!$C:$C+'MAG College Enrollment Forecast'!$D:$D+'MAG College Enrollment Forecast'!$E:$E+'MAG College Enrollment Forecast'!$F:$F+'MAG College Enrollment Forecast'!$G:$G+'MAG College Enrollment Forecast'!$H:$H), (AJ$72-AJ6)/($AI$72-$AI6)*($AI7-$AI6)+AJ6),
          TRUE, IFERROR(_xlfn.XLOOKUP($AI7, 'USHE Projections'!$A:$A, IFERROR(_xlfn.XLOOKUP(AJ$1, 'USHE Projections'!$A$1:$E$1, 'USHE Projections'!$A:$E), "NONE"), (AJ$72-AJ6)/($AI$72-$AI6)*($AI7-$AI6)+AJ6), (AJ$72-AJ6)/($AI$72-$AI6)*($AI7-$AI6)+AJ6)
        )
      )
    )
  ), 0)</f>
        <v>26810</v>
      </c>
      <c r="AK7" s="20" cm="1">
        <f t="array" ref="AK7">ROUND(
  IF(AND(AK$1="Ensign", $AI7&gt;=2021, $AI7&lt;=2024),
    _xlfn.XLOOKUP($AI7, Ensign!$A$2:$A$12, Ensign!$B$2:$B$12),
    _xlfn.XLOOKUP($AI7, 'Historic (IPEDS &amp; 2019 RTP)'!$A:$A, _xlfn.XLOOKUP(AK$1, 'Historic (IPEDS &amp; 2019 RTP)'!$A$1:$H$1, 'Historic (IPEDS &amp; 2019 RTP)'!$A:$H),
      IFERROR(_xlfn.XLOOKUP($AI7, 'USHE Historic'!$A$3:$A$13, _xlfn.XLOOKUP(AK$1, 'USHE Historic'!$A$2:$E$2, 'USHE Historic'!$A$3:$E$13)),
        _xlfn.IFS(
          AK$1="BYU", IFERROR(_xlfn.XLOOKUP($AI7, 'MAG College Enrollment Forecast'!$A:$A, 'MAG College Enrollment Forecast'!$B:$B), (AK$72-AK6)/($AI$72-$AI6)*($AI7-$AI6)+AK6),
          AK$1="UVU", IFERROR(_xlfn.XLOOKUP($AI7, 'MAG College Enrollment Forecast'!$A:$A, 'MAG College Enrollment Forecast'!$C:$C+'MAG College Enrollment Forecast'!$D:$D+'MAG College Enrollment Forecast'!$E:$E+'MAG College Enrollment Forecast'!$F:$F+'MAG College Enrollment Forecast'!$G:$G+'MAG College Enrollment Forecast'!$H:$H), (AK$72-AK6)/($AI$72-$AI6)*($AI7-$AI6)+AK6),
          TRUE, IFERROR(_xlfn.XLOOKUP($AI7, 'USHE Projections'!$A:$A, IFERROR(_xlfn.XLOOKUP(AK$1, 'USHE Projections'!$A$1:$E$1, 'USHE Projections'!$A:$E), "NONE"), (AK$72-AK6)/($AI$72-$AI6)*($AI7-$AI6)+AK6), (AK$72-AK6)/($AI$72-$AI6)*($AI7-$AI6)+AK6)
        )
      )
    )
  ), 0)</f>
        <v>13996</v>
      </c>
      <c r="AL7" s="20" cm="1">
        <f t="array" ref="AL7">ROUND(
  IF(AND(AL$1="Ensign", $AI7&gt;=2021, $AI7&lt;=2024),
    _xlfn.XLOOKUP($AI7, Ensign!$A$2:$A$12, Ensign!$B$2:$B$12),
    _xlfn.XLOOKUP($AI7, 'Historic (IPEDS &amp; 2019 RTP)'!$A:$A, _xlfn.XLOOKUP(AL$1, 'Historic (IPEDS &amp; 2019 RTP)'!$A$1:$H$1, 'Historic (IPEDS &amp; 2019 RTP)'!$A:$H),
      IFERROR(_xlfn.XLOOKUP($AI7, 'USHE Historic'!$A$3:$A$13, _xlfn.XLOOKUP(AL$1, 'USHE Historic'!$A$2:$E$2, 'USHE Historic'!$A$3:$E$13)),
        _xlfn.IFS(
          AL$1="BYU", IFERROR(_xlfn.XLOOKUP($AI7, 'MAG College Enrollment Forecast'!$A:$A, 'MAG College Enrollment Forecast'!$B:$B), (AL$72-AL6)/($AI$72-$AI6)*($AI7-$AI6)+AL6),
          AL$1="UVU", IFERROR(_xlfn.XLOOKUP($AI7, 'MAG College Enrollment Forecast'!$A:$A, 'MAG College Enrollment Forecast'!$C:$C+'MAG College Enrollment Forecast'!$D:$D+'MAG College Enrollment Forecast'!$E:$E+'MAG College Enrollment Forecast'!$F:$F+'MAG College Enrollment Forecast'!$G:$G+'MAG College Enrollment Forecast'!$H:$H), (AL$72-AL6)/($AI$72-$AI6)*($AI7-$AI6)+AL6),
          TRUE, IFERROR(_xlfn.XLOOKUP($AI7, 'USHE Projections'!$A:$A, IFERROR(_xlfn.XLOOKUP(AL$1, 'USHE Projections'!$A$1:$E$1, 'USHE Projections'!$A:$E), "NONE"), (AL$72-AL6)/($AI$72-$AI6)*($AI7-$AI6)+AL6), (AL$72-AL6)/($AI$72-$AI6)*($AI7-$AI6)+AL6)
        )
      )
    )
  ), 0)</f>
        <v>14040</v>
      </c>
      <c r="AM7" s="20" cm="1">
        <f t="array" ref="AM7">ROUND(
  IF(AND(AM$1="Ensign", $AI7&gt;=2021, $AI7&lt;=2024),
    _xlfn.XLOOKUP($AI7, Ensign!$A$2:$A$12, Ensign!$B$2:$B$12),
    _xlfn.XLOOKUP($AI7, 'Historic (IPEDS &amp; 2019 RTP)'!$A:$A, _xlfn.XLOOKUP(AM$1, 'Historic (IPEDS &amp; 2019 RTP)'!$A$1:$H$1, 'Historic (IPEDS &amp; 2019 RTP)'!$A:$H),
      IFERROR(_xlfn.XLOOKUP($AI7, 'USHE Historic'!$A$3:$A$13, _xlfn.XLOOKUP(AM$1, 'USHE Historic'!$A$2:$E$2, 'USHE Historic'!$A$3:$E$13)),
        _xlfn.IFS(
          AM$1="BYU", IFERROR(_xlfn.XLOOKUP($AI7, 'MAG College Enrollment Forecast'!$A:$A, 'MAG College Enrollment Forecast'!$B:$B), (AM$72-AM6)/($AI$72-$AI6)*($AI7-$AI6)+AM6),
          AM$1="UVU", IFERROR(_xlfn.XLOOKUP($AI7, 'MAG College Enrollment Forecast'!$A:$A, 'MAG College Enrollment Forecast'!$C:$C+'MAG College Enrollment Forecast'!$D:$D+'MAG College Enrollment Forecast'!$E:$E+'MAG College Enrollment Forecast'!$F:$F+'MAG College Enrollment Forecast'!$G:$G+'MAG College Enrollment Forecast'!$H:$H), (AM$72-AM6)/($AI$72-$AI6)*($AI7-$AI6)+AM6),
          TRUE, IFERROR(_xlfn.XLOOKUP($AI7, 'USHE Projections'!$A:$A, IFERROR(_xlfn.XLOOKUP(AM$1, 'USHE Projections'!$A$1:$E$1, 'USHE Projections'!$A:$E), "NONE"), (AM$72-AM6)/($AI$72-$AI6)*($AI7-$AI6)+AM6), (AM$72-AM6)/($AI$72-$AI6)*($AI7-$AI6)+AM6)
        )
      )
    )
  ), 0)</f>
        <v>20834</v>
      </c>
      <c r="AN7" s="20" cm="1">
        <f t="array" ref="AN7">ROUND(
  IF(AND(AN$1="Ensign", $AI7&gt;=2021, $AI7&lt;=2024),
    _xlfn.XLOOKUP($AI7, Ensign!$A$2:$A$12, Ensign!$B$2:$B$12),
    _xlfn.XLOOKUP($AI7, 'Historic (IPEDS &amp; 2019 RTP)'!$A:$A, _xlfn.XLOOKUP(AN$1, 'Historic (IPEDS &amp; 2019 RTP)'!$A$1:$H$1, 'Historic (IPEDS &amp; 2019 RTP)'!$A:$H),
      IFERROR(_xlfn.XLOOKUP($AI7, 'USHE Historic'!$A$3:$A$13, _xlfn.XLOOKUP(AN$1, 'USHE Historic'!$A$2:$E$2, 'USHE Historic'!$A$3:$E$13)),
        _xlfn.IFS(
          AN$1="BYU", IFERROR(_xlfn.XLOOKUP($AI7, 'MAG College Enrollment Forecast'!$A:$A, 'MAG College Enrollment Forecast'!$B:$B), (AN$72-AN6)/($AI$72-$AI6)*($AI7-$AI6)+AN6),
          AN$1="UVU", IFERROR(_xlfn.XLOOKUP($AI7, 'MAG College Enrollment Forecast'!$A:$A, 'MAG College Enrollment Forecast'!$C:$C+'MAG College Enrollment Forecast'!$D:$D+'MAG College Enrollment Forecast'!$E:$E+'MAG College Enrollment Forecast'!$F:$F+'MAG College Enrollment Forecast'!$G:$G+'MAG College Enrollment Forecast'!$H:$H), (AN$72-AN6)/($AI$72-$AI6)*($AI7-$AI6)+AN6),
          TRUE, IFERROR(_xlfn.XLOOKUP($AI7, 'USHE Projections'!$A:$A, IFERROR(_xlfn.XLOOKUP(AN$1, 'USHE Projections'!$A$1:$E$1, 'USHE Projections'!$A:$E), "NONE"), (AN$72-AN6)/($AI$72-$AI6)*($AI7-$AI6)+AN6), (AN$72-AN6)/($AI$72-$AI6)*($AI7-$AI6)+AN6)
        )
      )
    )
  ), 0)</f>
        <v>30465</v>
      </c>
      <c r="AO7" s="20" cm="1">
        <f t="array" ref="AO7">ROUND(
  IF(AND(AO$1="Ensign", $AI7&gt;=2021, $AI7&lt;=2024),
    _xlfn.XLOOKUP($AI7, Ensign!$A$2:$A$12, Ensign!$B$2:$B$12),
    _xlfn.XLOOKUP($AI7, 'Historic (IPEDS &amp; 2019 RTP)'!$A:$A, _xlfn.XLOOKUP(AO$1, 'Historic (IPEDS &amp; 2019 RTP)'!$A$1:$H$1, 'Historic (IPEDS &amp; 2019 RTP)'!$A:$H),
      IFERROR(_xlfn.XLOOKUP($AI7, 'USHE Historic'!$A$3:$A$13, _xlfn.XLOOKUP(AO$1, 'USHE Historic'!$A$2:$E$2, 'USHE Historic'!$A$3:$E$13)),
        _xlfn.IFS(
          AO$1="BYU", IFERROR(_xlfn.XLOOKUP($AI7, 'MAG College Enrollment Forecast'!$A:$A, 'MAG College Enrollment Forecast'!$B:$B), (AO$72-AO6)/($AI$72-$AI6)*($AI7-$AI6)+AO6),
          AO$1="UVU", IFERROR(_xlfn.XLOOKUP($AI7, 'MAG College Enrollment Forecast'!$A:$A, 'MAG College Enrollment Forecast'!$C:$C+'MAG College Enrollment Forecast'!$D:$D+'MAG College Enrollment Forecast'!$E:$E+'MAG College Enrollment Forecast'!$F:$F+'MAG College Enrollment Forecast'!$G:$G+'MAG College Enrollment Forecast'!$H:$H), (AO$72-AO6)/($AI$72-$AI6)*($AI7-$AI6)+AO6),
          TRUE, IFERROR(_xlfn.XLOOKUP($AI7, 'USHE Projections'!$A:$A, IFERROR(_xlfn.XLOOKUP(AO$1, 'USHE Projections'!$A$1:$E$1, 'USHE Projections'!$A:$E), "NONE"), (AO$72-AO6)/($AI$72-$AI6)*($AI7-$AI6)+AO6), (AO$72-AO6)/($AI$72-$AI6)*($AI7-$AI6)+AO6)
        )
      )
    )
  ), 0)</f>
        <v>0</v>
      </c>
      <c r="AP7" s="20" cm="1">
        <f t="array" ref="AP7">ROUND(
  IF(AND(AP$1="Ensign", $AI7&gt;=2021, $AI7&lt;=2024),
    _xlfn.XLOOKUP($AI7, Ensign!$A$2:$A$12, Ensign!$B$2:$B$12),
    _xlfn.XLOOKUP($AI7, 'Historic (IPEDS &amp; 2019 RTP)'!$A:$A, _xlfn.XLOOKUP(AP$1, 'Historic (IPEDS &amp; 2019 RTP)'!$A$1:$H$1, 'Historic (IPEDS &amp; 2019 RTP)'!$A:$H),
      IFERROR(_xlfn.XLOOKUP($AI7, 'USHE Historic'!$A$3:$A$13, _xlfn.XLOOKUP(AP$1, 'USHE Historic'!$A$2:$E$2, 'USHE Historic'!$A$3:$E$13)),
        _xlfn.IFS(
          AP$1="BYU", IFERROR(_xlfn.XLOOKUP($AI7, 'MAG College Enrollment Forecast'!$A:$A, 'MAG College Enrollment Forecast'!$B:$B), (AP$72-AP6)/($AI$72-$AI6)*($AI7-$AI6)+AP6),
          AP$1="UVU", IFERROR(_xlfn.XLOOKUP($AI7, 'MAG College Enrollment Forecast'!$A:$A, 'MAG College Enrollment Forecast'!$C:$C+'MAG College Enrollment Forecast'!$D:$D+'MAG College Enrollment Forecast'!$E:$E+'MAG College Enrollment Forecast'!$F:$F+'MAG College Enrollment Forecast'!$G:$G+'MAG College Enrollment Forecast'!$H:$H), (AP$72-AP6)/($AI$72-$AI6)*($AI7-$AI6)+AP6),
          TRUE, IFERROR(_xlfn.XLOOKUP($AI7, 'USHE Projections'!$A:$A, IFERROR(_xlfn.XLOOKUP(AP$1, 'USHE Projections'!$A$1:$E$1, 'USHE Projections'!$A:$E), "NONE"), (AP$72-AP6)/($AI$72-$AI6)*($AI7-$AI6)+AP6), (AP$72-AP6)/($AI$72-$AI6)*($AI7-$AI6)+AP6)
        )
      )
    )
  ), 0)</f>
        <v>0</v>
      </c>
      <c r="AQ7" s="7"/>
    </row>
    <row r="8" spans="1:43">
      <c r="AI8" s="3">
        <v>1996</v>
      </c>
      <c r="AJ8" s="20" cm="1">
        <f t="array" ref="AJ8">ROUND(
  IF(AND(AJ$1="Ensign", $AI8&gt;=2021, $AI8&lt;=2024),
    _xlfn.XLOOKUP($AI8, Ensign!$A$2:$A$12, Ensign!$B$2:$B$12),
    _xlfn.XLOOKUP($AI8, 'Historic (IPEDS &amp; 2019 RTP)'!$A:$A, _xlfn.XLOOKUP(AJ$1, 'Historic (IPEDS &amp; 2019 RTP)'!$A$1:$H$1, 'Historic (IPEDS &amp; 2019 RTP)'!$A:$H),
      IFERROR(_xlfn.XLOOKUP($AI8, 'USHE Historic'!$A$3:$A$13, _xlfn.XLOOKUP(AJ$1, 'USHE Historic'!$A$2:$E$2, 'USHE Historic'!$A$3:$E$13)),
        _xlfn.IFS(
          AJ$1="BYU", IFERROR(_xlfn.XLOOKUP($AI8, 'MAG College Enrollment Forecast'!$A:$A, 'MAG College Enrollment Forecast'!$B:$B), (AJ$72-AJ7)/($AI$72-$AI7)*($AI8-$AI7)+AJ7),
          AJ$1="UVU", IFERROR(_xlfn.XLOOKUP($AI8, 'MAG College Enrollment Forecast'!$A:$A, 'MAG College Enrollment Forecast'!$C:$C+'MAG College Enrollment Forecast'!$D:$D+'MAG College Enrollment Forecast'!$E:$E+'MAG College Enrollment Forecast'!$F:$F+'MAG College Enrollment Forecast'!$G:$G+'MAG College Enrollment Forecast'!$H:$H), (AJ$72-AJ7)/($AI$72-$AI7)*($AI8-$AI7)+AJ7),
          TRUE, IFERROR(_xlfn.XLOOKUP($AI8, 'USHE Projections'!$A:$A, IFERROR(_xlfn.XLOOKUP(AJ$1, 'USHE Projections'!$A$1:$E$1, 'USHE Projections'!$A:$E), "NONE"), (AJ$72-AJ7)/($AI$72-$AI7)*($AI8-$AI7)+AJ7), (AJ$72-AJ7)/($AI$72-$AI7)*($AI8-$AI7)+AJ7)
        )
      )
    )
  ), 0)</f>
        <v>26079</v>
      </c>
      <c r="AK8" s="20" cm="1">
        <f t="array" ref="AK8">ROUND(
  IF(AND(AK$1="Ensign", $AI8&gt;=2021, $AI8&lt;=2024),
    _xlfn.XLOOKUP($AI8, Ensign!$A$2:$A$12, Ensign!$B$2:$B$12),
    _xlfn.XLOOKUP($AI8, 'Historic (IPEDS &amp; 2019 RTP)'!$A:$A, _xlfn.XLOOKUP(AK$1, 'Historic (IPEDS &amp; 2019 RTP)'!$A$1:$H$1, 'Historic (IPEDS &amp; 2019 RTP)'!$A:$H),
      IFERROR(_xlfn.XLOOKUP($AI8, 'USHE Historic'!$A$3:$A$13, _xlfn.XLOOKUP(AK$1, 'USHE Historic'!$A$2:$E$2, 'USHE Historic'!$A$3:$E$13)),
        _xlfn.IFS(
          AK$1="BYU", IFERROR(_xlfn.XLOOKUP($AI8, 'MAG College Enrollment Forecast'!$A:$A, 'MAG College Enrollment Forecast'!$B:$B), (AK$72-AK7)/($AI$72-$AI7)*($AI8-$AI7)+AK7),
          AK$1="UVU", IFERROR(_xlfn.XLOOKUP($AI8, 'MAG College Enrollment Forecast'!$A:$A, 'MAG College Enrollment Forecast'!$C:$C+'MAG College Enrollment Forecast'!$D:$D+'MAG College Enrollment Forecast'!$E:$E+'MAG College Enrollment Forecast'!$F:$F+'MAG College Enrollment Forecast'!$G:$G+'MAG College Enrollment Forecast'!$H:$H), (AK$72-AK7)/($AI$72-$AI7)*($AI8-$AI7)+AK7),
          TRUE, IFERROR(_xlfn.XLOOKUP($AI8, 'USHE Projections'!$A:$A, IFERROR(_xlfn.XLOOKUP(AK$1, 'USHE Projections'!$A$1:$E$1, 'USHE Projections'!$A:$E), "NONE"), (AK$72-AK7)/($AI$72-$AI7)*($AI8-$AI7)+AK7), (AK$72-AK7)/($AI$72-$AI7)*($AI8-$AI7)+AK7)
        )
      )
    )
  ), 0)</f>
        <v>13906</v>
      </c>
      <c r="AL8" s="20" cm="1">
        <f t="array" ref="AL8">ROUND(
  IF(AND(AL$1="Ensign", $AI8&gt;=2021, $AI8&lt;=2024),
    _xlfn.XLOOKUP($AI8, Ensign!$A$2:$A$12, Ensign!$B$2:$B$12),
    _xlfn.XLOOKUP($AI8, 'Historic (IPEDS &amp; 2019 RTP)'!$A:$A, _xlfn.XLOOKUP(AL$1, 'Historic (IPEDS &amp; 2019 RTP)'!$A$1:$H$1, 'Historic (IPEDS &amp; 2019 RTP)'!$A:$H),
      IFERROR(_xlfn.XLOOKUP($AI8, 'USHE Historic'!$A$3:$A$13, _xlfn.XLOOKUP(AL$1, 'USHE Historic'!$A$2:$E$2, 'USHE Historic'!$A$3:$E$13)),
        _xlfn.IFS(
          AL$1="BYU", IFERROR(_xlfn.XLOOKUP($AI8, 'MAG College Enrollment Forecast'!$A:$A, 'MAG College Enrollment Forecast'!$B:$B), (AL$72-AL7)/($AI$72-$AI7)*($AI8-$AI7)+AL7),
          AL$1="UVU", IFERROR(_xlfn.XLOOKUP($AI8, 'MAG College Enrollment Forecast'!$A:$A, 'MAG College Enrollment Forecast'!$C:$C+'MAG College Enrollment Forecast'!$D:$D+'MAG College Enrollment Forecast'!$E:$E+'MAG College Enrollment Forecast'!$F:$F+'MAG College Enrollment Forecast'!$G:$G+'MAG College Enrollment Forecast'!$H:$H), (AL$72-AL7)/($AI$72-$AI7)*($AI8-$AI7)+AL7),
          TRUE, IFERROR(_xlfn.XLOOKUP($AI8, 'USHE Projections'!$A:$A, IFERROR(_xlfn.XLOOKUP(AL$1, 'USHE Projections'!$A$1:$E$1, 'USHE Projections'!$A:$E), "NONE"), (AL$72-AL7)/($AI$72-$AI7)*($AI8-$AI7)+AL7), (AL$72-AL7)/($AI$72-$AI7)*($AI8-$AI7)+AL7)
        )
      )
    )
  ), 0)</f>
        <v>14756</v>
      </c>
      <c r="AM8" s="20" cm="1">
        <f t="array" ref="AM8">ROUND(
  IF(AND(AM$1="Ensign", $AI8&gt;=2021, $AI8&lt;=2024),
    _xlfn.XLOOKUP($AI8, Ensign!$A$2:$A$12, Ensign!$B$2:$B$12),
    _xlfn.XLOOKUP($AI8, 'Historic (IPEDS &amp; 2019 RTP)'!$A:$A, _xlfn.XLOOKUP(AM$1, 'Historic (IPEDS &amp; 2019 RTP)'!$A$1:$H$1, 'Historic (IPEDS &amp; 2019 RTP)'!$A:$H),
      IFERROR(_xlfn.XLOOKUP($AI8, 'USHE Historic'!$A$3:$A$13, _xlfn.XLOOKUP(AM$1, 'USHE Historic'!$A$2:$E$2, 'USHE Historic'!$A$3:$E$13)),
        _xlfn.IFS(
          AM$1="BYU", IFERROR(_xlfn.XLOOKUP($AI8, 'MAG College Enrollment Forecast'!$A:$A, 'MAG College Enrollment Forecast'!$B:$B), (AM$72-AM7)/($AI$72-$AI7)*($AI8-$AI7)+AM7),
          AM$1="UVU", IFERROR(_xlfn.XLOOKUP($AI8, 'MAG College Enrollment Forecast'!$A:$A, 'MAG College Enrollment Forecast'!$C:$C+'MAG College Enrollment Forecast'!$D:$D+'MAG College Enrollment Forecast'!$E:$E+'MAG College Enrollment Forecast'!$F:$F+'MAG College Enrollment Forecast'!$G:$G+'MAG College Enrollment Forecast'!$H:$H), (AM$72-AM7)/($AI$72-$AI7)*($AI8-$AI7)+AM7),
          TRUE, IFERROR(_xlfn.XLOOKUP($AI8, 'USHE Projections'!$A:$A, IFERROR(_xlfn.XLOOKUP(AM$1, 'USHE Projections'!$A$1:$E$1, 'USHE Projections'!$A:$E), "NONE"), (AM$72-AM7)/($AI$72-$AI7)*($AI8-$AI7)+AM7), (AM$72-AM7)/($AI$72-$AI7)*($AI8-$AI7)+AM7)
        )
      )
    )
  ), 0)</f>
        <v>22394</v>
      </c>
      <c r="AN8" s="20" cm="1">
        <f t="array" ref="AN8">ROUND(
  IF(AND(AN$1="Ensign", $AI8&gt;=2021, $AI8&lt;=2024),
    _xlfn.XLOOKUP($AI8, Ensign!$A$2:$A$12, Ensign!$B$2:$B$12),
    _xlfn.XLOOKUP($AI8, 'Historic (IPEDS &amp; 2019 RTP)'!$A:$A, _xlfn.XLOOKUP(AN$1, 'Historic (IPEDS &amp; 2019 RTP)'!$A$1:$H$1, 'Historic (IPEDS &amp; 2019 RTP)'!$A:$H),
      IFERROR(_xlfn.XLOOKUP($AI8, 'USHE Historic'!$A$3:$A$13, _xlfn.XLOOKUP(AN$1, 'USHE Historic'!$A$2:$E$2, 'USHE Historic'!$A$3:$E$13)),
        _xlfn.IFS(
          AN$1="BYU", IFERROR(_xlfn.XLOOKUP($AI8, 'MAG College Enrollment Forecast'!$A:$A, 'MAG College Enrollment Forecast'!$B:$B), (AN$72-AN7)/($AI$72-$AI7)*($AI8-$AI7)+AN7),
          AN$1="UVU", IFERROR(_xlfn.XLOOKUP($AI8, 'MAG College Enrollment Forecast'!$A:$A, 'MAG College Enrollment Forecast'!$C:$C+'MAG College Enrollment Forecast'!$D:$D+'MAG College Enrollment Forecast'!$E:$E+'MAG College Enrollment Forecast'!$F:$F+'MAG College Enrollment Forecast'!$G:$G+'MAG College Enrollment Forecast'!$H:$H), (AN$72-AN7)/($AI$72-$AI7)*($AI8-$AI7)+AN7),
          TRUE, IFERROR(_xlfn.XLOOKUP($AI8, 'USHE Projections'!$A:$A, IFERROR(_xlfn.XLOOKUP(AN$1, 'USHE Projections'!$A$1:$E$1, 'USHE Projections'!$A:$E), "NONE"), (AN$72-AN7)/($AI$72-$AI7)*($AI8-$AI7)+AN7), (AN$72-AN7)/($AI$72-$AI7)*($AI8-$AI7)+AN7)
        )
      )
    )
  ), 0)</f>
        <v>30563</v>
      </c>
      <c r="AO8" s="20" cm="1">
        <f t="array" ref="AO8">ROUND(
  IF(AND(AO$1="Ensign", $AI8&gt;=2021, $AI8&lt;=2024),
    _xlfn.XLOOKUP($AI8, Ensign!$A$2:$A$12, Ensign!$B$2:$B$12),
    _xlfn.XLOOKUP($AI8, 'Historic (IPEDS &amp; 2019 RTP)'!$A:$A, _xlfn.XLOOKUP(AO$1, 'Historic (IPEDS &amp; 2019 RTP)'!$A$1:$H$1, 'Historic (IPEDS &amp; 2019 RTP)'!$A:$H),
      IFERROR(_xlfn.XLOOKUP($AI8, 'USHE Historic'!$A$3:$A$13, _xlfn.XLOOKUP(AO$1, 'USHE Historic'!$A$2:$E$2, 'USHE Historic'!$A$3:$E$13)),
        _xlfn.IFS(
          AO$1="BYU", IFERROR(_xlfn.XLOOKUP($AI8, 'MAG College Enrollment Forecast'!$A:$A, 'MAG College Enrollment Forecast'!$B:$B), (AO$72-AO7)/($AI$72-$AI7)*($AI8-$AI7)+AO7),
          AO$1="UVU", IFERROR(_xlfn.XLOOKUP($AI8, 'MAG College Enrollment Forecast'!$A:$A, 'MAG College Enrollment Forecast'!$C:$C+'MAG College Enrollment Forecast'!$D:$D+'MAG College Enrollment Forecast'!$E:$E+'MAG College Enrollment Forecast'!$F:$F+'MAG College Enrollment Forecast'!$G:$G+'MAG College Enrollment Forecast'!$H:$H), (AO$72-AO7)/($AI$72-$AI7)*($AI8-$AI7)+AO7),
          TRUE, IFERROR(_xlfn.XLOOKUP($AI8, 'USHE Projections'!$A:$A, IFERROR(_xlfn.XLOOKUP(AO$1, 'USHE Projections'!$A$1:$E$1, 'USHE Projections'!$A:$E), "NONE"), (AO$72-AO7)/($AI$72-$AI7)*($AI8-$AI7)+AO7), (AO$72-AO7)/($AI$72-$AI7)*($AI8-$AI7)+AO7)
        )
      )
    )
  ), 0)</f>
        <v>0</v>
      </c>
      <c r="AP8" s="20" cm="1">
        <f t="array" ref="AP8">ROUND(
  IF(AND(AP$1="Ensign", $AI8&gt;=2021, $AI8&lt;=2024),
    _xlfn.XLOOKUP($AI8, Ensign!$A$2:$A$12, Ensign!$B$2:$B$12),
    _xlfn.XLOOKUP($AI8, 'Historic (IPEDS &amp; 2019 RTP)'!$A:$A, _xlfn.XLOOKUP(AP$1, 'Historic (IPEDS &amp; 2019 RTP)'!$A$1:$H$1, 'Historic (IPEDS &amp; 2019 RTP)'!$A:$H),
      IFERROR(_xlfn.XLOOKUP($AI8, 'USHE Historic'!$A$3:$A$13, _xlfn.XLOOKUP(AP$1, 'USHE Historic'!$A$2:$E$2, 'USHE Historic'!$A$3:$E$13)),
        _xlfn.IFS(
          AP$1="BYU", IFERROR(_xlfn.XLOOKUP($AI8, 'MAG College Enrollment Forecast'!$A:$A, 'MAG College Enrollment Forecast'!$B:$B), (AP$72-AP7)/($AI$72-$AI7)*($AI8-$AI7)+AP7),
          AP$1="UVU", IFERROR(_xlfn.XLOOKUP($AI8, 'MAG College Enrollment Forecast'!$A:$A, 'MAG College Enrollment Forecast'!$C:$C+'MAG College Enrollment Forecast'!$D:$D+'MAG College Enrollment Forecast'!$E:$E+'MAG College Enrollment Forecast'!$F:$F+'MAG College Enrollment Forecast'!$G:$G+'MAG College Enrollment Forecast'!$H:$H), (AP$72-AP7)/($AI$72-$AI7)*($AI8-$AI7)+AP7),
          TRUE, IFERROR(_xlfn.XLOOKUP($AI8, 'USHE Projections'!$A:$A, IFERROR(_xlfn.XLOOKUP(AP$1, 'USHE Projections'!$A$1:$E$1, 'USHE Projections'!$A:$E), "NONE"), (AP$72-AP7)/($AI$72-$AI7)*($AI8-$AI7)+AP7), (AP$72-AP7)/($AI$72-$AI7)*($AI8-$AI7)+AP7)
        )
      )
    )
  ), 0)</f>
        <v>0</v>
      </c>
      <c r="AQ8" s="7"/>
    </row>
    <row r="9" spans="1:43">
      <c r="AI9" s="3">
        <v>1997</v>
      </c>
      <c r="AJ9" s="20" cm="1">
        <f t="array" ref="AJ9">ROUND(
  IF(AND(AJ$1="Ensign", $AI9&gt;=2021, $AI9&lt;=2024),
    _xlfn.XLOOKUP($AI9, Ensign!$A$2:$A$12, Ensign!$B$2:$B$12),
    _xlfn.XLOOKUP($AI9, 'Historic (IPEDS &amp; 2019 RTP)'!$A:$A, _xlfn.XLOOKUP(AJ$1, 'Historic (IPEDS &amp; 2019 RTP)'!$A$1:$H$1, 'Historic (IPEDS &amp; 2019 RTP)'!$A:$H),
      IFERROR(_xlfn.XLOOKUP($AI9, 'USHE Historic'!$A$3:$A$13, _xlfn.XLOOKUP(AJ$1, 'USHE Historic'!$A$2:$E$2, 'USHE Historic'!$A$3:$E$13)),
        _xlfn.IFS(
          AJ$1="BYU", IFERROR(_xlfn.XLOOKUP($AI9, 'MAG College Enrollment Forecast'!$A:$A, 'MAG College Enrollment Forecast'!$B:$B), (AJ$72-AJ8)/($AI$72-$AI8)*($AI9-$AI8)+AJ8),
          AJ$1="UVU", IFERROR(_xlfn.XLOOKUP($AI9, 'MAG College Enrollment Forecast'!$A:$A, 'MAG College Enrollment Forecast'!$C:$C+'MAG College Enrollment Forecast'!$D:$D+'MAG College Enrollment Forecast'!$E:$E+'MAG College Enrollment Forecast'!$F:$F+'MAG College Enrollment Forecast'!$G:$G+'MAG College Enrollment Forecast'!$H:$H), (AJ$72-AJ8)/($AI$72-$AI8)*($AI9-$AI8)+AJ8),
          TRUE, IFERROR(_xlfn.XLOOKUP($AI9, 'USHE Projections'!$A:$A, IFERROR(_xlfn.XLOOKUP(AJ$1, 'USHE Projections'!$A$1:$E$1, 'USHE Projections'!$A:$E), "NONE"), (AJ$72-AJ8)/($AI$72-$AI8)*($AI9-$AI8)+AJ8), (AJ$72-AJ8)/($AI$72-$AI8)*($AI9-$AI8)+AJ8)
        )
      )
    )
  ), 0)</f>
        <v>25895</v>
      </c>
      <c r="AK9" s="20" cm="1">
        <f t="array" ref="AK9">ROUND(
  IF(AND(AK$1="Ensign", $AI9&gt;=2021, $AI9&lt;=2024),
    _xlfn.XLOOKUP($AI9, Ensign!$A$2:$A$12, Ensign!$B$2:$B$12),
    _xlfn.XLOOKUP($AI9, 'Historic (IPEDS &amp; 2019 RTP)'!$A:$A, _xlfn.XLOOKUP(AK$1, 'Historic (IPEDS &amp; 2019 RTP)'!$A$1:$H$1, 'Historic (IPEDS &amp; 2019 RTP)'!$A:$H),
      IFERROR(_xlfn.XLOOKUP($AI9, 'USHE Historic'!$A$3:$A$13, _xlfn.XLOOKUP(AK$1, 'USHE Historic'!$A$2:$E$2, 'USHE Historic'!$A$3:$E$13)),
        _xlfn.IFS(
          AK$1="BYU", IFERROR(_xlfn.XLOOKUP($AI9, 'MAG College Enrollment Forecast'!$A:$A, 'MAG College Enrollment Forecast'!$B:$B), (AK$72-AK8)/($AI$72-$AI8)*($AI9-$AI8)+AK8),
          AK$1="UVU", IFERROR(_xlfn.XLOOKUP($AI9, 'MAG College Enrollment Forecast'!$A:$A, 'MAG College Enrollment Forecast'!$C:$C+'MAG College Enrollment Forecast'!$D:$D+'MAG College Enrollment Forecast'!$E:$E+'MAG College Enrollment Forecast'!$F:$F+'MAG College Enrollment Forecast'!$G:$G+'MAG College Enrollment Forecast'!$H:$H), (AK$72-AK8)/($AI$72-$AI8)*($AI9-$AI8)+AK8),
          TRUE, IFERROR(_xlfn.XLOOKUP($AI9, 'USHE Projections'!$A:$A, IFERROR(_xlfn.XLOOKUP(AK$1, 'USHE Projections'!$A$1:$E$1, 'USHE Projections'!$A:$E), "NONE"), (AK$72-AK8)/($AI$72-$AI8)*($AI9-$AI8)+AK8), (AK$72-AK8)/($AI$72-$AI8)*($AI9-$AI8)+AK8)
        )
      )
    )
  ), 0)</f>
        <v>14613</v>
      </c>
      <c r="AL9" s="20" cm="1">
        <f t="array" ref="AL9">ROUND(
  IF(AND(AL$1="Ensign", $AI9&gt;=2021, $AI9&lt;=2024),
    _xlfn.XLOOKUP($AI9, Ensign!$A$2:$A$12, Ensign!$B$2:$B$12),
    _xlfn.XLOOKUP($AI9, 'Historic (IPEDS &amp; 2019 RTP)'!$A:$A, _xlfn.XLOOKUP(AL$1, 'Historic (IPEDS &amp; 2019 RTP)'!$A$1:$H$1, 'Historic (IPEDS &amp; 2019 RTP)'!$A:$H),
      IFERROR(_xlfn.XLOOKUP($AI9, 'USHE Historic'!$A$3:$A$13, _xlfn.XLOOKUP(AL$1, 'USHE Historic'!$A$2:$E$2, 'USHE Historic'!$A$3:$E$13)),
        _xlfn.IFS(
          AL$1="BYU", IFERROR(_xlfn.XLOOKUP($AI9, 'MAG College Enrollment Forecast'!$A:$A, 'MAG College Enrollment Forecast'!$B:$B), (AL$72-AL8)/($AI$72-$AI8)*($AI9-$AI8)+AL8),
          AL$1="UVU", IFERROR(_xlfn.XLOOKUP($AI9, 'MAG College Enrollment Forecast'!$A:$A, 'MAG College Enrollment Forecast'!$C:$C+'MAG College Enrollment Forecast'!$D:$D+'MAG College Enrollment Forecast'!$E:$E+'MAG College Enrollment Forecast'!$F:$F+'MAG College Enrollment Forecast'!$G:$G+'MAG College Enrollment Forecast'!$H:$H), (AL$72-AL8)/($AI$72-$AI8)*($AI9-$AI8)+AL8),
          TRUE, IFERROR(_xlfn.XLOOKUP($AI9, 'USHE Projections'!$A:$A, IFERROR(_xlfn.XLOOKUP(AL$1, 'USHE Projections'!$A$1:$E$1, 'USHE Projections'!$A:$E), "NONE"), (AL$72-AL8)/($AI$72-$AI8)*($AI9-$AI8)+AL8), (AL$72-AL8)/($AI$72-$AI8)*($AI9-$AI8)+AL8)
        )
      )
    )
  ), 0)</f>
        <v>15994</v>
      </c>
      <c r="AM9" s="20" cm="1">
        <f t="array" ref="AM9">ROUND(
  IF(AND(AM$1="Ensign", $AI9&gt;=2021, $AI9&lt;=2024),
    _xlfn.XLOOKUP($AI9, Ensign!$A$2:$A$12, Ensign!$B$2:$B$12),
    _xlfn.XLOOKUP($AI9, 'Historic (IPEDS &amp; 2019 RTP)'!$A:$A, _xlfn.XLOOKUP(AM$1, 'Historic (IPEDS &amp; 2019 RTP)'!$A$1:$H$1, 'Historic (IPEDS &amp; 2019 RTP)'!$A:$H),
      IFERROR(_xlfn.XLOOKUP($AI9, 'USHE Historic'!$A$3:$A$13, _xlfn.XLOOKUP(AM$1, 'USHE Historic'!$A$2:$E$2, 'USHE Historic'!$A$3:$E$13)),
        _xlfn.IFS(
          AM$1="BYU", IFERROR(_xlfn.XLOOKUP($AI9, 'MAG College Enrollment Forecast'!$A:$A, 'MAG College Enrollment Forecast'!$B:$B), (AM$72-AM8)/($AI$72-$AI8)*($AI9-$AI8)+AM8),
          AM$1="UVU", IFERROR(_xlfn.XLOOKUP($AI9, 'MAG College Enrollment Forecast'!$A:$A, 'MAG College Enrollment Forecast'!$C:$C+'MAG College Enrollment Forecast'!$D:$D+'MAG College Enrollment Forecast'!$E:$E+'MAG College Enrollment Forecast'!$F:$F+'MAG College Enrollment Forecast'!$G:$G+'MAG College Enrollment Forecast'!$H:$H), (AM$72-AM8)/($AI$72-$AI8)*($AI9-$AI8)+AM8),
          TRUE, IFERROR(_xlfn.XLOOKUP($AI9, 'USHE Projections'!$A:$A, IFERROR(_xlfn.XLOOKUP(AM$1, 'USHE Projections'!$A$1:$E$1, 'USHE Projections'!$A:$E), "NONE"), (AM$72-AM8)/($AI$72-$AI8)*($AI9-$AI8)+AM8), (AM$72-AM8)/($AI$72-$AI8)*($AI9-$AI8)+AM8)
        )
      )
    )
  ), 0)</f>
        <v>24307</v>
      </c>
      <c r="AN9" s="20" cm="1">
        <f t="array" ref="AN9">ROUND(
  IF(AND(AN$1="Ensign", $AI9&gt;=2021, $AI9&lt;=2024),
    _xlfn.XLOOKUP($AI9, Ensign!$A$2:$A$12, Ensign!$B$2:$B$12),
    _xlfn.XLOOKUP($AI9, 'Historic (IPEDS &amp; 2019 RTP)'!$A:$A, _xlfn.XLOOKUP(AN$1, 'Historic (IPEDS &amp; 2019 RTP)'!$A$1:$H$1, 'Historic (IPEDS &amp; 2019 RTP)'!$A:$H),
      IFERROR(_xlfn.XLOOKUP($AI9, 'USHE Historic'!$A$3:$A$13, _xlfn.XLOOKUP(AN$1, 'USHE Historic'!$A$2:$E$2, 'USHE Historic'!$A$3:$E$13)),
        _xlfn.IFS(
          AN$1="BYU", IFERROR(_xlfn.XLOOKUP($AI9, 'MAG College Enrollment Forecast'!$A:$A, 'MAG College Enrollment Forecast'!$B:$B), (AN$72-AN8)/($AI$72-$AI8)*($AI9-$AI8)+AN8),
          AN$1="UVU", IFERROR(_xlfn.XLOOKUP($AI9, 'MAG College Enrollment Forecast'!$A:$A, 'MAG College Enrollment Forecast'!$C:$C+'MAG College Enrollment Forecast'!$D:$D+'MAG College Enrollment Forecast'!$E:$E+'MAG College Enrollment Forecast'!$F:$F+'MAG College Enrollment Forecast'!$G:$G+'MAG College Enrollment Forecast'!$H:$H), (AN$72-AN8)/($AI$72-$AI8)*($AI9-$AI8)+AN8),
          TRUE, IFERROR(_xlfn.XLOOKUP($AI9, 'USHE Projections'!$A:$A, IFERROR(_xlfn.XLOOKUP(AN$1, 'USHE Projections'!$A$1:$E$1, 'USHE Projections'!$A:$E), "NONE"), (AN$72-AN8)/($AI$72-$AI8)*($AI9-$AI8)+AN8), (AN$72-AN8)/($AI$72-$AI8)*($AI9-$AI8)+AN8)
        )
      )
    )
  ), 0)</f>
        <v>31249</v>
      </c>
      <c r="AO9" s="20" cm="1">
        <f t="array" ref="AO9">ROUND(
  IF(AND(AO$1="Ensign", $AI9&gt;=2021, $AI9&lt;=2024),
    _xlfn.XLOOKUP($AI9, Ensign!$A$2:$A$12, Ensign!$B$2:$B$12),
    _xlfn.XLOOKUP($AI9, 'Historic (IPEDS &amp; 2019 RTP)'!$A:$A, _xlfn.XLOOKUP(AO$1, 'Historic (IPEDS &amp; 2019 RTP)'!$A$1:$H$1, 'Historic (IPEDS &amp; 2019 RTP)'!$A:$H),
      IFERROR(_xlfn.XLOOKUP($AI9, 'USHE Historic'!$A$3:$A$13, _xlfn.XLOOKUP(AO$1, 'USHE Historic'!$A$2:$E$2, 'USHE Historic'!$A$3:$E$13)),
        _xlfn.IFS(
          AO$1="BYU", IFERROR(_xlfn.XLOOKUP($AI9, 'MAG College Enrollment Forecast'!$A:$A, 'MAG College Enrollment Forecast'!$B:$B), (AO$72-AO8)/($AI$72-$AI8)*($AI9-$AI8)+AO8),
          AO$1="UVU", IFERROR(_xlfn.XLOOKUP($AI9, 'MAG College Enrollment Forecast'!$A:$A, 'MAG College Enrollment Forecast'!$C:$C+'MAG College Enrollment Forecast'!$D:$D+'MAG College Enrollment Forecast'!$E:$E+'MAG College Enrollment Forecast'!$F:$F+'MAG College Enrollment Forecast'!$G:$G+'MAG College Enrollment Forecast'!$H:$H), (AO$72-AO8)/($AI$72-$AI8)*($AI9-$AI8)+AO8),
          TRUE, IFERROR(_xlfn.XLOOKUP($AI9, 'USHE Projections'!$A:$A, IFERROR(_xlfn.XLOOKUP(AO$1, 'USHE Projections'!$A$1:$E$1, 'USHE Projections'!$A:$E), "NONE"), (AO$72-AO8)/($AI$72-$AI8)*($AI9-$AI8)+AO8), (AO$72-AO8)/($AI$72-$AI8)*($AI9-$AI8)+AO8)
        )
      )
    )
  ), 0)</f>
        <v>0</v>
      </c>
      <c r="AP9" s="20" cm="1">
        <f t="array" ref="AP9">ROUND(
  IF(AND(AP$1="Ensign", $AI9&gt;=2021, $AI9&lt;=2024),
    _xlfn.XLOOKUP($AI9, Ensign!$A$2:$A$12, Ensign!$B$2:$B$12),
    _xlfn.XLOOKUP($AI9, 'Historic (IPEDS &amp; 2019 RTP)'!$A:$A, _xlfn.XLOOKUP(AP$1, 'Historic (IPEDS &amp; 2019 RTP)'!$A$1:$H$1, 'Historic (IPEDS &amp; 2019 RTP)'!$A:$H),
      IFERROR(_xlfn.XLOOKUP($AI9, 'USHE Historic'!$A$3:$A$13, _xlfn.XLOOKUP(AP$1, 'USHE Historic'!$A$2:$E$2, 'USHE Historic'!$A$3:$E$13)),
        _xlfn.IFS(
          AP$1="BYU", IFERROR(_xlfn.XLOOKUP($AI9, 'MAG College Enrollment Forecast'!$A:$A, 'MAG College Enrollment Forecast'!$B:$B), (AP$72-AP8)/($AI$72-$AI8)*($AI9-$AI8)+AP8),
          AP$1="UVU", IFERROR(_xlfn.XLOOKUP($AI9, 'MAG College Enrollment Forecast'!$A:$A, 'MAG College Enrollment Forecast'!$C:$C+'MAG College Enrollment Forecast'!$D:$D+'MAG College Enrollment Forecast'!$E:$E+'MAG College Enrollment Forecast'!$F:$F+'MAG College Enrollment Forecast'!$G:$G+'MAG College Enrollment Forecast'!$H:$H), (AP$72-AP8)/($AI$72-$AI8)*($AI9-$AI8)+AP8),
          TRUE, IFERROR(_xlfn.XLOOKUP($AI9, 'USHE Projections'!$A:$A, IFERROR(_xlfn.XLOOKUP(AP$1, 'USHE Projections'!$A$1:$E$1, 'USHE Projections'!$A:$E), "NONE"), (AP$72-AP8)/($AI$72-$AI8)*($AI9-$AI8)+AP8), (AP$72-AP8)/($AI$72-$AI8)*($AI9-$AI8)+AP8)
        )
      )
    )
  ), 0)</f>
        <v>0</v>
      </c>
      <c r="AQ9" s="7"/>
    </row>
    <row r="10" spans="1:43">
      <c r="AI10" s="3">
        <v>1998</v>
      </c>
      <c r="AJ10" s="20" cm="1">
        <f t="array" ref="AJ10">ROUND(
  IF(AND(AJ$1="Ensign", $AI10&gt;=2021, $AI10&lt;=2024),
    _xlfn.XLOOKUP($AI10, Ensign!$A$2:$A$12, Ensign!$B$2:$B$12),
    _xlfn.XLOOKUP($AI10, 'Historic (IPEDS &amp; 2019 RTP)'!$A:$A, _xlfn.XLOOKUP(AJ$1, 'Historic (IPEDS &amp; 2019 RTP)'!$A$1:$H$1, 'Historic (IPEDS &amp; 2019 RTP)'!$A:$H),
      IFERROR(_xlfn.XLOOKUP($AI10, 'USHE Historic'!$A$3:$A$13, _xlfn.XLOOKUP(AJ$1, 'USHE Historic'!$A$2:$E$2, 'USHE Historic'!$A$3:$E$13)),
        _xlfn.IFS(
          AJ$1="BYU", IFERROR(_xlfn.XLOOKUP($AI10, 'MAG College Enrollment Forecast'!$A:$A, 'MAG College Enrollment Forecast'!$B:$B), (AJ$72-AJ9)/($AI$72-$AI9)*($AI10-$AI9)+AJ9),
          AJ$1="UVU", IFERROR(_xlfn.XLOOKUP($AI10, 'MAG College Enrollment Forecast'!$A:$A, 'MAG College Enrollment Forecast'!$C:$C+'MAG College Enrollment Forecast'!$D:$D+'MAG College Enrollment Forecast'!$E:$E+'MAG College Enrollment Forecast'!$F:$F+'MAG College Enrollment Forecast'!$G:$G+'MAG College Enrollment Forecast'!$H:$H), (AJ$72-AJ9)/($AI$72-$AI9)*($AI10-$AI9)+AJ9),
          TRUE, IFERROR(_xlfn.XLOOKUP($AI10, 'USHE Projections'!$A:$A, IFERROR(_xlfn.XLOOKUP(AJ$1, 'USHE Projections'!$A$1:$E$1, 'USHE Projections'!$A:$E), "NONE"), (AJ$72-AJ9)/($AI$72-$AI9)*($AI10-$AI9)+AJ9), (AJ$72-AJ9)/($AI$72-$AI9)*($AI10-$AI9)+AJ9)
        )
      )
    )
  ), 0)</f>
        <v>25018</v>
      </c>
      <c r="AK10" s="20" cm="1">
        <f t="array" ref="AK10">ROUND(
  IF(AND(AK$1="Ensign", $AI10&gt;=2021, $AI10&lt;=2024),
    _xlfn.XLOOKUP($AI10, Ensign!$A$2:$A$12, Ensign!$B$2:$B$12),
    _xlfn.XLOOKUP($AI10, 'Historic (IPEDS &amp; 2019 RTP)'!$A:$A, _xlfn.XLOOKUP(AK$1, 'Historic (IPEDS &amp; 2019 RTP)'!$A$1:$H$1, 'Historic (IPEDS &amp; 2019 RTP)'!$A:$H),
      IFERROR(_xlfn.XLOOKUP($AI10, 'USHE Historic'!$A$3:$A$13, _xlfn.XLOOKUP(AK$1, 'USHE Historic'!$A$2:$E$2, 'USHE Historic'!$A$3:$E$13)),
        _xlfn.IFS(
          AK$1="BYU", IFERROR(_xlfn.XLOOKUP($AI10, 'MAG College Enrollment Forecast'!$A:$A, 'MAG College Enrollment Forecast'!$B:$B), (AK$72-AK9)/($AI$72-$AI9)*($AI10-$AI9)+AK9),
          AK$1="UVU", IFERROR(_xlfn.XLOOKUP($AI10, 'MAG College Enrollment Forecast'!$A:$A, 'MAG College Enrollment Forecast'!$C:$C+'MAG College Enrollment Forecast'!$D:$D+'MAG College Enrollment Forecast'!$E:$E+'MAG College Enrollment Forecast'!$F:$F+'MAG College Enrollment Forecast'!$G:$G+'MAG College Enrollment Forecast'!$H:$H), (AK$72-AK9)/($AI$72-$AI9)*($AI10-$AI9)+AK9),
          TRUE, IFERROR(_xlfn.XLOOKUP($AI10, 'USHE Projections'!$A:$A, IFERROR(_xlfn.XLOOKUP(AK$1, 'USHE Projections'!$A$1:$E$1, 'USHE Projections'!$A:$E), "NONE"), (AK$72-AK9)/($AI$72-$AI9)*($AI10-$AI9)+AK9), (AK$72-AK9)/($AI$72-$AI9)*($AI10-$AI9)+AK9)
        )
      )
    )
  ), 0)</f>
        <v>13900</v>
      </c>
      <c r="AL10" s="20" cm="1">
        <f t="array" ref="AL10">ROUND(
  IF(AND(AL$1="Ensign", $AI10&gt;=2021, $AI10&lt;=2024),
    _xlfn.XLOOKUP($AI10, Ensign!$A$2:$A$12, Ensign!$B$2:$B$12),
    _xlfn.XLOOKUP($AI10, 'Historic (IPEDS &amp; 2019 RTP)'!$A:$A, _xlfn.XLOOKUP(AL$1, 'Historic (IPEDS &amp; 2019 RTP)'!$A$1:$H$1, 'Historic (IPEDS &amp; 2019 RTP)'!$A:$H),
      IFERROR(_xlfn.XLOOKUP($AI10, 'USHE Historic'!$A$3:$A$13, _xlfn.XLOOKUP(AL$1, 'USHE Historic'!$A$2:$E$2, 'USHE Historic'!$A$3:$E$13)),
        _xlfn.IFS(
          AL$1="BYU", IFERROR(_xlfn.XLOOKUP($AI10, 'MAG College Enrollment Forecast'!$A:$A, 'MAG College Enrollment Forecast'!$B:$B), (AL$72-AL9)/($AI$72-$AI9)*($AI10-$AI9)+AL9),
          AL$1="UVU", IFERROR(_xlfn.XLOOKUP($AI10, 'MAG College Enrollment Forecast'!$A:$A, 'MAG College Enrollment Forecast'!$C:$C+'MAG College Enrollment Forecast'!$D:$D+'MAG College Enrollment Forecast'!$E:$E+'MAG College Enrollment Forecast'!$F:$F+'MAG College Enrollment Forecast'!$G:$G+'MAG College Enrollment Forecast'!$H:$H), (AL$72-AL9)/($AI$72-$AI9)*($AI10-$AI9)+AL9),
          TRUE, IFERROR(_xlfn.XLOOKUP($AI10, 'USHE Projections'!$A:$A, IFERROR(_xlfn.XLOOKUP(AL$1, 'USHE Projections'!$A$1:$E$1, 'USHE Projections'!$A:$E), "NONE"), (AL$72-AL9)/($AI$72-$AI9)*($AI10-$AI9)+AL9), (AL$72-AL9)/($AI$72-$AI9)*($AI10-$AI9)+AL9)
        )
      )
    )
  ), 0)</f>
        <v>18174</v>
      </c>
      <c r="AM10" s="20" cm="1">
        <f t="array" ref="AM10">ROUND(
  IF(AND(AM$1="Ensign", $AI10&gt;=2021, $AI10&lt;=2024),
    _xlfn.XLOOKUP($AI10, Ensign!$A$2:$A$12, Ensign!$B$2:$B$12),
    _xlfn.XLOOKUP($AI10, 'Historic (IPEDS &amp; 2019 RTP)'!$A:$A, _xlfn.XLOOKUP(AM$1, 'Historic (IPEDS &amp; 2019 RTP)'!$A$1:$H$1, 'Historic (IPEDS &amp; 2019 RTP)'!$A:$H),
      IFERROR(_xlfn.XLOOKUP($AI10, 'USHE Historic'!$A$3:$A$13, _xlfn.XLOOKUP(AM$1, 'USHE Historic'!$A$2:$E$2, 'USHE Historic'!$A$3:$E$13)),
        _xlfn.IFS(
          AM$1="BYU", IFERROR(_xlfn.XLOOKUP($AI10, 'MAG College Enrollment Forecast'!$A:$A, 'MAG College Enrollment Forecast'!$B:$B), (AM$72-AM9)/($AI$72-$AI9)*($AI10-$AI9)+AM9),
          AM$1="UVU", IFERROR(_xlfn.XLOOKUP($AI10, 'MAG College Enrollment Forecast'!$A:$A, 'MAG College Enrollment Forecast'!$C:$C+'MAG College Enrollment Forecast'!$D:$D+'MAG College Enrollment Forecast'!$E:$E+'MAG College Enrollment Forecast'!$F:$F+'MAG College Enrollment Forecast'!$G:$G+'MAG College Enrollment Forecast'!$H:$H), (AM$72-AM9)/($AI$72-$AI9)*($AI10-$AI9)+AM9),
          TRUE, IFERROR(_xlfn.XLOOKUP($AI10, 'USHE Projections'!$A:$A, IFERROR(_xlfn.XLOOKUP(AM$1, 'USHE Projections'!$A$1:$E$1, 'USHE Projections'!$A:$E), "NONE"), (AM$72-AM9)/($AI$72-$AI9)*($AI10-$AI9)+AM9), (AM$72-AM9)/($AI$72-$AI9)*($AI10-$AI9)+AM9)
        )
      )
    )
  ), 0)</f>
        <v>19754</v>
      </c>
      <c r="AN10" s="20" cm="1">
        <f t="array" ref="AN10">ROUND(
  IF(AND(AN$1="Ensign", $AI10&gt;=2021, $AI10&lt;=2024),
    _xlfn.XLOOKUP($AI10, Ensign!$A$2:$A$12, Ensign!$B$2:$B$12),
    _xlfn.XLOOKUP($AI10, 'Historic (IPEDS &amp; 2019 RTP)'!$A:$A, _xlfn.XLOOKUP(AN$1, 'Historic (IPEDS &amp; 2019 RTP)'!$A$1:$H$1, 'Historic (IPEDS &amp; 2019 RTP)'!$A:$H),
      IFERROR(_xlfn.XLOOKUP($AI10, 'USHE Historic'!$A$3:$A$13, _xlfn.XLOOKUP(AN$1, 'USHE Historic'!$A$2:$E$2, 'USHE Historic'!$A$3:$E$13)),
        _xlfn.IFS(
          AN$1="BYU", IFERROR(_xlfn.XLOOKUP($AI10, 'MAG College Enrollment Forecast'!$A:$A, 'MAG College Enrollment Forecast'!$B:$B), (AN$72-AN9)/($AI$72-$AI9)*($AI10-$AI9)+AN9),
          AN$1="UVU", IFERROR(_xlfn.XLOOKUP($AI10, 'MAG College Enrollment Forecast'!$A:$A, 'MAG College Enrollment Forecast'!$C:$C+'MAG College Enrollment Forecast'!$D:$D+'MAG College Enrollment Forecast'!$E:$E+'MAG College Enrollment Forecast'!$F:$F+'MAG College Enrollment Forecast'!$G:$G+'MAG College Enrollment Forecast'!$H:$H), (AN$72-AN9)/($AI$72-$AI9)*($AI10-$AI9)+AN9),
          TRUE, IFERROR(_xlfn.XLOOKUP($AI10, 'USHE Projections'!$A:$A, IFERROR(_xlfn.XLOOKUP(AN$1, 'USHE Projections'!$A$1:$E$1, 'USHE Projections'!$A:$E), "NONE"), (AN$72-AN9)/($AI$72-$AI9)*($AI10-$AI9)+AN9), (AN$72-AN9)/($AI$72-$AI9)*($AI10-$AI9)+AN9)
        )
      )
    )
  ), 0)</f>
        <v>32202</v>
      </c>
      <c r="AO10" s="20" cm="1">
        <f t="array" ref="AO10">ROUND(
  IF(AND(AO$1="Ensign", $AI10&gt;=2021, $AI10&lt;=2024),
    _xlfn.XLOOKUP($AI10, Ensign!$A$2:$A$12, Ensign!$B$2:$B$12),
    _xlfn.XLOOKUP($AI10, 'Historic (IPEDS &amp; 2019 RTP)'!$A:$A, _xlfn.XLOOKUP(AO$1, 'Historic (IPEDS &amp; 2019 RTP)'!$A$1:$H$1, 'Historic (IPEDS &amp; 2019 RTP)'!$A:$H),
      IFERROR(_xlfn.XLOOKUP($AI10, 'USHE Historic'!$A$3:$A$13, _xlfn.XLOOKUP(AO$1, 'USHE Historic'!$A$2:$E$2, 'USHE Historic'!$A$3:$E$13)),
        _xlfn.IFS(
          AO$1="BYU", IFERROR(_xlfn.XLOOKUP($AI10, 'MAG College Enrollment Forecast'!$A:$A, 'MAG College Enrollment Forecast'!$B:$B), (AO$72-AO9)/($AI$72-$AI9)*($AI10-$AI9)+AO9),
          AO$1="UVU", IFERROR(_xlfn.XLOOKUP($AI10, 'MAG College Enrollment Forecast'!$A:$A, 'MAG College Enrollment Forecast'!$C:$C+'MAG College Enrollment Forecast'!$D:$D+'MAG College Enrollment Forecast'!$E:$E+'MAG College Enrollment Forecast'!$F:$F+'MAG College Enrollment Forecast'!$G:$G+'MAG College Enrollment Forecast'!$H:$H), (AO$72-AO9)/($AI$72-$AI9)*($AI10-$AI9)+AO9),
          TRUE, IFERROR(_xlfn.XLOOKUP($AI10, 'USHE Projections'!$A:$A, IFERROR(_xlfn.XLOOKUP(AO$1, 'USHE Projections'!$A$1:$E$1, 'USHE Projections'!$A:$E), "NONE"), (AO$72-AO9)/($AI$72-$AI9)*($AI10-$AI9)+AO9), (AO$72-AO9)/($AI$72-$AI9)*($AI10-$AI9)+AO9)
        )
      )
    )
  ), 0)</f>
        <v>0</v>
      </c>
      <c r="AP10" s="20" cm="1">
        <f t="array" ref="AP10">ROUND(
  IF(AND(AP$1="Ensign", $AI10&gt;=2021, $AI10&lt;=2024),
    _xlfn.XLOOKUP($AI10, Ensign!$A$2:$A$12, Ensign!$B$2:$B$12),
    _xlfn.XLOOKUP($AI10, 'Historic (IPEDS &amp; 2019 RTP)'!$A:$A, _xlfn.XLOOKUP(AP$1, 'Historic (IPEDS &amp; 2019 RTP)'!$A$1:$H$1, 'Historic (IPEDS &amp; 2019 RTP)'!$A:$H),
      IFERROR(_xlfn.XLOOKUP($AI10, 'USHE Historic'!$A$3:$A$13, _xlfn.XLOOKUP(AP$1, 'USHE Historic'!$A$2:$E$2, 'USHE Historic'!$A$3:$E$13)),
        _xlfn.IFS(
          AP$1="BYU", IFERROR(_xlfn.XLOOKUP($AI10, 'MAG College Enrollment Forecast'!$A:$A, 'MAG College Enrollment Forecast'!$B:$B), (AP$72-AP9)/($AI$72-$AI9)*($AI10-$AI9)+AP9),
          AP$1="UVU", IFERROR(_xlfn.XLOOKUP($AI10, 'MAG College Enrollment Forecast'!$A:$A, 'MAG College Enrollment Forecast'!$C:$C+'MAG College Enrollment Forecast'!$D:$D+'MAG College Enrollment Forecast'!$E:$E+'MAG College Enrollment Forecast'!$F:$F+'MAG College Enrollment Forecast'!$G:$G+'MAG College Enrollment Forecast'!$H:$H), (AP$72-AP9)/($AI$72-$AI9)*($AI10-$AI9)+AP9),
          TRUE, IFERROR(_xlfn.XLOOKUP($AI10, 'USHE Projections'!$A:$A, IFERROR(_xlfn.XLOOKUP(AP$1, 'USHE Projections'!$A$1:$E$1, 'USHE Projections'!$A:$E), "NONE"), (AP$72-AP9)/($AI$72-$AI9)*($AI10-$AI9)+AP9), (AP$72-AP9)/($AI$72-$AI9)*($AI10-$AI9)+AP9)
        )
      )
    )
  ), 0)</f>
        <v>0</v>
      </c>
      <c r="AQ10" s="7"/>
    </row>
    <row r="11" spans="1:43">
      <c r="AI11" s="3">
        <v>1999</v>
      </c>
      <c r="AJ11" s="20" cm="1">
        <f t="array" ref="AJ11">ROUND(
  IF(AND(AJ$1="Ensign", $AI11&gt;=2021, $AI11&lt;=2024),
    _xlfn.XLOOKUP($AI11, Ensign!$A$2:$A$12, Ensign!$B$2:$B$12),
    _xlfn.XLOOKUP($AI11, 'Historic (IPEDS &amp; 2019 RTP)'!$A:$A, _xlfn.XLOOKUP(AJ$1, 'Historic (IPEDS &amp; 2019 RTP)'!$A$1:$H$1, 'Historic (IPEDS &amp; 2019 RTP)'!$A:$H),
      IFERROR(_xlfn.XLOOKUP($AI11, 'USHE Historic'!$A$3:$A$13, _xlfn.XLOOKUP(AJ$1, 'USHE Historic'!$A$2:$E$2, 'USHE Historic'!$A$3:$E$13)),
        _xlfn.IFS(
          AJ$1="BYU", IFERROR(_xlfn.XLOOKUP($AI11, 'MAG College Enrollment Forecast'!$A:$A, 'MAG College Enrollment Forecast'!$B:$B), (AJ$72-AJ10)/($AI$72-$AI10)*($AI11-$AI10)+AJ10),
          AJ$1="UVU", IFERROR(_xlfn.XLOOKUP($AI11, 'MAG College Enrollment Forecast'!$A:$A, 'MAG College Enrollment Forecast'!$C:$C+'MAG College Enrollment Forecast'!$D:$D+'MAG College Enrollment Forecast'!$E:$E+'MAG College Enrollment Forecast'!$F:$F+'MAG College Enrollment Forecast'!$G:$G+'MAG College Enrollment Forecast'!$H:$H), (AJ$72-AJ10)/($AI$72-$AI10)*($AI11-$AI10)+AJ10),
          TRUE, IFERROR(_xlfn.XLOOKUP($AI11, 'USHE Projections'!$A:$A, IFERROR(_xlfn.XLOOKUP(AJ$1, 'USHE Projections'!$A$1:$E$1, 'USHE Projections'!$A:$E), "NONE"), (AJ$72-AJ10)/($AI$72-$AI10)*($AI11-$AI10)+AJ10), (AJ$72-AJ10)/($AI$72-$AI10)*($AI11-$AI10)+AJ10)
        )
      )
    )
  ), 0)</f>
        <v>25781</v>
      </c>
      <c r="AK11" s="20" cm="1">
        <f t="array" ref="AK11">ROUND(
  IF(AND(AK$1="Ensign", $AI11&gt;=2021, $AI11&lt;=2024),
    _xlfn.XLOOKUP($AI11, Ensign!$A$2:$A$12, Ensign!$B$2:$B$12),
    _xlfn.XLOOKUP($AI11, 'Historic (IPEDS &amp; 2019 RTP)'!$A:$A, _xlfn.XLOOKUP(AK$1, 'Historic (IPEDS &amp; 2019 RTP)'!$A$1:$H$1, 'Historic (IPEDS &amp; 2019 RTP)'!$A:$H),
      IFERROR(_xlfn.XLOOKUP($AI11, 'USHE Historic'!$A$3:$A$13, _xlfn.XLOOKUP(AK$1, 'USHE Historic'!$A$2:$E$2, 'USHE Historic'!$A$3:$E$13)),
        _xlfn.IFS(
          AK$1="BYU", IFERROR(_xlfn.XLOOKUP($AI11, 'MAG College Enrollment Forecast'!$A:$A, 'MAG College Enrollment Forecast'!$B:$B), (AK$72-AK10)/($AI$72-$AI10)*($AI11-$AI10)+AK10),
          AK$1="UVU", IFERROR(_xlfn.XLOOKUP($AI11, 'MAG College Enrollment Forecast'!$A:$A, 'MAG College Enrollment Forecast'!$C:$C+'MAG College Enrollment Forecast'!$D:$D+'MAG College Enrollment Forecast'!$E:$E+'MAG College Enrollment Forecast'!$F:$F+'MAG College Enrollment Forecast'!$G:$G+'MAG College Enrollment Forecast'!$H:$H), (AK$72-AK10)/($AI$72-$AI10)*($AI11-$AI10)+AK10),
          TRUE, IFERROR(_xlfn.XLOOKUP($AI11, 'USHE Projections'!$A:$A, IFERROR(_xlfn.XLOOKUP(AK$1, 'USHE Projections'!$A$1:$E$1, 'USHE Projections'!$A:$E), "NONE"), (AK$72-AK10)/($AI$72-$AI10)*($AI11-$AI10)+AK10), (AK$72-AK10)/($AI$72-$AI10)*($AI11-$AI10)+AK10)
        )
      )
    )
  ), 0)</f>
        <v>14984</v>
      </c>
      <c r="AL11" s="20" cm="1">
        <f t="array" ref="AL11">ROUND(
  IF(AND(AL$1="Ensign", $AI11&gt;=2021, $AI11&lt;=2024),
    _xlfn.XLOOKUP($AI11, Ensign!$A$2:$A$12, Ensign!$B$2:$B$12),
    _xlfn.XLOOKUP($AI11, 'Historic (IPEDS &amp; 2019 RTP)'!$A:$A, _xlfn.XLOOKUP(AL$1, 'Historic (IPEDS &amp; 2019 RTP)'!$A$1:$H$1, 'Historic (IPEDS &amp; 2019 RTP)'!$A:$H),
      IFERROR(_xlfn.XLOOKUP($AI11, 'USHE Historic'!$A$3:$A$13, _xlfn.XLOOKUP(AL$1, 'USHE Historic'!$A$2:$E$2, 'USHE Historic'!$A$3:$E$13)),
        _xlfn.IFS(
          AL$1="BYU", IFERROR(_xlfn.XLOOKUP($AI11, 'MAG College Enrollment Forecast'!$A:$A, 'MAG College Enrollment Forecast'!$B:$B), (AL$72-AL10)/($AI$72-$AI10)*($AI11-$AI10)+AL10),
          AL$1="UVU", IFERROR(_xlfn.XLOOKUP($AI11, 'MAG College Enrollment Forecast'!$A:$A, 'MAG College Enrollment Forecast'!$C:$C+'MAG College Enrollment Forecast'!$D:$D+'MAG College Enrollment Forecast'!$E:$E+'MAG College Enrollment Forecast'!$F:$F+'MAG College Enrollment Forecast'!$G:$G+'MAG College Enrollment Forecast'!$H:$H), (AL$72-AL10)/($AI$72-$AI10)*($AI11-$AI10)+AL10),
          TRUE, IFERROR(_xlfn.XLOOKUP($AI11, 'USHE Projections'!$A:$A, IFERROR(_xlfn.XLOOKUP(AL$1, 'USHE Projections'!$A$1:$E$1, 'USHE Projections'!$A:$E), "NONE"), (AL$72-AL10)/($AI$72-$AI10)*($AI11-$AI10)+AL10), (AL$72-AL10)/($AI$72-$AI10)*($AI11-$AI10)+AL10)
        )
      )
    )
  ), 0)</f>
        <v>20062</v>
      </c>
      <c r="AM11" s="20" cm="1">
        <f t="array" ref="AM11">ROUND(
  IF(AND(AM$1="Ensign", $AI11&gt;=2021, $AI11&lt;=2024),
    _xlfn.XLOOKUP($AI11, Ensign!$A$2:$A$12, Ensign!$B$2:$B$12),
    _xlfn.XLOOKUP($AI11, 'Historic (IPEDS &amp; 2019 RTP)'!$A:$A, _xlfn.XLOOKUP(AM$1, 'Historic (IPEDS &amp; 2019 RTP)'!$A$1:$H$1, 'Historic (IPEDS &amp; 2019 RTP)'!$A:$H),
      IFERROR(_xlfn.XLOOKUP($AI11, 'USHE Historic'!$A$3:$A$13, _xlfn.XLOOKUP(AM$1, 'USHE Historic'!$A$2:$E$2, 'USHE Historic'!$A$3:$E$13)),
        _xlfn.IFS(
          AM$1="BYU", IFERROR(_xlfn.XLOOKUP($AI11, 'MAG College Enrollment Forecast'!$A:$A, 'MAG College Enrollment Forecast'!$B:$B), (AM$72-AM10)/($AI$72-$AI10)*($AI11-$AI10)+AM10),
          AM$1="UVU", IFERROR(_xlfn.XLOOKUP($AI11, 'MAG College Enrollment Forecast'!$A:$A, 'MAG College Enrollment Forecast'!$C:$C+'MAG College Enrollment Forecast'!$D:$D+'MAG College Enrollment Forecast'!$E:$E+'MAG College Enrollment Forecast'!$F:$F+'MAG College Enrollment Forecast'!$G:$G+'MAG College Enrollment Forecast'!$H:$H), (AM$72-AM10)/($AI$72-$AI10)*($AI11-$AI10)+AM10),
          TRUE, IFERROR(_xlfn.XLOOKUP($AI11, 'USHE Projections'!$A:$A, IFERROR(_xlfn.XLOOKUP(AM$1, 'USHE Projections'!$A$1:$E$1, 'USHE Projections'!$A:$E), "NONE"), (AM$72-AM10)/($AI$72-$AI10)*($AI11-$AI10)+AM10), (AM$72-AM10)/($AI$72-$AI10)*($AI11-$AI10)+AM10)
        )
      )
    )
  ), 0)</f>
        <v>21273</v>
      </c>
      <c r="AN11" s="20" cm="1">
        <f t="array" ref="AN11">ROUND(
  IF(AND(AN$1="Ensign", $AI11&gt;=2021, $AI11&lt;=2024),
    _xlfn.XLOOKUP($AI11, Ensign!$A$2:$A$12, Ensign!$B$2:$B$12),
    _xlfn.XLOOKUP($AI11, 'Historic (IPEDS &amp; 2019 RTP)'!$A:$A, _xlfn.XLOOKUP(AN$1, 'Historic (IPEDS &amp; 2019 RTP)'!$A$1:$H$1, 'Historic (IPEDS &amp; 2019 RTP)'!$A:$H),
      IFERROR(_xlfn.XLOOKUP($AI11, 'USHE Historic'!$A$3:$A$13, _xlfn.XLOOKUP(AN$1, 'USHE Historic'!$A$2:$E$2, 'USHE Historic'!$A$3:$E$13)),
        _xlfn.IFS(
          AN$1="BYU", IFERROR(_xlfn.XLOOKUP($AI11, 'MAG College Enrollment Forecast'!$A:$A, 'MAG College Enrollment Forecast'!$B:$B), (AN$72-AN10)/($AI$72-$AI10)*($AI11-$AI10)+AN10),
          AN$1="UVU", IFERROR(_xlfn.XLOOKUP($AI11, 'MAG College Enrollment Forecast'!$A:$A, 'MAG College Enrollment Forecast'!$C:$C+'MAG College Enrollment Forecast'!$D:$D+'MAG College Enrollment Forecast'!$E:$E+'MAG College Enrollment Forecast'!$F:$F+'MAG College Enrollment Forecast'!$G:$G+'MAG College Enrollment Forecast'!$H:$H), (AN$72-AN10)/($AI$72-$AI10)*($AI11-$AI10)+AN10),
          TRUE, IFERROR(_xlfn.XLOOKUP($AI11, 'USHE Projections'!$A:$A, IFERROR(_xlfn.XLOOKUP(AN$1, 'USHE Projections'!$A$1:$E$1, 'USHE Projections'!$A:$E), "NONE"), (AN$72-AN10)/($AI$72-$AI10)*($AI11-$AI10)+AN10), (AN$72-AN10)/($AI$72-$AI10)*($AI11-$AI10)+AN10)
        )
      )
    )
  ), 0)</f>
        <v>32731</v>
      </c>
      <c r="AO11" s="20" cm="1">
        <f t="array" ref="AO11">ROUND(
  IF(AND(AO$1="Ensign", $AI11&gt;=2021, $AI11&lt;=2024),
    _xlfn.XLOOKUP($AI11, Ensign!$A$2:$A$12, Ensign!$B$2:$B$12),
    _xlfn.XLOOKUP($AI11, 'Historic (IPEDS &amp; 2019 RTP)'!$A:$A, _xlfn.XLOOKUP(AO$1, 'Historic (IPEDS &amp; 2019 RTP)'!$A$1:$H$1, 'Historic (IPEDS &amp; 2019 RTP)'!$A:$H),
      IFERROR(_xlfn.XLOOKUP($AI11, 'USHE Historic'!$A$3:$A$13, _xlfn.XLOOKUP(AO$1, 'USHE Historic'!$A$2:$E$2, 'USHE Historic'!$A$3:$E$13)),
        _xlfn.IFS(
          AO$1="BYU", IFERROR(_xlfn.XLOOKUP($AI11, 'MAG College Enrollment Forecast'!$A:$A, 'MAG College Enrollment Forecast'!$B:$B), (AO$72-AO10)/($AI$72-$AI10)*($AI11-$AI10)+AO10),
          AO$1="UVU", IFERROR(_xlfn.XLOOKUP($AI11, 'MAG College Enrollment Forecast'!$A:$A, 'MAG College Enrollment Forecast'!$C:$C+'MAG College Enrollment Forecast'!$D:$D+'MAG College Enrollment Forecast'!$E:$E+'MAG College Enrollment Forecast'!$F:$F+'MAG College Enrollment Forecast'!$G:$G+'MAG College Enrollment Forecast'!$H:$H), (AO$72-AO10)/($AI$72-$AI10)*($AI11-$AI10)+AO10),
          TRUE, IFERROR(_xlfn.XLOOKUP($AI11, 'USHE Projections'!$A:$A, IFERROR(_xlfn.XLOOKUP(AO$1, 'USHE Projections'!$A$1:$E$1, 'USHE Projections'!$A:$E), "NONE"), (AO$72-AO10)/($AI$72-$AI10)*($AI11-$AI10)+AO10), (AO$72-AO10)/($AI$72-$AI10)*($AI11-$AI10)+AO10)
        )
      )
    )
  ), 0)</f>
        <v>0</v>
      </c>
      <c r="AP11" s="20" cm="1">
        <f t="array" ref="AP11">ROUND(
  IF(AND(AP$1="Ensign", $AI11&gt;=2021, $AI11&lt;=2024),
    _xlfn.XLOOKUP($AI11, Ensign!$A$2:$A$12, Ensign!$B$2:$B$12),
    _xlfn.XLOOKUP($AI11, 'Historic (IPEDS &amp; 2019 RTP)'!$A:$A, _xlfn.XLOOKUP(AP$1, 'Historic (IPEDS &amp; 2019 RTP)'!$A$1:$H$1, 'Historic (IPEDS &amp; 2019 RTP)'!$A:$H),
      IFERROR(_xlfn.XLOOKUP($AI11, 'USHE Historic'!$A$3:$A$13, _xlfn.XLOOKUP(AP$1, 'USHE Historic'!$A$2:$E$2, 'USHE Historic'!$A$3:$E$13)),
        _xlfn.IFS(
          AP$1="BYU", IFERROR(_xlfn.XLOOKUP($AI11, 'MAG College Enrollment Forecast'!$A:$A, 'MAG College Enrollment Forecast'!$B:$B), (AP$72-AP10)/($AI$72-$AI10)*($AI11-$AI10)+AP10),
          AP$1="UVU", IFERROR(_xlfn.XLOOKUP($AI11, 'MAG College Enrollment Forecast'!$A:$A, 'MAG College Enrollment Forecast'!$C:$C+'MAG College Enrollment Forecast'!$D:$D+'MAG College Enrollment Forecast'!$E:$E+'MAG College Enrollment Forecast'!$F:$F+'MAG College Enrollment Forecast'!$G:$G+'MAG College Enrollment Forecast'!$H:$H), (AP$72-AP10)/($AI$72-$AI10)*($AI11-$AI10)+AP10),
          TRUE, IFERROR(_xlfn.XLOOKUP($AI11, 'USHE Projections'!$A:$A, IFERROR(_xlfn.XLOOKUP(AP$1, 'USHE Projections'!$A$1:$E$1, 'USHE Projections'!$A:$E), "NONE"), (AP$72-AP10)/($AI$72-$AI10)*($AI11-$AI10)+AP10), (AP$72-AP10)/($AI$72-$AI10)*($AI11-$AI10)+AP10)
        )
      )
    )
  ), 0)</f>
        <v>0</v>
      </c>
      <c r="AQ11" s="7"/>
    </row>
    <row r="12" spans="1:43">
      <c r="AI12" s="3">
        <v>2000</v>
      </c>
      <c r="AJ12" s="20" cm="1">
        <f t="array" ref="AJ12">ROUND(
  IF(AND(AJ$1="Ensign", $AI12&gt;=2021, $AI12&lt;=2024),
    _xlfn.XLOOKUP($AI12, Ensign!$A$2:$A$12, Ensign!$B$2:$B$12),
    _xlfn.XLOOKUP($AI12, 'Historic (IPEDS &amp; 2019 RTP)'!$A:$A, _xlfn.XLOOKUP(AJ$1, 'Historic (IPEDS &amp; 2019 RTP)'!$A$1:$H$1, 'Historic (IPEDS &amp; 2019 RTP)'!$A:$H),
      IFERROR(_xlfn.XLOOKUP($AI12, 'USHE Historic'!$A$3:$A$13, _xlfn.XLOOKUP(AJ$1, 'USHE Historic'!$A$2:$E$2, 'USHE Historic'!$A$3:$E$13)),
        _xlfn.IFS(
          AJ$1="BYU", IFERROR(_xlfn.XLOOKUP($AI12, 'MAG College Enrollment Forecast'!$A:$A, 'MAG College Enrollment Forecast'!$B:$B), (AJ$72-AJ11)/($AI$72-$AI11)*($AI12-$AI11)+AJ11),
          AJ$1="UVU", IFERROR(_xlfn.XLOOKUP($AI12, 'MAG College Enrollment Forecast'!$A:$A, 'MAG College Enrollment Forecast'!$C:$C+'MAG College Enrollment Forecast'!$D:$D+'MAG College Enrollment Forecast'!$E:$E+'MAG College Enrollment Forecast'!$F:$F+'MAG College Enrollment Forecast'!$G:$G+'MAG College Enrollment Forecast'!$H:$H), (AJ$72-AJ11)/($AI$72-$AI11)*($AI12-$AI11)+AJ11),
          TRUE, IFERROR(_xlfn.XLOOKUP($AI12, 'USHE Projections'!$A:$A, IFERROR(_xlfn.XLOOKUP(AJ$1, 'USHE Projections'!$A$1:$E$1, 'USHE Projections'!$A:$E), "NONE"), (AJ$72-AJ11)/($AI$72-$AI11)*($AI12-$AI11)+AJ11), (AJ$72-AJ11)/($AI$72-$AI11)*($AI12-$AI11)+AJ11)
        )
      )
    )
  ), 0)</f>
        <v>24948</v>
      </c>
      <c r="AK12" s="20" cm="1">
        <f t="array" ref="AK12">ROUND(
  IF(AND(AK$1="Ensign", $AI12&gt;=2021, $AI12&lt;=2024),
    _xlfn.XLOOKUP($AI12, Ensign!$A$2:$A$12, Ensign!$B$2:$B$12),
    _xlfn.XLOOKUP($AI12, 'Historic (IPEDS &amp; 2019 RTP)'!$A:$A, _xlfn.XLOOKUP(AK$1, 'Historic (IPEDS &amp; 2019 RTP)'!$A$1:$H$1, 'Historic (IPEDS &amp; 2019 RTP)'!$A:$H),
      IFERROR(_xlfn.XLOOKUP($AI12, 'USHE Historic'!$A$3:$A$13, _xlfn.XLOOKUP(AK$1, 'USHE Historic'!$A$2:$E$2, 'USHE Historic'!$A$3:$E$13)),
        _xlfn.IFS(
          AK$1="BYU", IFERROR(_xlfn.XLOOKUP($AI12, 'MAG College Enrollment Forecast'!$A:$A, 'MAG College Enrollment Forecast'!$B:$B), (AK$72-AK11)/($AI$72-$AI11)*($AI12-$AI11)+AK11),
          AK$1="UVU", IFERROR(_xlfn.XLOOKUP($AI12, 'MAG College Enrollment Forecast'!$A:$A, 'MAG College Enrollment Forecast'!$C:$C+'MAG College Enrollment Forecast'!$D:$D+'MAG College Enrollment Forecast'!$E:$E+'MAG College Enrollment Forecast'!$F:$F+'MAG College Enrollment Forecast'!$G:$G+'MAG College Enrollment Forecast'!$H:$H), (AK$72-AK11)/($AI$72-$AI11)*($AI12-$AI11)+AK11),
          TRUE, IFERROR(_xlfn.XLOOKUP($AI12, 'USHE Projections'!$A:$A, IFERROR(_xlfn.XLOOKUP(AK$1, 'USHE Projections'!$A$1:$E$1, 'USHE Projections'!$A:$E), "NONE"), (AK$72-AK11)/($AI$72-$AI11)*($AI12-$AI11)+AK11), (AK$72-AK11)/($AI$72-$AI11)*($AI12-$AI11)+AK11)
        )
      )
    )
  ), 0)</f>
        <v>16050</v>
      </c>
      <c r="AL12" s="20" cm="1">
        <f t="array" ref="AL12">ROUND(
  IF(AND(AL$1="Ensign", $AI12&gt;=2021, $AI12&lt;=2024),
    _xlfn.XLOOKUP($AI12, Ensign!$A$2:$A$12, Ensign!$B$2:$B$12),
    _xlfn.XLOOKUP($AI12, 'Historic (IPEDS &amp; 2019 RTP)'!$A:$A, _xlfn.XLOOKUP(AL$1, 'Historic (IPEDS &amp; 2019 RTP)'!$A$1:$H$1, 'Historic (IPEDS &amp; 2019 RTP)'!$A:$H),
      IFERROR(_xlfn.XLOOKUP($AI12, 'USHE Historic'!$A$3:$A$13, _xlfn.XLOOKUP(AL$1, 'USHE Historic'!$A$2:$E$2, 'USHE Historic'!$A$3:$E$13)),
        _xlfn.IFS(
          AL$1="BYU", IFERROR(_xlfn.XLOOKUP($AI12, 'MAG College Enrollment Forecast'!$A:$A, 'MAG College Enrollment Forecast'!$B:$B), (AL$72-AL11)/($AI$72-$AI11)*($AI12-$AI11)+AL11),
          AL$1="UVU", IFERROR(_xlfn.XLOOKUP($AI12, 'MAG College Enrollment Forecast'!$A:$A, 'MAG College Enrollment Forecast'!$C:$C+'MAG College Enrollment Forecast'!$D:$D+'MAG College Enrollment Forecast'!$E:$E+'MAG College Enrollment Forecast'!$F:$F+'MAG College Enrollment Forecast'!$G:$G+'MAG College Enrollment Forecast'!$H:$H), (AL$72-AL11)/($AI$72-$AI11)*($AI12-$AI11)+AL11),
          TRUE, IFERROR(_xlfn.XLOOKUP($AI12, 'USHE Projections'!$A:$A, IFERROR(_xlfn.XLOOKUP(AL$1, 'USHE Projections'!$A$1:$E$1, 'USHE Projections'!$A:$E), "NONE"), (AL$72-AL11)/($AI$72-$AI11)*($AI12-$AI11)+AL11), (AL$72-AL11)/($AI$72-$AI11)*($AI12-$AI11)+AL11)
        )
      )
    )
  ), 0)</f>
        <v>20946</v>
      </c>
      <c r="AM12" s="20" cm="1">
        <f t="array" ref="AM12">ROUND(
  IF(AND(AM$1="Ensign", $AI12&gt;=2021, $AI12&lt;=2024),
    _xlfn.XLOOKUP($AI12, Ensign!$A$2:$A$12, Ensign!$B$2:$B$12),
    _xlfn.XLOOKUP($AI12, 'Historic (IPEDS &amp; 2019 RTP)'!$A:$A, _xlfn.XLOOKUP(AM$1, 'Historic (IPEDS &amp; 2019 RTP)'!$A$1:$H$1, 'Historic (IPEDS &amp; 2019 RTP)'!$A:$H),
      IFERROR(_xlfn.XLOOKUP($AI12, 'USHE Historic'!$A$3:$A$13, _xlfn.XLOOKUP(AM$1, 'USHE Historic'!$A$2:$E$2, 'USHE Historic'!$A$3:$E$13)),
        _xlfn.IFS(
          AM$1="BYU", IFERROR(_xlfn.XLOOKUP($AI12, 'MAG College Enrollment Forecast'!$A:$A, 'MAG College Enrollment Forecast'!$B:$B), (AM$72-AM11)/($AI$72-$AI11)*($AI12-$AI11)+AM11),
          AM$1="UVU", IFERROR(_xlfn.XLOOKUP($AI12, 'MAG College Enrollment Forecast'!$A:$A, 'MAG College Enrollment Forecast'!$C:$C+'MAG College Enrollment Forecast'!$D:$D+'MAG College Enrollment Forecast'!$E:$E+'MAG College Enrollment Forecast'!$F:$F+'MAG College Enrollment Forecast'!$G:$G+'MAG College Enrollment Forecast'!$H:$H), (AM$72-AM11)/($AI$72-$AI11)*($AI12-$AI11)+AM11),
          TRUE, IFERROR(_xlfn.XLOOKUP($AI12, 'USHE Projections'!$A:$A, IFERROR(_xlfn.XLOOKUP(AM$1, 'USHE Projections'!$A$1:$E$1, 'USHE Projections'!$A:$E), "NONE"), (AM$72-AM11)/($AI$72-$AI11)*($AI12-$AI11)+AM11), (AM$72-AM11)/($AI$72-$AI11)*($AI12-$AI11)+AM11)
        )
      )
    )
  ), 0)</f>
        <v>21596</v>
      </c>
      <c r="AN12" s="20" cm="1">
        <f t="array" ref="AN12">ROUND(
  IF(AND(AN$1="Ensign", $AI12&gt;=2021, $AI12&lt;=2024),
    _xlfn.XLOOKUP($AI12, Ensign!$A$2:$A$12, Ensign!$B$2:$B$12),
    _xlfn.XLOOKUP($AI12, 'Historic (IPEDS &amp; 2019 RTP)'!$A:$A, _xlfn.XLOOKUP(AN$1, 'Historic (IPEDS &amp; 2019 RTP)'!$A$1:$H$1, 'Historic (IPEDS &amp; 2019 RTP)'!$A:$H),
      IFERROR(_xlfn.XLOOKUP($AI12, 'USHE Historic'!$A$3:$A$13, _xlfn.XLOOKUP(AN$1, 'USHE Historic'!$A$2:$E$2, 'USHE Historic'!$A$3:$E$13)),
        _xlfn.IFS(
          AN$1="BYU", IFERROR(_xlfn.XLOOKUP($AI12, 'MAG College Enrollment Forecast'!$A:$A, 'MAG College Enrollment Forecast'!$B:$B), (AN$72-AN11)/($AI$72-$AI11)*($AI12-$AI11)+AN11),
          AN$1="UVU", IFERROR(_xlfn.XLOOKUP($AI12, 'MAG College Enrollment Forecast'!$A:$A, 'MAG College Enrollment Forecast'!$C:$C+'MAG College Enrollment Forecast'!$D:$D+'MAG College Enrollment Forecast'!$E:$E+'MAG College Enrollment Forecast'!$F:$F+'MAG College Enrollment Forecast'!$G:$G+'MAG College Enrollment Forecast'!$H:$H), (AN$72-AN11)/($AI$72-$AI11)*($AI12-$AI11)+AN11),
          TRUE, IFERROR(_xlfn.XLOOKUP($AI12, 'USHE Projections'!$A:$A, IFERROR(_xlfn.XLOOKUP(AN$1, 'USHE Projections'!$A$1:$E$1, 'USHE Projections'!$A:$E), "NONE"), (AN$72-AN11)/($AI$72-$AI11)*($AI12-$AI11)+AN11), (AN$72-AN11)/($AI$72-$AI11)*($AI12-$AI11)+AN11)
        )
      )
    )
  ), 0)</f>
        <v>32554</v>
      </c>
      <c r="AO12" s="20" cm="1">
        <f t="array" ref="AO12">ROUND(
  IF(AND(AO$1="Ensign", $AI12&gt;=2021, $AI12&lt;=2024),
    _xlfn.XLOOKUP($AI12, Ensign!$A$2:$A$12, Ensign!$B$2:$B$12),
    _xlfn.XLOOKUP($AI12, 'Historic (IPEDS &amp; 2019 RTP)'!$A:$A, _xlfn.XLOOKUP(AO$1, 'Historic (IPEDS &amp; 2019 RTP)'!$A$1:$H$1, 'Historic (IPEDS &amp; 2019 RTP)'!$A:$H),
      IFERROR(_xlfn.XLOOKUP($AI12, 'USHE Historic'!$A$3:$A$13, _xlfn.XLOOKUP(AO$1, 'USHE Historic'!$A$2:$E$2, 'USHE Historic'!$A$3:$E$13)),
        _xlfn.IFS(
          AO$1="BYU", IFERROR(_xlfn.XLOOKUP($AI12, 'MAG College Enrollment Forecast'!$A:$A, 'MAG College Enrollment Forecast'!$B:$B), (AO$72-AO11)/($AI$72-$AI11)*($AI12-$AI11)+AO11),
          AO$1="UVU", IFERROR(_xlfn.XLOOKUP($AI12, 'MAG College Enrollment Forecast'!$A:$A, 'MAG College Enrollment Forecast'!$C:$C+'MAG College Enrollment Forecast'!$D:$D+'MAG College Enrollment Forecast'!$E:$E+'MAG College Enrollment Forecast'!$F:$F+'MAG College Enrollment Forecast'!$G:$G+'MAG College Enrollment Forecast'!$H:$H), (AO$72-AO11)/($AI$72-$AI11)*($AI12-$AI11)+AO11),
          TRUE, IFERROR(_xlfn.XLOOKUP($AI12, 'USHE Projections'!$A:$A, IFERROR(_xlfn.XLOOKUP(AO$1, 'USHE Projections'!$A$1:$E$1, 'USHE Projections'!$A:$E), "NONE"), (AO$72-AO11)/($AI$72-$AI11)*($AI12-$AI11)+AO11), (AO$72-AO11)/($AI$72-$AI11)*($AI12-$AI11)+AO11)
        )
      )
    )
  ), 0)</f>
        <v>824</v>
      </c>
      <c r="AP12" s="20" cm="1">
        <f t="array" ref="AP12">ROUND(
  IF(AND(AP$1="Ensign", $AI12&gt;=2021, $AI12&lt;=2024),
    _xlfn.XLOOKUP($AI12, Ensign!$A$2:$A$12, Ensign!$B$2:$B$12),
    _xlfn.XLOOKUP($AI12, 'Historic (IPEDS &amp; 2019 RTP)'!$A:$A, _xlfn.XLOOKUP(AP$1, 'Historic (IPEDS &amp; 2019 RTP)'!$A$1:$H$1, 'Historic (IPEDS &amp; 2019 RTP)'!$A:$H),
      IFERROR(_xlfn.XLOOKUP($AI12, 'USHE Historic'!$A$3:$A$13, _xlfn.XLOOKUP(AP$1, 'USHE Historic'!$A$2:$E$2, 'USHE Historic'!$A$3:$E$13)),
        _xlfn.IFS(
          AP$1="BYU", IFERROR(_xlfn.XLOOKUP($AI12, 'MAG College Enrollment Forecast'!$A:$A, 'MAG College Enrollment Forecast'!$B:$B), (AP$72-AP11)/($AI$72-$AI11)*($AI12-$AI11)+AP11),
          AP$1="UVU", IFERROR(_xlfn.XLOOKUP($AI12, 'MAG College Enrollment Forecast'!$A:$A, 'MAG College Enrollment Forecast'!$C:$C+'MAG College Enrollment Forecast'!$D:$D+'MAG College Enrollment Forecast'!$E:$E+'MAG College Enrollment Forecast'!$F:$F+'MAG College Enrollment Forecast'!$G:$G+'MAG College Enrollment Forecast'!$H:$H), (AP$72-AP11)/($AI$72-$AI11)*($AI12-$AI11)+AP11),
          TRUE, IFERROR(_xlfn.XLOOKUP($AI12, 'USHE Projections'!$A:$A, IFERROR(_xlfn.XLOOKUP(AP$1, 'USHE Projections'!$A$1:$E$1, 'USHE Projections'!$A:$E), "NONE"), (AP$72-AP11)/($AI$72-$AI11)*($AI12-$AI11)+AP11), (AP$72-AP11)/($AI$72-$AI11)*($AI12-$AI11)+AP11)
        )
      )
    )
  ), 0)</f>
        <v>2403</v>
      </c>
      <c r="AQ12" s="7"/>
    </row>
    <row r="13" spans="1:43">
      <c r="AI13" s="3">
        <v>2001</v>
      </c>
      <c r="AJ13" s="20" cm="1">
        <f t="array" ref="AJ13">ROUND(
  IF(AND(AJ$1="Ensign", $AI13&gt;=2021, $AI13&lt;=2024),
    _xlfn.XLOOKUP($AI13, Ensign!$A$2:$A$12, Ensign!$B$2:$B$12),
    _xlfn.XLOOKUP($AI13, 'Historic (IPEDS &amp; 2019 RTP)'!$A:$A, _xlfn.XLOOKUP(AJ$1, 'Historic (IPEDS &amp; 2019 RTP)'!$A$1:$H$1, 'Historic (IPEDS &amp; 2019 RTP)'!$A:$H),
      IFERROR(_xlfn.XLOOKUP($AI13, 'USHE Historic'!$A$3:$A$13, _xlfn.XLOOKUP(AJ$1, 'USHE Historic'!$A$2:$E$2, 'USHE Historic'!$A$3:$E$13)),
        _xlfn.IFS(
          AJ$1="BYU", IFERROR(_xlfn.XLOOKUP($AI13, 'MAG College Enrollment Forecast'!$A:$A, 'MAG College Enrollment Forecast'!$B:$B), (AJ$72-AJ12)/($AI$72-$AI12)*($AI13-$AI12)+AJ12),
          AJ$1="UVU", IFERROR(_xlfn.XLOOKUP($AI13, 'MAG College Enrollment Forecast'!$A:$A, 'MAG College Enrollment Forecast'!$C:$C+'MAG College Enrollment Forecast'!$D:$D+'MAG College Enrollment Forecast'!$E:$E+'MAG College Enrollment Forecast'!$F:$F+'MAG College Enrollment Forecast'!$G:$G+'MAG College Enrollment Forecast'!$H:$H), (AJ$72-AJ12)/($AI$72-$AI12)*($AI13-$AI12)+AJ12),
          TRUE, IFERROR(_xlfn.XLOOKUP($AI13, 'USHE Projections'!$A:$A, IFERROR(_xlfn.XLOOKUP(AJ$1, 'USHE Projections'!$A$1:$E$1, 'USHE Projections'!$A:$E), "NONE"), (AJ$72-AJ12)/($AI$72-$AI12)*($AI13-$AI12)+AJ12), (AJ$72-AJ12)/($AI$72-$AI12)*($AI13-$AI12)+AJ12)
        )
      )
    )
  ), 0)</f>
        <v>27668</v>
      </c>
      <c r="AK13" s="20" cm="1">
        <f t="array" ref="AK13">ROUND(
  IF(AND(AK$1="Ensign", $AI13&gt;=2021, $AI13&lt;=2024),
    _xlfn.XLOOKUP($AI13, Ensign!$A$2:$A$12, Ensign!$B$2:$B$12),
    _xlfn.XLOOKUP($AI13, 'Historic (IPEDS &amp; 2019 RTP)'!$A:$A, _xlfn.XLOOKUP(AK$1, 'Historic (IPEDS &amp; 2019 RTP)'!$A$1:$H$1, 'Historic (IPEDS &amp; 2019 RTP)'!$A:$H),
      IFERROR(_xlfn.XLOOKUP($AI13, 'USHE Historic'!$A$3:$A$13, _xlfn.XLOOKUP(AK$1, 'USHE Historic'!$A$2:$E$2, 'USHE Historic'!$A$3:$E$13)),
        _xlfn.IFS(
          AK$1="BYU", IFERROR(_xlfn.XLOOKUP($AI13, 'MAG College Enrollment Forecast'!$A:$A, 'MAG College Enrollment Forecast'!$B:$B), (AK$72-AK12)/($AI$72-$AI12)*($AI13-$AI12)+AK12),
          AK$1="UVU", IFERROR(_xlfn.XLOOKUP($AI13, 'MAG College Enrollment Forecast'!$A:$A, 'MAG College Enrollment Forecast'!$C:$C+'MAG College Enrollment Forecast'!$D:$D+'MAG College Enrollment Forecast'!$E:$E+'MAG College Enrollment Forecast'!$F:$F+'MAG College Enrollment Forecast'!$G:$G+'MAG College Enrollment Forecast'!$H:$H), (AK$72-AK12)/($AI$72-$AI12)*($AI13-$AI12)+AK12),
          TRUE, IFERROR(_xlfn.XLOOKUP($AI13, 'USHE Projections'!$A:$A, IFERROR(_xlfn.XLOOKUP(AK$1, 'USHE Projections'!$A$1:$E$1, 'USHE Projections'!$A:$E), "NONE"), (AK$72-AK12)/($AI$72-$AI12)*($AI13-$AI12)+AK12), (AK$72-AK12)/($AI$72-$AI12)*($AI13-$AI12)+AK12)
        )
      )
    )
  ), 0)</f>
        <v>16873</v>
      </c>
      <c r="AL13" s="20" cm="1">
        <f t="array" ref="AL13">ROUND(
  IF(AND(AL$1="Ensign", $AI13&gt;=2021, $AI13&lt;=2024),
    _xlfn.XLOOKUP($AI13, Ensign!$A$2:$A$12, Ensign!$B$2:$B$12),
    _xlfn.XLOOKUP($AI13, 'Historic (IPEDS &amp; 2019 RTP)'!$A:$A, _xlfn.XLOOKUP(AL$1, 'Historic (IPEDS &amp; 2019 RTP)'!$A$1:$H$1, 'Historic (IPEDS &amp; 2019 RTP)'!$A:$H),
      IFERROR(_xlfn.XLOOKUP($AI13, 'USHE Historic'!$A$3:$A$13, _xlfn.XLOOKUP(AL$1, 'USHE Historic'!$A$2:$E$2, 'USHE Historic'!$A$3:$E$13)),
        _xlfn.IFS(
          AL$1="BYU", IFERROR(_xlfn.XLOOKUP($AI13, 'MAG College Enrollment Forecast'!$A:$A, 'MAG College Enrollment Forecast'!$B:$B), (AL$72-AL12)/($AI$72-$AI12)*($AI13-$AI12)+AL12),
          AL$1="UVU", IFERROR(_xlfn.XLOOKUP($AI13, 'MAG College Enrollment Forecast'!$A:$A, 'MAG College Enrollment Forecast'!$C:$C+'MAG College Enrollment Forecast'!$D:$D+'MAG College Enrollment Forecast'!$E:$E+'MAG College Enrollment Forecast'!$F:$F+'MAG College Enrollment Forecast'!$G:$G+'MAG College Enrollment Forecast'!$H:$H), (AL$72-AL12)/($AI$72-$AI12)*($AI13-$AI12)+AL12),
          TRUE, IFERROR(_xlfn.XLOOKUP($AI13, 'USHE Projections'!$A:$A, IFERROR(_xlfn.XLOOKUP(AL$1, 'USHE Projections'!$A$1:$E$1, 'USHE Projections'!$A:$E), "NONE"), (AL$72-AL12)/($AI$72-$AI12)*($AI13-$AI12)+AL12), (AL$72-AL12)/($AI$72-$AI12)*($AI13-$AI12)+AL12)
        )
      )
    )
  ), 0)</f>
        <v>22609</v>
      </c>
      <c r="AM13" s="20" cm="1">
        <f t="array" ref="AM13">ROUND(
  IF(AND(AM$1="Ensign", $AI13&gt;=2021, $AI13&lt;=2024),
    _xlfn.XLOOKUP($AI13, Ensign!$A$2:$A$12, Ensign!$B$2:$B$12),
    _xlfn.XLOOKUP($AI13, 'Historic (IPEDS &amp; 2019 RTP)'!$A:$A, _xlfn.XLOOKUP(AM$1, 'Historic (IPEDS &amp; 2019 RTP)'!$A$1:$H$1, 'Historic (IPEDS &amp; 2019 RTP)'!$A:$H),
      IFERROR(_xlfn.XLOOKUP($AI13, 'USHE Historic'!$A$3:$A$13, _xlfn.XLOOKUP(AM$1, 'USHE Historic'!$A$2:$E$2, 'USHE Historic'!$A$3:$E$13)),
        _xlfn.IFS(
          AM$1="BYU", IFERROR(_xlfn.XLOOKUP($AI13, 'MAG College Enrollment Forecast'!$A:$A, 'MAG College Enrollment Forecast'!$B:$B), (AM$72-AM12)/($AI$72-$AI12)*($AI13-$AI12)+AM12),
          AM$1="UVU", IFERROR(_xlfn.XLOOKUP($AI13, 'MAG College Enrollment Forecast'!$A:$A, 'MAG College Enrollment Forecast'!$C:$C+'MAG College Enrollment Forecast'!$D:$D+'MAG College Enrollment Forecast'!$E:$E+'MAG College Enrollment Forecast'!$F:$F+'MAG College Enrollment Forecast'!$G:$G+'MAG College Enrollment Forecast'!$H:$H), (AM$72-AM12)/($AI$72-$AI12)*($AI13-$AI12)+AM12),
          TRUE, IFERROR(_xlfn.XLOOKUP($AI13, 'USHE Projections'!$A:$A, IFERROR(_xlfn.XLOOKUP(AM$1, 'USHE Projections'!$A$1:$E$1, 'USHE Projections'!$A:$E), "NONE"), (AM$72-AM12)/($AI$72-$AI12)*($AI13-$AI12)+AM12), (AM$72-AM12)/($AI$72-$AI12)*($AI13-$AI12)+AM12)
        )
      )
    )
  ), 0)</f>
        <v>23701</v>
      </c>
      <c r="AN13" s="20" cm="1">
        <f t="array" ref="AN13">ROUND(
  IF(AND(AN$1="Ensign", $AI13&gt;=2021, $AI13&lt;=2024),
    _xlfn.XLOOKUP($AI13, Ensign!$A$2:$A$12, Ensign!$B$2:$B$12),
    _xlfn.XLOOKUP($AI13, 'Historic (IPEDS &amp; 2019 RTP)'!$A:$A, _xlfn.XLOOKUP(AN$1, 'Historic (IPEDS &amp; 2019 RTP)'!$A$1:$H$1, 'Historic (IPEDS &amp; 2019 RTP)'!$A:$H),
      IFERROR(_xlfn.XLOOKUP($AI13, 'USHE Historic'!$A$3:$A$13, _xlfn.XLOOKUP(AN$1, 'USHE Historic'!$A$2:$E$2, 'USHE Historic'!$A$3:$E$13)),
        _xlfn.IFS(
          AN$1="BYU", IFERROR(_xlfn.XLOOKUP($AI13, 'MAG College Enrollment Forecast'!$A:$A, 'MAG College Enrollment Forecast'!$B:$B), (AN$72-AN12)/($AI$72-$AI12)*($AI13-$AI12)+AN12),
          AN$1="UVU", IFERROR(_xlfn.XLOOKUP($AI13, 'MAG College Enrollment Forecast'!$A:$A, 'MAG College Enrollment Forecast'!$C:$C+'MAG College Enrollment Forecast'!$D:$D+'MAG College Enrollment Forecast'!$E:$E+'MAG College Enrollment Forecast'!$F:$F+'MAG College Enrollment Forecast'!$G:$G+'MAG College Enrollment Forecast'!$H:$H), (AN$72-AN12)/($AI$72-$AI12)*($AI13-$AI12)+AN12),
          TRUE, IFERROR(_xlfn.XLOOKUP($AI13, 'USHE Projections'!$A:$A, IFERROR(_xlfn.XLOOKUP(AN$1, 'USHE Projections'!$A$1:$E$1, 'USHE Projections'!$A:$E), "NONE"), (AN$72-AN12)/($AI$72-$AI12)*($AI13-$AI12)+AN12), (AN$72-AN12)/($AI$72-$AI12)*($AI13-$AI12)+AN12)
        )
      )
    )
  ), 0)</f>
        <v>32771</v>
      </c>
      <c r="AO13" s="20" cm="1">
        <f t="array" ref="AO13">ROUND(
  IF(AND(AO$1="Ensign", $AI13&gt;=2021, $AI13&lt;=2024),
    _xlfn.XLOOKUP($AI13, Ensign!$A$2:$A$12, Ensign!$B$2:$B$12),
    _xlfn.XLOOKUP($AI13, 'Historic (IPEDS &amp; 2019 RTP)'!$A:$A, _xlfn.XLOOKUP(AO$1, 'Historic (IPEDS &amp; 2019 RTP)'!$A$1:$H$1, 'Historic (IPEDS &amp; 2019 RTP)'!$A:$H),
      IFERROR(_xlfn.XLOOKUP($AI13, 'USHE Historic'!$A$3:$A$13, _xlfn.XLOOKUP(AO$1, 'USHE Historic'!$A$2:$E$2, 'USHE Historic'!$A$3:$E$13)),
        _xlfn.IFS(
          AO$1="BYU", IFERROR(_xlfn.XLOOKUP($AI13, 'MAG College Enrollment Forecast'!$A:$A, 'MAG College Enrollment Forecast'!$B:$B), (AO$72-AO12)/($AI$72-$AI12)*($AI13-$AI12)+AO12),
          AO$1="UVU", IFERROR(_xlfn.XLOOKUP($AI13, 'MAG College Enrollment Forecast'!$A:$A, 'MAG College Enrollment Forecast'!$C:$C+'MAG College Enrollment Forecast'!$D:$D+'MAG College Enrollment Forecast'!$E:$E+'MAG College Enrollment Forecast'!$F:$F+'MAG College Enrollment Forecast'!$G:$G+'MAG College Enrollment Forecast'!$H:$H), (AO$72-AO12)/($AI$72-$AI12)*($AI13-$AI12)+AO12),
          TRUE, IFERROR(_xlfn.XLOOKUP($AI13, 'USHE Projections'!$A:$A, IFERROR(_xlfn.XLOOKUP(AO$1, 'USHE Projections'!$A$1:$E$1, 'USHE Projections'!$A:$E), "NONE"), (AO$72-AO12)/($AI$72-$AI12)*($AI13-$AI12)+AO12), (AO$72-AO12)/($AI$72-$AI12)*($AI13-$AI12)+AO12)
        )
      )
    )
  ), 0)</f>
        <v>1025</v>
      </c>
      <c r="AP13" s="20" cm="1">
        <f t="array" ref="AP13">ROUND(
  IF(AND(AP$1="Ensign", $AI13&gt;=2021, $AI13&lt;=2024),
    _xlfn.XLOOKUP($AI13, Ensign!$A$2:$A$12, Ensign!$B$2:$B$12),
    _xlfn.XLOOKUP($AI13, 'Historic (IPEDS &amp; 2019 RTP)'!$A:$A, _xlfn.XLOOKUP(AP$1, 'Historic (IPEDS &amp; 2019 RTP)'!$A$1:$H$1, 'Historic (IPEDS &amp; 2019 RTP)'!$A:$H),
      IFERROR(_xlfn.XLOOKUP($AI13, 'USHE Historic'!$A$3:$A$13, _xlfn.XLOOKUP(AP$1, 'USHE Historic'!$A$2:$E$2, 'USHE Historic'!$A$3:$E$13)),
        _xlfn.IFS(
          AP$1="BYU", IFERROR(_xlfn.XLOOKUP($AI13, 'MAG College Enrollment Forecast'!$A:$A, 'MAG College Enrollment Forecast'!$B:$B), (AP$72-AP12)/($AI$72-$AI12)*($AI13-$AI12)+AP12),
          AP$1="UVU", IFERROR(_xlfn.XLOOKUP($AI13, 'MAG College Enrollment Forecast'!$A:$A, 'MAG College Enrollment Forecast'!$C:$C+'MAG College Enrollment Forecast'!$D:$D+'MAG College Enrollment Forecast'!$E:$E+'MAG College Enrollment Forecast'!$F:$F+'MAG College Enrollment Forecast'!$G:$G+'MAG College Enrollment Forecast'!$H:$H), (AP$72-AP12)/($AI$72-$AI12)*($AI13-$AI12)+AP12),
          TRUE, IFERROR(_xlfn.XLOOKUP($AI13, 'USHE Projections'!$A:$A, IFERROR(_xlfn.XLOOKUP(AP$1, 'USHE Projections'!$A$1:$E$1, 'USHE Projections'!$A:$E), "NONE"), (AP$72-AP12)/($AI$72-$AI12)*($AI13-$AI12)+AP12), (AP$72-AP12)/($AI$72-$AI12)*($AI13-$AI12)+AP12)
        )
      )
    )
  ), 0)</f>
        <v>2474</v>
      </c>
      <c r="AQ13" s="7"/>
    </row>
    <row r="14" spans="1:43">
      <c r="AI14" s="3">
        <v>2002</v>
      </c>
      <c r="AJ14" s="20" cm="1">
        <f t="array" ref="AJ14">ROUND(
  IF(AND(AJ$1="Ensign", $AI14&gt;=2021, $AI14&lt;=2024),
    _xlfn.XLOOKUP($AI14, Ensign!$A$2:$A$12, Ensign!$B$2:$B$12),
    _xlfn.XLOOKUP($AI14, 'Historic (IPEDS &amp; 2019 RTP)'!$A:$A, _xlfn.XLOOKUP(AJ$1, 'Historic (IPEDS &amp; 2019 RTP)'!$A$1:$H$1, 'Historic (IPEDS &amp; 2019 RTP)'!$A:$H),
      IFERROR(_xlfn.XLOOKUP($AI14, 'USHE Historic'!$A$3:$A$13, _xlfn.XLOOKUP(AJ$1, 'USHE Historic'!$A$2:$E$2, 'USHE Historic'!$A$3:$E$13)),
        _xlfn.IFS(
          AJ$1="BYU", IFERROR(_xlfn.XLOOKUP($AI14, 'MAG College Enrollment Forecast'!$A:$A, 'MAG College Enrollment Forecast'!$B:$B), (AJ$72-AJ13)/($AI$72-$AI13)*($AI14-$AI13)+AJ13),
          AJ$1="UVU", IFERROR(_xlfn.XLOOKUP($AI14, 'MAG College Enrollment Forecast'!$A:$A, 'MAG College Enrollment Forecast'!$C:$C+'MAG College Enrollment Forecast'!$D:$D+'MAG College Enrollment Forecast'!$E:$E+'MAG College Enrollment Forecast'!$F:$F+'MAG College Enrollment Forecast'!$G:$G+'MAG College Enrollment Forecast'!$H:$H), (AJ$72-AJ13)/($AI$72-$AI13)*($AI14-$AI13)+AJ13),
          TRUE, IFERROR(_xlfn.XLOOKUP($AI14, 'USHE Projections'!$A:$A, IFERROR(_xlfn.XLOOKUP(AJ$1, 'USHE Projections'!$A$1:$E$1, 'USHE Projections'!$A:$E), "NONE"), (AJ$72-AJ13)/($AI$72-$AI13)*($AI14-$AI13)+AJ13), (AJ$72-AJ13)/($AI$72-$AI13)*($AI14-$AI13)+AJ13)
        )
      )
    )
  ), 0)</f>
        <v>28369</v>
      </c>
      <c r="AK14" s="20" cm="1">
        <f t="array" ref="AK14">ROUND(
  IF(AND(AK$1="Ensign", $AI14&gt;=2021, $AI14&lt;=2024),
    _xlfn.XLOOKUP($AI14, Ensign!$A$2:$A$12, Ensign!$B$2:$B$12),
    _xlfn.XLOOKUP($AI14, 'Historic (IPEDS &amp; 2019 RTP)'!$A:$A, _xlfn.XLOOKUP(AK$1, 'Historic (IPEDS &amp; 2019 RTP)'!$A$1:$H$1, 'Historic (IPEDS &amp; 2019 RTP)'!$A:$H),
      IFERROR(_xlfn.XLOOKUP($AI14, 'USHE Historic'!$A$3:$A$13, _xlfn.XLOOKUP(AK$1, 'USHE Historic'!$A$2:$E$2, 'USHE Historic'!$A$3:$E$13)),
        _xlfn.IFS(
          AK$1="BYU", IFERROR(_xlfn.XLOOKUP($AI14, 'MAG College Enrollment Forecast'!$A:$A, 'MAG College Enrollment Forecast'!$B:$B), (AK$72-AK13)/($AI$72-$AI13)*($AI14-$AI13)+AK13),
          AK$1="UVU", IFERROR(_xlfn.XLOOKUP($AI14, 'MAG College Enrollment Forecast'!$A:$A, 'MAG College Enrollment Forecast'!$C:$C+'MAG College Enrollment Forecast'!$D:$D+'MAG College Enrollment Forecast'!$E:$E+'MAG College Enrollment Forecast'!$F:$F+'MAG College Enrollment Forecast'!$G:$G+'MAG College Enrollment Forecast'!$H:$H), (AK$72-AK13)/($AI$72-$AI13)*($AI14-$AI13)+AK13),
          TRUE, IFERROR(_xlfn.XLOOKUP($AI14, 'USHE Projections'!$A:$A, IFERROR(_xlfn.XLOOKUP(AK$1, 'USHE Projections'!$A$1:$E$1, 'USHE Projections'!$A:$E), "NONE"), (AK$72-AK13)/($AI$72-$AI13)*($AI14-$AI13)+AK13), (AK$72-AK13)/($AI$72-$AI13)*($AI14-$AI13)+AK13)
        )
      )
    )
  ), 0)</f>
        <v>18059</v>
      </c>
      <c r="AL14" s="20" cm="1">
        <f t="array" ref="AL14">ROUND(
  IF(AND(AL$1="Ensign", $AI14&gt;=2021, $AI14&lt;=2024),
    _xlfn.XLOOKUP($AI14, Ensign!$A$2:$A$12, Ensign!$B$2:$B$12),
    _xlfn.XLOOKUP($AI14, 'Historic (IPEDS &amp; 2019 RTP)'!$A:$A, _xlfn.XLOOKUP(AL$1, 'Historic (IPEDS &amp; 2019 RTP)'!$A$1:$H$1, 'Historic (IPEDS &amp; 2019 RTP)'!$A:$H),
      IFERROR(_xlfn.XLOOKUP($AI14, 'USHE Historic'!$A$3:$A$13, _xlfn.XLOOKUP(AL$1, 'USHE Historic'!$A$2:$E$2, 'USHE Historic'!$A$3:$E$13)),
        _xlfn.IFS(
          AL$1="BYU", IFERROR(_xlfn.XLOOKUP($AI14, 'MAG College Enrollment Forecast'!$A:$A, 'MAG College Enrollment Forecast'!$B:$B), (AL$72-AL13)/($AI$72-$AI13)*($AI14-$AI13)+AL13),
          AL$1="UVU", IFERROR(_xlfn.XLOOKUP($AI14, 'MAG College Enrollment Forecast'!$A:$A, 'MAG College Enrollment Forecast'!$C:$C+'MAG College Enrollment Forecast'!$D:$D+'MAG College Enrollment Forecast'!$E:$E+'MAG College Enrollment Forecast'!$F:$F+'MAG College Enrollment Forecast'!$G:$G+'MAG College Enrollment Forecast'!$H:$H), (AL$72-AL13)/($AI$72-$AI13)*($AI14-$AI13)+AL13),
          TRUE, IFERROR(_xlfn.XLOOKUP($AI14, 'USHE Projections'!$A:$A, IFERROR(_xlfn.XLOOKUP(AL$1, 'USHE Projections'!$A$1:$E$1, 'USHE Projections'!$A:$E), "NONE"), (AL$72-AL13)/($AI$72-$AI13)*($AI14-$AI13)+AL13), (AL$72-AL13)/($AI$72-$AI13)*($AI14-$AI13)+AL13)
        )
      )
    )
  ), 0)</f>
        <v>23609</v>
      </c>
      <c r="AM14" s="20" cm="1">
        <f t="array" ref="AM14">ROUND(
  IF(AND(AM$1="Ensign", $AI14&gt;=2021, $AI14&lt;=2024),
    _xlfn.XLOOKUP($AI14, Ensign!$A$2:$A$12, Ensign!$B$2:$B$12),
    _xlfn.XLOOKUP($AI14, 'Historic (IPEDS &amp; 2019 RTP)'!$A:$A, _xlfn.XLOOKUP(AM$1, 'Historic (IPEDS &amp; 2019 RTP)'!$A$1:$H$1, 'Historic (IPEDS &amp; 2019 RTP)'!$A:$H),
      IFERROR(_xlfn.XLOOKUP($AI14, 'USHE Historic'!$A$3:$A$13, _xlfn.XLOOKUP(AM$1, 'USHE Historic'!$A$2:$E$2, 'USHE Historic'!$A$3:$E$13)),
        _xlfn.IFS(
          AM$1="BYU", IFERROR(_xlfn.XLOOKUP($AI14, 'MAG College Enrollment Forecast'!$A:$A, 'MAG College Enrollment Forecast'!$B:$B), (AM$72-AM13)/($AI$72-$AI13)*($AI14-$AI13)+AM13),
          AM$1="UVU", IFERROR(_xlfn.XLOOKUP($AI14, 'MAG College Enrollment Forecast'!$A:$A, 'MAG College Enrollment Forecast'!$C:$C+'MAG College Enrollment Forecast'!$D:$D+'MAG College Enrollment Forecast'!$E:$E+'MAG College Enrollment Forecast'!$F:$F+'MAG College Enrollment Forecast'!$G:$G+'MAG College Enrollment Forecast'!$H:$H), (AM$72-AM13)/($AI$72-$AI13)*($AI14-$AI13)+AM13),
          TRUE, IFERROR(_xlfn.XLOOKUP($AI14, 'USHE Projections'!$A:$A, IFERROR(_xlfn.XLOOKUP(AM$1, 'USHE Projections'!$A$1:$E$1, 'USHE Projections'!$A:$E), "NONE"), (AM$72-AM13)/($AI$72-$AI13)*($AI14-$AI13)+AM13), (AM$72-AM13)/($AI$72-$AI13)*($AI14-$AI13)+AM13)
        )
      )
    )
  ), 0)</f>
        <v>23347</v>
      </c>
      <c r="AN14" s="20" cm="1">
        <f t="array" ref="AN14">ROUND(
  IF(AND(AN$1="Ensign", $AI14&gt;=2021, $AI14&lt;=2024),
    _xlfn.XLOOKUP($AI14, Ensign!$A$2:$A$12, Ensign!$B$2:$B$12),
    _xlfn.XLOOKUP($AI14, 'Historic (IPEDS &amp; 2019 RTP)'!$A:$A, _xlfn.XLOOKUP(AN$1, 'Historic (IPEDS &amp; 2019 RTP)'!$A$1:$H$1, 'Historic (IPEDS &amp; 2019 RTP)'!$A:$H),
      IFERROR(_xlfn.XLOOKUP($AI14, 'USHE Historic'!$A$3:$A$13, _xlfn.XLOOKUP(AN$1, 'USHE Historic'!$A$2:$E$2, 'USHE Historic'!$A$3:$E$13)),
        _xlfn.IFS(
          AN$1="BYU", IFERROR(_xlfn.XLOOKUP($AI14, 'MAG College Enrollment Forecast'!$A:$A, 'MAG College Enrollment Forecast'!$B:$B), (AN$72-AN13)/($AI$72-$AI13)*($AI14-$AI13)+AN13),
          AN$1="UVU", IFERROR(_xlfn.XLOOKUP($AI14, 'MAG College Enrollment Forecast'!$A:$A, 'MAG College Enrollment Forecast'!$C:$C+'MAG College Enrollment Forecast'!$D:$D+'MAG College Enrollment Forecast'!$E:$E+'MAG College Enrollment Forecast'!$F:$F+'MAG College Enrollment Forecast'!$G:$G+'MAG College Enrollment Forecast'!$H:$H), (AN$72-AN13)/($AI$72-$AI13)*($AI14-$AI13)+AN13),
          TRUE, IFERROR(_xlfn.XLOOKUP($AI14, 'USHE Projections'!$A:$A, IFERROR(_xlfn.XLOOKUP(AN$1, 'USHE Projections'!$A$1:$E$1, 'USHE Projections'!$A:$E), "NONE"), (AN$72-AN13)/($AI$72-$AI13)*($AI14-$AI13)+AN13), (AN$72-AN13)/($AI$72-$AI13)*($AI14-$AI13)+AN13)
        )
      )
    )
  ), 0)</f>
        <v>32408</v>
      </c>
      <c r="AO14" s="20" cm="1">
        <f t="array" ref="AO14">ROUND(
  IF(AND(AO$1="Ensign", $AI14&gt;=2021, $AI14&lt;=2024),
    _xlfn.XLOOKUP($AI14, Ensign!$A$2:$A$12, Ensign!$B$2:$B$12),
    _xlfn.XLOOKUP($AI14, 'Historic (IPEDS &amp; 2019 RTP)'!$A:$A, _xlfn.XLOOKUP(AO$1, 'Historic (IPEDS &amp; 2019 RTP)'!$A$1:$H$1, 'Historic (IPEDS &amp; 2019 RTP)'!$A:$H),
      IFERROR(_xlfn.XLOOKUP($AI14, 'USHE Historic'!$A$3:$A$13, _xlfn.XLOOKUP(AO$1, 'USHE Historic'!$A$2:$E$2, 'USHE Historic'!$A$3:$E$13)),
        _xlfn.IFS(
          AO$1="BYU", IFERROR(_xlfn.XLOOKUP($AI14, 'MAG College Enrollment Forecast'!$A:$A, 'MAG College Enrollment Forecast'!$B:$B), (AO$72-AO13)/($AI$72-$AI13)*($AI14-$AI13)+AO13),
          AO$1="UVU", IFERROR(_xlfn.XLOOKUP($AI14, 'MAG College Enrollment Forecast'!$A:$A, 'MAG College Enrollment Forecast'!$C:$C+'MAG College Enrollment Forecast'!$D:$D+'MAG College Enrollment Forecast'!$E:$E+'MAG College Enrollment Forecast'!$F:$F+'MAG College Enrollment Forecast'!$G:$G+'MAG College Enrollment Forecast'!$H:$H), (AO$72-AO13)/($AI$72-$AI13)*($AI14-$AI13)+AO13),
          TRUE, IFERROR(_xlfn.XLOOKUP($AI14, 'USHE Projections'!$A:$A, IFERROR(_xlfn.XLOOKUP(AO$1, 'USHE Projections'!$A$1:$E$1, 'USHE Projections'!$A:$E), "NONE"), (AO$72-AO13)/($AI$72-$AI13)*($AI14-$AI13)+AO13), (AO$72-AO13)/($AI$72-$AI13)*($AI14-$AI13)+AO13)
        )
      )
    )
  ), 0)</f>
        <v>1124</v>
      </c>
      <c r="AP14" s="20" cm="1">
        <f t="array" ref="AP14">ROUND(
  IF(AND(AP$1="Ensign", $AI14&gt;=2021, $AI14&lt;=2024),
    _xlfn.XLOOKUP($AI14, Ensign!$A$2:$A$12, Ensign!$B$2:$B$12),
    _xlfn.XLOOKUP($AI14, 'Historic (IPEDS &amp; 2019 RTP)'!$A:$A, _xlfn.XLOOKUP(AP$1, 'Historic (IPEDS &amp; 2019 RTP)'!$A$1:$H$1, 'Historic (IPEDS &amp; 2019 RTP)'!$A:$H),
      IFERROR(_xlfn.XLOOKUP($AI14, 'USHE Historic'!$A$3:$A$13, _xlfn.XLOOKUP(AP$1, 'USHE Historic'!$A$2:$E$2, 'USHE Historic'!$A$3:$E$13)),
        _xlfn.IFS(
          AP$1="BYU", IFERROR(_xlfn.XLOOKUP($AI14, 'MAG College Enrollment Forecast'!$A:$A, 'MAG College Enrollment Forecast'!$B:$B), (AP$72-AP13)/($AI$72-$AI13)*($AI14-$AI13)+AP13),
          AP$1="UVU", IFERROR(_xlfn.XLOOKUP($AI14, 'MAG College Enrollment Forecast'!$A:$A, 'MAG College Enrollment Forecast'!$C:$C+'MAG College Enrollment Forecast'!$D:$D+'MAG College Enrollment Forecast'!$E:$E+'MAG College Enrollment Forecast'!$F:$F+'MAG College Enrollment Forecast'!$G:$G+'MAG College Enrollment Forecast'!$H:$H), (AP$72-AP13)/($AI$72-$AI13)*($AI14-$AI13)+AP13),
          TRUE, IFERROR(_xlfn.XLOOKUP($AI14, 'USHE Projections'!$A:$A, IFERROR(_xlfn.XLOOKUP(AP$1, 'USHE Projections'!$A$1:$E$1, 'USHE Projections'!$A:$E), "NONE"), (AP$72-AP13)/($AI$72-$AI13)*($AI14-$AI13)+AP13), (AP$72-AP13)/($AI$72-$AI13)*($AI14-$AI13)+AP13)
        )
      )
    )
  ), 0)</f>
        <v>2353</v>
      </c>
      <c r="AQ14" s="7"/>
    </row>
    <row r="15" spans="1:43">
      <c r="AI15" s="3">
        <v>2003</v>
      </c>
      <c r="AJ15" s="20" cm="1">
        <f t="array" ref="AJ15">ROUND(
  IF(AND(AJ$1="Ensign", $AI15&gt;=2021, $AI15&lt;=2024),
    _xlfn.XLOOKUP($AI15, Ensign!$A$2:$A$12, Ensign!$B$2:$B$12),
    _xlfn.XLOOKUP($AI15, 'Historic (IPEDS &amp; 2019 RTP)'!$A:$A, _xlfn.XLOOKUP(AJ$1, 'Historic (IPEDS &amp; 2019 RTP)'!$A$1:$H$1, 'Historic (IPEDS &amp; 2019 RTP)'!$A:$H),
      IFERROR(_xlfn.XLOOKUP($AI15, 'USHE Historic'!$A$3:$A$13, _xlfn.XLOOKUP(AJ$1, 'USHE Historic'!$A$2:$E$2, 'USHE Historic'!$A$3:$E$13)),
        _xlfn.IFS(
          AJ$1="BYU", IFERROR(_xlfn.XLOOKUP($AI15, 'MAG College Enrollment Forecast'!$A:$A, 'MAG College Enrollment Forecast'!$B:$B), (AJ$72-AJ14)/($AI$72-$AI14)*($AI15-$AI14)+AJ14),
          AJ$1="UVU", IFERROR(_xlfn.XLOOKUP($AI15, 'MAG College Enrollment Forecast'!$A:$A, 'MAG College Enrollment Forecast'!$C:$C+'MAG College Enrollment Forecast'!$D:$D+'MAG College Enrollment Forecast'!$E:$E+'MAG College Enrollment Forecast'!$F:$F+'MAG College Enrollment Forecast'!$G:$G+'MAG College Enrollment Forecast'!$H:$H), (AJ$72-AJ14)/($AI$72-$AI14)*($AI15-$AI14)+AJ14),
          TRUE, IFERROR(_xlfn.XLOOKUP($AI15, 'USHE Projections'!$A:$A, IFERROR(_xlfn.XLOOKUP(AJ$1, 'USHE Projections'!$A$1:$E$1, 'USHE Projections'!$A:$E), "NONE"), (AJ$72-AJ14)/($AI$72-$AI14)*($AI15-$AI14)+AJ14), (AJ$72-AJ14)/($AI$72-$AI14)*($AI15-$AI14)+AJ14)
        )
      )
    )
  ), 0)</f>
        <v>28436</v>
      </c>
      <c r="AK15" s="20" cm="1">
        <f t="array" ref="AK15">ROUND(
  IF(AND(AK$1="Ensign", $AI15&gt;=2021, $AI15&lt;=2024),
    _xlfn.XLOOKUP($AI15, Ensign!$A$2:$A$12, Ensign!$B$2:$B$12),
    _xlfn.XLOOKUP($AI15, 'Historic (IPEDS &amp; 2019 RTP)'!$A:$A, _xlfn.XLOOKUP(AK$1, 'Historic (IPEDS &amp; 2019 RTP)'!$A$1:$H$1, 'Historic (IPEDS &amp; 2019 RTP)'!$A:$H),
      IFERROR(_xlfn.XLOOKUP($AI15, 'USHE Historic'!$A$3:$A$13, _xlfn.XLOOKUP(AK$1, 'USHE Historic'!$A$2:$E$2, 'USHE Historic'!$A$3:$E$13)),
        _xlfn.IFS(
          AK$1="BYU", IFERROR(_xlfn.XLOOKUP($AI15, 'MAG College Enrollment Forecast'!$A:$A, 'MAG College Enrollment Forecast'!$B:$B), (AK$72-AK14)/($AI$72-$AI14)*($AI15-$AI14)+AK14),
          AK$1="UVU", IFERROR(_xlfn.XLOOKUP($AI15, 'MAG College Enrollment Forecast'!$A:$A, 'MAG College Enrollment Forecast'!$C:$C+'MAG College Enrollment Forecast'!$D:$D+'MAG College Enrollment Forecast'!$E:$E+'MAG College Enrollment Forecast'!$F:$F+'MAG College Enrollment Forecast'!$G:$G+'MAG College Enrollment Forecast'!$H:$H), (AK$72-AK14)/($AI$72-$AI14)*($AI15-$AI14)+AK14),
          TRUE, IFERROR(_xlfn.XLOOKUP($AI15, 'USHE Projections'!$A:$A, IFERROR(_xlfn.XLOOKUP(AK$1, 'USHE Projections'!$A$1:$E$1, 'USHE Projections'!$A:$E), "NONE"), (AK$72-AK14)/($AI$72-$AI14)*($AI15-$AI14)+AK14), (AK$72-AK14)/($AI$72-$AI14)*($AI15-$AI14)+AK14)
        )
      )
    )
  ), 0)</f>
        <v>18821</v>
      </c>
      <c r="AL15" s="20" cm="1">
        <f t="array" ref="AL15">ROUND(
  IF(AND(AL$1="Ensign", $AI15&gt;=2021, $AI15&lt;=2024),
    _xlfn.XLOOKUP($AI15, Ensign!$A$2:$A$12, Ensign!$B$2:$B$12),
    _xlfn.XLOOKUP($AI15, 'Historic (IPEDS &amp; 2019 RTP)'!$A:$A, _xlfn.XLOOKUP(AL$1, 'Historic (IPEDS &amp; 2019 RTP)'!$A$1:$H$1, 'Historic (IPEDS &amp; 2019 RTP)'!$A:$H),
      IFERROR(_xlfn.XLOOKUP($AI15, 'USHE Historic'!$A$3:$A$13, _xlfn.XLOOKUP(AL$1, 'USHE Historic'!$A$2:$E$2, 'USHE Historic'!$A$3:$E$13)),
        _xlfn.IFS(
          AL$1="BYU", IFERROR(_xlfn.XLOOKUP($AI15, 'MAG College Enrollment Forecast'!$A:$A, 'MAG College Enrollment Forecast'!$B:$B), (AL$72-AL14)/($AI$72-$AI14)*($AI15-$AI14)+AL14),
          AL$1="UVU", IFERROR(_xlfn.XLOOKUP($AI15, 'MAG College Enrollment Forecast'!$A:$A, 'MAG College Enrollment Forecast'!$C:$C+'MAG College Enrollment Forecast'!$D:$D+'MAG College Enrollment Forecast'!$E:$E+'MAG College Enrollment Forecast'!$F:$F+'MAG College Enrollment Forecast'!$G:$G+'MAG College Enrollment Forecast'!$H:$H), (AL$72-AL14)/($AI$72-$AI14)*($AI15-$AI14)+AL14),
          TRUE, IFERROR(_xlfn.XLOOKUP($AI15, 'USHE Projections'!$A:$A, IFERROR(_xlfn.XLOOKUP(AL$1, 'USHE Projections'!$A$1:$E$1, 'USHE Projections'!$A:$E), "NONE"), (AL$72-AL14)/($AI$72-$AI14)*($AI15-$AI14)+AL14), (AL$72-AL14)/($AI$72-$AI14)*($AI15-$AI14)+AL14)
        )
      )
    )
  ), 0)</f>
        <v>23803</v>
      </c>
      <c r="AM15" s="20" cm="1">
        <f t="array" ref="AM15">ROUND(
  IF(AND(AM$1="Ensign", $AI15&gt;=2021, $AI15&lt;=2024),
    _xlfn.XLOOKUP($AI15, Ensign!$A$2:$A$12, Ensign!$B$2:$B$12),
    _xlfn.XLOOKUP($AI15, 'Historic (IPEDS &amp; 2019 RTP)'!$A:$A, _xlfn.XLOOKUP(AM$1, 'Historic (IPEDS &amp; 2019 RTP)'!$A$1:$H$1, 'Historic (IPEDS &amp; 2019 RTP)'!$A:$H),
      IFERROR(_xlfn.XLOOKUP($AI15, 'USHE Historic'!$A$3:$A$13, _xlfn.XLOOKUP(AM$1, 'USHE Historic'!$A$2:$E$2, 'USHE Historic'!$A$3:$E$13)),
        _xlfn.IFS(
          AM$1="BYU", IFERROR(_xlfn.XLOOKUP($AI15, 'MAG College Enrollment Forecast'!$A:$A, 'MAG College Enrollment Forecast'!$B:$B), (AM$72-AM14)/($AI$72-$AI14)*($AI15-$AI14)+AM14),
          AM$1="UVU", IFERROR(_xlfn.XLOOKUP($AI15, 'MAG College Enrollment Forecast'!$A:$A, 'MAG College Enrollment Forecast'!$C:$C+'MAG College Enrollment Forecast'!$D:$D+'MAG College Enrollment Forecast'!$E:$E+'MAG College Enrollment Forecast'!$F:$F+'MAG College Enrollment Forecast'!$G:$G+'MAG College Enrollment Forecast'!$H:$H), (AM$72-AM14)/($AI$72-$AI14)*($AI15-$AI14)+AM14),
          TRUE, IFERROR(_xlfn.XLOOKUP($AI15, 'USHE Projections'!$A:$A, IFERROR(_xlfn.XLOOKUP(AM$1, 'USHE Projections'!$A$1:$E$1, 'USHE Projections'!$A:$E), "NONE"), (AM$72-AM14)/($AI$72-$AI14)*($AI15-$AI14)+AM14), (AM$72-AM14)/($AI$72-$AI14)*($AI15-$AI14)+AM14)
        )
      )
    )
  ), 0)</f>
        <v>24056</v>
      </c>
      <c r="AN15" s="20" cm="1">
        <f t="array" ref="AN15">ROUND(
  IF(AND(AN$1="Ensign", $AI15&gt;=2021, $AI15&lt;=2024),
    _xlfn.XLOOKUP($AI15, Ensign!$A$2:$A$12, Ensign!$B$2:$B$12),
    _xlfn.XLOOKUP($AI15, 'Historic (IPEDS &amp; 2019 RTP)'!$A:$A, _xlfn.XLOOKUP(AN$1, 'Historic (IPEDS &amp; 2019 RTP)'!$A$1:$H$1, 'Historic (IPEDS &amp; 2019 RTP)'!$A:$H),
      IFERROR(_xlfn.XLOOKUP($AI15, 'USHE Historic'!$A$3:$A$13, _xlfn.XLOOKUP(AN$1, 'USHE Historic'!$A$2:$E$2, 'USHE Historic'!$A$3:$E$13)),
        _xlfn.IFS(
          AN$1="BYU", IFERROR(_xlfn.XLOOKUP($AI15, 'MAG College Enrollment Forecast'!$A:$A, 'MAG College Enrollment Forecast'!$B:$B), (AN$72-AN14)/($AI$72-$AI14)*($AI15-$AI14)+AN14),
          AN$1="UVU", IFERROR(_xlfn.XLOOKUP($AI15, 'MAG College Enrollment Forecast'!$A:$A, 'MAG College Enrollment Forecast'!$C:$C+'MAG College Enrollment Forecast'!$D:$D+'MAG College Enrollment Forecast'!$E:$E+'MAG College Enrollment Forecast'!$F:$F+'MAG College Enrollment Forecast'!$G:$G+'MAG College Enrollment Forecast'!$H:$H), (AN$72-AN14)/($AI$72-$AI14)*($AI15-$AI14)+AN14),
          TRUE, IFERROR(_xlfn.XLOOKUP($AI15, 'USHE Projections'!$A:$A, IFERROR(_xlfn.XLOOKUP(AN$1, 'USHE Projections'!$A$1:$E$1, 'USHE Projections'!$A:$E), "NONE"), (AN$72-AN14)/($AI$72-$AI14)*($AI15-$AI14)+AN14), (AN$72-AN14)/($AI$72-$AI14)*($AI15-$AI14)+AN14)
        )
      )
    )
  ), 0)</f>
        <v>33008</v>
      </c>
      <c r="AO15" s="20" cm="1">
        <f t="array" ref="AO15">ROUND(
  IF(AND(AO$1="Ensign", $AI15&gt;=2021, $AI15&lt;=2024),
    _xlfn.XLOOKUP($AI15, Ensign!$A$2:$A$12, Ensign!$B$2:$B$12),
    _xlfn.XLOOKUP($AI15, 'Historic (IPEDS &amp; 2019 RTP)'!$A:$A, _xlfn.XLOOKUP(AO$1, 'Historic (IPEDS &amp; 2019 RTP)'!$A$1:$H$1, 'Historic (IPEDS &amp; 2019 RTP)'!$A:$H),
      IFERROR(_xlfn.XLOOKUP($AI15, 'USHE Historic'!$A$3:$A$13, _xlfn.XLOOKUP(AO$1, 'USHE Historic'!$A$2:$E$2, 'USHE Historic'!$A$3:$E$13)),
        _xlfn.IFS(
          AO$1="BYU", IFERROR(_xlfn.XLOOKUP($AI15, 'MAG College Enrollment Forecast'!$A:$A, 'MAG College Enrollment Forecast'!$B:$B), (AO$72-AO14)/($AI$72-$AI14)*($AI15-$AI14)+AO14),
          AO$1="UVU", IFERROR(_xlfn.XLOOKUP($AI15, 'MAG College Enrollment Forecast'!$A:$A, 'MAG College Enrollment Forecast'!$C:$C+'MAG College Enrollment Forecast'!$D:$D+'MAG College Enrollment Forecast'!$E:$E+'MAG College Enrollment Forecast'!$F:$F+'MAG College Enrollment Forecast'!$G:$G+'MAG College Enrollment Forecast'!$H:$H), (AO$72-AO14)/($AI$72-$AI14)*($AI15-$AI14)+AO14),
          TRUE, IFERROR(_xlfn.XLOOKUP($AI15, 'USHE Projections'!$A:$A, IFERROR(_xlfn.XLOOKUP(AO$1, 'USHE Projections'!$A$1:$E$1, 'USHE Projections'!$A:$E), "NONE"), (AO$72-AO14)/($AI$72-$AI14)*($AI15-$AI14)+AO14), (AO$72-AO14)/($AI$72-$AI14)*($AI15-$AI14)+AO14)
        )
      )
    )
  ), 0)</f>
        <v>1258</v>
      </c>
      <c r="AP15" s="20" cm="1">
        <f t="array" ref="AP15">ROUND(
  IF(AND(AP$1="Ensign", $AI15&gt;=2021, $AI15&lt;=2024),
    _xlfn.XLOOKUP($AI15, Ensign!$A$2:$A$12, Ensign!$B$2:$B$12),
    _xlfn.XLOOKUP($AI15, 'Historic (IPEDS &amp; 2019 RTP)'!$A:$A, _xlfn.XLOOKUP(AP$1, 'Historic (IPEDS &amp; 2019 RTP)'!$A$1:$H$1, 'Historic (IPEDS &amp; 2019 RTP)'!$A:$H),
      IFERROR(_xlfn.XLOOKUP($AI15, 'USHE Historic'!$A$3:$A$13, _xlfn.XLOOKUP(AP$1, 'USHE Historic'!$A$2:$E$2, 'USHE Historic'!$A$3:$E$13)),
        _xlfn.IFS(
          AP$1="BYU", IFERROR(_xlfn.XLOOKUP($AI15, 'MAG College Enrollment Forecast'!$A:$A, 'MAG College Enrollment Forecast'!$B:$B), (AP$72-AP14)/($AI$72-$AI14)*($AI15-$AI14)+AP14),
          AP$1="UVU", IFERROR(_xlfn.XLOOKUP($AI15, 'MAG College Enrollment Forecast'!$A:$A, 'MAG College Enrollment Forecast'!$C:$C+'MAG College Enrollment Forecast'!$D:$D+'MAG College Enrollment Forecast'!$E:$E+'MAG College Enrollment Forecast'!$F:$F+'MAG College Enrollment Forecast'!$G:$G+'MAG College Enrollment Forecast'!$H:$H), (AP$72-AP14)/($AI$72-$AI14)*($AI15-$AI14)+AP14),
          TRUE, IFERROR(_xlfn.XLOOKUP($AI15, 'USHE Projections'!$A:$A, IFERROR(_xlfn.XLOOKUP(AP$1, 'USHE Projections'!$A$1:$E$1, 'USHE Projections'!$A:$E), "NONE"), (AP$72-AP14)/($AI$72-$AI14)*($AI15-$AI14)+AP14), (AP$72-AP14)/($AI$72-$AI14)*($AI15-$AI14)+AP14)
        )
      )
    )
  ), 0)</f>
        <v>2471</v>
      </c>
      <c r="AQ15" s="7"/>
    </row>
    <row r="16" spans="1:43">
      <c r="AI16" s="3">
        <v>2004</v>
      </c>
      <c r="AJ16" s="20" cm="1">
        <f t="array" ref="AJ16">ROUND(
  IF(AND(AJ$1="Ensign", $AI16&gt;=2021, $AI16&lt;=2024),
    _xlfn.XLOOKUP($AI16, Ensign!$A$2:$A$12, Ensign!$B$2:$B$12),
    _xlfn.XLOOKUP($AI16, 'Historic (IPEDS &amp; 2019 RTP)'!$A:$A, _xlfn.XLOOKUP(AJ$1, 'Historic (IPEDS &amp; 2019 RTP)'!$A$1:$H$1, 'Historic (IPEDS &amp; 2019 RTP)'!$A:$H),
      IFERROR(_xlfn.XLOOKUP($AI16, 'USHE Historic'!$A$3:$A$13, _xlfn.XLOOKUP(AJ$1, 'USHE Historic'!$A$2:$E$2, 'USHE Historic'!$A$3:$E$13)),
        _xlfn.IFS(
          AJ$1="BYU", IFERROR(_xlfn.XLOOKUP($AI16, 'MAG College Enrollment Forecast'!$A:$A, 'MAG College Enrollment Forecast'!$B:$B), (AJ$72-AJ15)/($AI$72-$AI15)*($AI16-$AI15)+AJ15),
          AJ$1="UVU", IFERROR(_xlfn.XLOOKUP($AI16, 'MAG College Enrollment Forecast'!$A:$A, 'MAG College Enrollment Forecast'!$C:$C+'MAG College Enrollment Forecast'!$D:$D+'MAG College Enrollment Forecast'!$E:$E+'MAG College Enrollment Forecast'!$F:$F+'MAG College Enrollment Forecast'!$G:$G+'MAG College Enrollment Forecast'!$H:$H), (AJ$72-AJ15)/($AI$72-$AI15)*($AI16-$AI15)+AJ15),
          TRUE, IFERROR(_xlfn.XLOOKUP($AI16, 'USHE Projections'!$A:$A, IFERROR(_xlfn.XLOOKUP(AJ$1, 'USHE Projections'!$A$1:$E$1, 'USHE Projections'!$A:$E), "NONE"), (AJ$72-AJ15)/($AI$72-$AI15)*($AI16-$AI15)+AJ15), (AJ$72-AJ15)/($AI$72-$AI15)*($AI16-$AI15)+AJ15)
        )
      )
    )
  ), 0)</f>
        <v>28933</v>
      </c>
      <c r="AK16" s="20" cm="1">
        <f t="array" ref="AK16">ROUND(
  IF(AND(AK$1="Ensign", $AI16&gt;=2021, $AI16&lt;=2024),
    _xlfn.XLOOKUP($AI16, Ensign!$A$2:$A$12, Ensign!$B$2:$B$12),
    _xlfn.XLOOKUP($AI16, 'Historic (IPEDS &amp; 2019 RTP)'!$A:$A, _xlfn.XLOOKUP(AK$1, 'Historic (IPEDS &amp; 2019 RTP)'!$A$1:$H$1, 'Historic (IPEDS &amp; 2019 RTP)'!$A:$H),
      IFERROR(_xlfn.XLOOKUP($AI16, 'USHE Historic'!$A$3:$A$13, _xlfn.XLOOKUP(AK$1, 'USHE Historic'!$A$2:$E$2, 'USHE Historic'!$A$3:$E$13)),
        _xlfn.IFS(
          AK$1="BYU", IFERROR(_xlfn.XLOOKUP($AI16, 'MAG College Enrollment Forecast'!$A:$A, 'MAG College Enrollment Forecast'!$B:$B), (AK$72-AK15)/($AI$72-$AI15)*($AI16-$AI15)+AK15),
          AK$1="UVU", IFERROR(_xlfn.XLOOKUP($AI16, 'MAG College Enrollment Forecast'!$A:$A, 'MAG College Enrollment Forecast'!$C:$C+'MAG College Enrollment Forecast'!$D:$D+'MAG College Enrollment Forecast'!$E:$E+'MAG College Enrollment Forecast'!$F:$F+'MAG College Enrollment Forecast'!$G:$G+'MAG College Enrollment Forecast'!$H:$H), (AK$72-AK15)/($AI$72-$AI15)*($AI16-$AI15)+AK15),
          TRUE, IFERROR(_xlfn.XLOOKUP($AI16, 'USHE Projections'!$A:$A, IFERROR(_xlfn.XLOOKUP(AK$1, 'USHE Projections'!$A$1:$E$1, 'USHE Projections'!$A:$E), "NONE"), (AK$72-AK15)/($AI$72-$AI15)*($AI16-$AI15)+AK15), (AK$72-AK15)/($AI$72-$AI15)*($AI16-$AI15)+AK15)
        )
      )
    )
  ), 0)</f>
        <v>18498</v>
      </c>
      <c r="AL16" s="20" cm="1">
        <f t="array" ref="AL16">ROUND(
  IF(AND(AL$1="Ensign", $AI16&gt;=2021, $AI16&lt;=2024),
    _xlfn.XLOOKUP($AI16, Ensign!$A$2:$A$12, Ensign!$B$2:$B$12),
    _xlfn.XLOOKUP($AI16, 'Historic (IPEDS &amp; 2019 RTP)'!$A:$A, _xlfn.XLOOKUP(AL$1, 'Historic (IPEDS &amp; 2019 RTP)'!$A$1:$H$1, 'Historic (IPEDS &amp; 2019 RTP)'!$A:$H),
      IFERROR(_xlfn.XLOOKUP($AI16, 'USHE Historic'!$A$3:$A$13, _xlfn.XLOOKUP(AL$1, 'USHE Historic'!$A$2:$E$2, 'USHE Historic'!$A$3:$E$13)),
        _xlfn.IFS(
          AL$1="BYU", IFERROR(_xlfn.XLOOKUP($AI16, 'MAG College Enrollment Forecast'!$A:$A, 'MAG College Enrollment Forecast'!$B:$B), (AL$72-AL15)/($AI$72-$AI15)*($AI16-$AI15)+AL15),
          AL$1="UVU", IFERROR(_xlfn.XLOOKUP($AI16, 'MAG College Enrollment Forecast'!$A:$A, 'MAG College Enrollment Forecast'!$C:$C+'MAG College Enrollment Forecast'!$D:$D+'MAG College Enrollment Forecast'!$E:$E+'MAG College Enrollment Forecast'!$F:$F+'MAG College Enrollment Forecast'!$G:$G+'MAG College Enrollment Forecast'!$H:$H), (AL$72-AL15)/($AI$72-$AI15)*($AI16-$AI15)+AL15),
          TRUE, IFERROR(_xlfn.XLOOKUP($AI16, 'USHE Projections'!$A:$A, IFERROR(_xlfn.XLOOKUP(AL$1, 'USHE Projections'!$A$1:$E$1, 'USHE Projections'!$A:$E), "NONE"), (AL$72-AL15)/($AI$72-$AI15)*($AI16-$AI15)+AL15), (AL$72-AL15)/($AI$72-$AI15)*($AI16-$AI15)+AL15)
        )
      )
    )
  ), 0)</f>
        <v>24149</v>
      </c>
      <c r="AM16" s="20" cm="1">
        <f t="array" ref="AM16">ROUND(
  IF(AND(AM$1="Ensign", $AI16&gt;=2021, $AI16&lt;=2024),
    _xlfn.XLOOKUP($AI16, Ensign!$A$2:$A$12, Ensign!$B$2:$B$12),
    _xlfn.XLOOKUP($AI16, 'Historic (IPEDS &amp; 2019 RTP)'!$A:$A, _xlfn.XLOOKUP(AM$1, 'Historic (IPEDS &amp; 2019 RTP)'!$A$1:$H$1, 'Historic (IPEDS &amp; 2019 RTP)'!$A:$H),
      IFERROR(_xlfn.XLOOKUP($AI16, 'USHE Historic'!$A$3:$A$13, _xlfn.XLOOKUP(AM$1, 'USHE Historic'!$A$2:$E$2, 'USHE Historic'!$A$3:$E$13)),
        _xlfn.IFS(
          AM$1="BYU", IFERROR(_xlfn.XLOOKUP($AI16, 'MAG College Enrollment Forecast'!$A:$A, 'MAG College Enrollment Forecast'!$B:$B), (AM$72-AM15)/($AI$72-$AI15)*($AI16-$AI15)+AM15),
          AM$1="UVU", IFERROR(_xlfn.XLOOKUP($AI16, 'MAG College Enrollment Forecast'!$A:$A, 'MAG College Enrollment Forecast'!$C:$C+'MAG College Enrollment Forecast'!$D:$D+'MAG College Enrollment Forecast'!$E:$E+'MAG College Enrollment Forecast'!$F:$F+'MAG College Enrollment Forecast'!$G:$G+'MAG College Enrollment Forecast'!$H:$H), (AM$72-AM15)/($AI$72-$AI15)*($AI16-$AI15)+AM15),
          TRUE, IFERROR(_xlfn.XLOOKUP($AI16, 'USHE Projections'!$A:$A, IFERROR(_xlfn.XLOOKUP(AM$1, 'USHE Projections'!$A$1:$E$1, 'USHE Projections'!$A:$E), "NONE"), (AM$72-AM15)/($AI$72-$AI15)*($AI16-$AI15)+AM15), (AM$72-AM15)/($AI$72-$AI15)*($AI16-$AI15)+AM15)
        )
      )
    )
  ), 0)</f>
        <v>24725</v>
      </c>
      <c r="AN16" s="20" cm="1">
        <f t="array" ref="AN16">ROUND(
  IF(AND(AN$1="Ensign", $AI16&gt;=2021, $AI16&lt;=2024),
    _xlfn.XLOOKUP($AI16, Ensign!$A$2:$A$12, Ensign!$B$2:$B$12),
    _xlfn.XLOOKUP($AI16, 'Historic (IPEDS &amp; 2019 RTP)'!$A:$A, _xlfn.XLOOKUP(AN$1, 'Historic (IPEDS &amp; 2019 RTP)'!$A$1:$H$1, 'Historic (IPEDS &amp; 2019 RTP)'!$A:$H),
      IFERROR(_xlfn.XLOOKUP($AI16, 'USHE Historic'!$A$3:$A$13, _xlfn.XLOOKUP(AN$1, 'USHE Historic'!$A$2:$E$2, 'USHE Historic'!$A$3:$E$13)),
        _xlfn.IFS(
          AN$1="BYU", IFERROR(_xlfn.XLOOKUP($AI16, 'MAG College Enrollment Forecast'!$A:$A, 'MAG College Enrollment Forecast'!$B:$B), (AN$72-AN15)/($AI$72-$AI15)*($AI16-$AI15)+AN15),
          AN$1="UVU", IFERROR(_xlfn.XLOOKUP($AI16, 'MAG College Enrollment Forecast'!$A:$A, 'MAG College Enrollment Forecast'!$C:$C+'MAG College Enrollment Forecast'!$D:$D+'MAG College Enrollment Forecast'!$E:$E+'MAG College Enrollment Forecast'!$F:$F+'MAG College Enrollment Forecast'!$G:$G+'MAG College Enrollment Forecast'!$H:$H), (AN$72-AN15)/($AI$72-$AI15)*($AI16-$AI15)+AN15),
          TRUE, IFERROR(_xlfn.XLOOKUP($AI16, 'USHE Projections'!$A:$A, IFERROR(_xlfn.XLOOKUP(AN$1, 'USHE Projections'!$A$1:$E$1, 'USHE Projections'!$A:$E), "NONE"), (AN$72-AN15)/($AI$72-$AI15)*($AI16-$AI15)+AN15), (AN$72-AN15)/($AI$72-$AI15)*($AI16-$AI15)+AN15)
        )
      )
    )
  ), 0)</f>
        <v>34347</v>
      </c>
      <c r="AO16" s="20" cm="1">
        <f t="array" ref="AO16">ROUND(
  IF(AND(AO$1="Ensign", $AI16&gt;=2021, $AI16&lt;=2024),
    _xlfn.XLOOKUP($AI16, Ensign!$A$2:$A$12, Ensign!$B$2:$B$12),
    _xlfn.XLOOKUP($AI16, 'Historic (IPEDS &amp; 2019 RTP)'!$A:$A, _xlfn.XLOOKUP(AO$1, 'Historic (IPEDS &amp; 2019 RTP)'!$A$1:$H$1, 'Historic (IPEDS &amp; 2019 RTP)'!$A:$H),
      IFERROR(_xlfn.XLOOKUP($AI16, 'USHE Historic'!$A$3:$A$13, _xlfn.XLOOKUP(AO$1, 'USHE Historic'!$A$2:$E$2, 'USHE Historic'!$A$3:$E$13)),
        _xlfn.IFS(
          AO$1="BYU", IFERROR(_xlfn.XLOOKUP($AI16, 'MAG College Enrollment Forecast'!$A:$A, 'MAG College Enrollment Forecast'!$B:$B), (AO$72-AO15)/($AI$72-$AI15)*($AI16-$AI15)+AO15),
          AO$1="UVU", IFERROR(_xlfn.XLOOKUP($AI16, 'MAG College Enrollment Forecast'!$A:$A, 'MAG College Enrollment Forecast'!$C:$C+'MAG College Enrollment Forecast'!$D:$D+'MAG College Enrollment Forecast'!$E:$E+'MAG College Enrollment Forecast'!$F:$F+'MAG College Enrollment Forecast'!$G:$G+'MAG College Enrollment Forecast'!$H:$H), (AO$72-AO15)/($AI$72-$AI15)*($AI16-$AI15)+AO15),
          TRUE, IFERROR(_xlfn.XLOOKUP($AI16, 'USHE Projections'!$A:$A, IFERROR(_xlfn.XLOOKUP(AO$1, 'USHE Projections'!$A$1:$E$1, 'USHE Projections'!$A:$E), "NONE"), (AO$72-AO15)/($AI$72-$AI15)*($AI16-$AI15)+AO15), (AO$72-AO15)/($AI$72-$AI15)*($AI16-$AI15)+AO15)
        )
      )
    )
  ), 0)</f>
        <v>1248</v>
      </c>
      <c r="AP16" s="20" cm="1">
        <f t="array" ref="AP16">ROUND(
  IF(AND(AP$1="Ensign", $AI16&gt;=2021, $AI16&lt;=2024),
    _xlfn.XLOOKUP($AI16, Ensign!$A$2:$A$12, Ensign!$B$2:$B$12),
    _xlfn.XLOOKUP($AI16, 'Historic (IPEDS &amp; 2019 RTP)'!$A:$A, _xlfn.XLOOKUP(AP$1, 'Historic (IPEDS &amp; 2019 RTP)'!$A$1:$H$1, 'Historic (IPEDS &amp; 2019 RTP)'!$A:$H),
      IFERROR(_xlfn.XLOOKUP($AI16, 'USHE Historic'!$A$3:$A$13, _xlfn.XLOOKUP(AP$1, 'USHE Historic'!$A$2:$E$2, 'USHE Historic'!$A$3:$E$13)),
        _xlfn.IFS(
          AP$1="BYU", IFERROR(_xlfn.XLOOKUP($AI16, 'MAG College Enrollment Forecast'!$A:$A, 'MAG College Enrollment Forecast'!$B:$B), (AP$72-AP15)/($AI$72-$AI15)*($AI16-$AI15)+AP15),
          AP$1="UVU", IFERROR(_xlfn.XLOOKUP($AI16, 'MAG College Enrollment Forecast'!$A:$A, 'MAG College Enrollment Forecast'!$C:$C+'MAG College Enrollment Forecast'!$D:$D+'MAG College Enrollment Forecast'!$E:$E+'MAG College Enrollment Forecast'!$F:$F+'MAG College Enrollment Forecast'!$G:$G+'MAG College Enrollment Forecast'!$H:$H), (AP$72-AP15)/($AI$72-$AI15)*($AI16-$AI15)+AP15),
          TRUE, IFERROR(_xlfn.XLOOKUP($AI16, 'USHE Projections'!$A:$A, IFERROR(_xlfn.XLOOKUP(AP$1, 'USHE Projections'!$A$1:$E$1, 'USHE Projections'!$A:$E), "NONE"), (AP$72-AP15)/($AI$72-$AI15)*($AI16-$AI15)+AP15), (AP$72-AP15)/($AI$72-$AI15)*($AI16-$AI15)+AP15)
        )
      )
    )
  ), 0)</f>
        <v>2417</v>
      </c>
      <c r="AQ16" s="7"/>
    </row>
    <row r="17" spans="1:43">
      <c r="A17" s="5" t="str">
        <f>$AK$1</f>
        <v>WSU</v>
      </c>
      <c r="B17" s="5" t="s">
        <v>103</v>
      </c>
      <c r="C17" s="5"/>
      <c r="D17" s="110" t="s">
        <v>211</v>
      </c>
      <c r="E17" s="110">
        <v>48000</v>
      </c>
      <c r="F17" s="5"/>
      <c r="G17" s="5"/>
      <c r="H17" s="5"/>
      <c r="I17" s="5" t="str">
        <f>$AM$1</f>
        <v>SLCC</v>
      </c>
      <c r="J17" s="5" t="s">
        <v>103</v>
      </c>
      <c r="K17" s="5"/>
      <c r="L17" s="110" t="s">
        <v>213</v>
      </c>
      <c r="M17" s="110">
        <v>43000</v>
      </c>
      <c r="N17" s="5"/>
      <c r="O17" s="5"/>
      <c r="P17" s="5"/>
      <c r="Q17" s="5" t="str">
        <f>$AO$1</f>
        <v>ENSIGN</v>
      </c>
      <c r="R17" s="5" t="s">
        <v>103</v>
      </c>
      <c r="T17" s="110" t="s">
        <v>215</v>
      </c>
      <c r="U17" s="110"/>
      <c r="V17" s="110">
        <v>3200</v>
      </c>
      <c r="AI17" s="3">
        <v>2005</v>
      </c>
      <c r="AJ17" s="20" cm="1">
        <f t="array" ref="AJ17">ROUND(
  IF(AND(AJ$1="Ensign", $AI17&gt;=2021, $AI17&lt;=2024),
    _xlfn.XLOOKUP($AI17, Ensign!$A$2:$A$12, Ensign!$B$2:$B$12),
    _xlfn.XLOOKUP($AI17, 'Historic (IPEDS &amp; 2019 RTP)'!$A:$A, _xlfn.XLOOKUP(AJ$1, 'Historic (IPEDS &amp; 2019 RTP)'!$A$1:$H$1, 'Historic (IPEDS &amp; 2019 RTP)'!$A:$H),
      IFERROR(_xlfn.XLOOKUP($AI17, 'USHE Historic'!$A$3:$A$13, _xlfn.XLOOKUP(AJ$1, 'USHE Historic'!$A$2:$E$2, 'USHE Historic'!$A$3:$E$13)),
        _xlfn.IFS(
          AJ$1="BYU", IFERROR(_xlfn.XLOOKUP($AI17, 'MAG College Enrollment Forecast'!$A:$A, 'MAG College Enrollment Forecast'!$B:$B), (AJ$72-AJ16)/($AI$72-$AI16)*($AI17-$AI16)+AJ16),
          AJ$1="UVU", IFERROR(_xlfn.XLOOKUP($AI17, 'MAG College Enrollment Forecast'!$A:$A, 'MAG College Enrollment Forecast'!$C:$C+'MAG College Enrollment Forecast'!$D:$D+'MAG College Enrollment Forecast'!$E:$E+'MAG College Enrollment Forecast'!$F:$F+'MAG College Enrollment Forecast'!$G:$G+'MAG College Enrollment Forecast'!$H:$H), (AJ$72-AJ16)/($AI$72-$AI16)*($AI17-$AI16)+AJ16),
          TRUE, IFERROR(_xlfn.XLOOKUP($AI17, 'USHE Projections'!$A:$A, IFERROR(_xlfn.XLOOKUP(AJ$1, 'USHE Projections'!$A$1:$E$1, 'USHE Projections'!$A:$E), "NONE"), (AJ$72-AJ16)/($AI$72-$AI16)*($AI17-$AI16)+AJ16), (AJ$72-AJ16)/($AI$72-$AI16)*($AI17-$AI16)+AJ16)
        )
      )
    )
  ), 0)</f>
        <v>30558</v>
      </c>
      <c r="AK17" s="20" cm="1">
        <f t="array" ref="AK17">ROUND(
  IF(AND(AK$1="Ensign", $AI17&gt;=2021, $AI17&lt;=2024),
    _xlfn.XLOOKUP($AI17, Ensign!$A$2:$A$12, Ensign!$B$2:$B$12),
    _xlfn.XLOOKUP($AI17, 'Historic (IPEDS &amp; 2019 RTP)'!$A:$A, _xlfn.XLOOKUP(AK$1, 'Historic (IPEDS &amp; 2019 RTP)'!$A$1:$H$1, 'Historic (IPEDS &amp; 2019 RTP)'!$A:$H),
      IFERROR(_xlfn.XLOOKUP($AI17, 'USHE Historic'!$A$3:$A$13, _xlfn.XLOOKUP(AK$1, 'USHE Historic'!$A$2:$E$2, 'USHE Historic'!$A$3:$E$13)),
        _xlfn.IFS(
          AK$1="BYU", IFERROR(_xlfn.XLOOKUP($AI17, 'MAG College Enrollment Forecast'!$A:$A, 'MAG College Enrollment Forecast'!$B:$B), (AK$72-AK16)/($AI$72-$AI16)*($AI17-$AI16)+AK16),
          AK$1="UVU", IFERROR(_xlfn.XLOOKUP($AI17, 'MAG College Enrollment Forecast'!$A:$A, 'MAG College Enrollment Forecast'!$C:$C+'MAG College Enrollment Forecast'!$D:$D+'MAG College Enrollment Forecast'!$E:$E+'MAG College Enrollment Forecast'!$F:$F+'MAG College Enrollment Forecast'!$G:$G+'MAG College Enrollment Forecast'!$H:$H), (AK$72-AK16)/($AI$72-$AI16)*($AI17-$AI16)+AK16),
          TRUE, IFERROR(_xlfn.XLOOKUP($AI17, 'USHE Projections'!$A:$A, IFERROR(_xlfn.XLOOKUP(AK$1, 'USHE Projections'!$A$1:$E$1, 'USHE Projections'!$A:$E), "NONE"), (AK$72-AK16)/($AI$72-$AI16)*($AI17-$AI16)+AK16), (AK$72-AK16)/($AI$72-$AI16)*($AI17-$AI16)+AK16)
        )
      )
    )
  ), 0)</f>
        <v>18142</v>
      </c>
      <c r="AL17" s="20" cm="1">
        <f t="array" ref="AL17">ROUND(
  IF(AND(AL$1="Ensign", $AI17&gt;=2021, $AI17&lt;=2024),
    _xlfn.XLOOKUP($AI17, Ensign!$A$2:$A$12, Ensign!$B$2:$B$12),
    _xlfn.XLOOKUP($AI17, 'Historic (IPEDS &amp; 2019 RTP)'!$A:$A, _xlfn.XLOOKUP(AL$1, 'Historic (IPEDS &amp; 2019 RTP)'!$A$1:$H$1, 'Historic (IPEDS &amp; 2019 RTP)'!$A:$H),
      IFERROR(_xlfn.XLOOKUP($AI17, 'USHE Historic'!$A$3:$A$13, _xlfn.XLOOKUP(AL$1, 'USHE Historic'!$A$2:$E$2, 'USHE Historic'!$A$3:$E$13)),
        _xlfn.IFS(
          AL$1="BYU", IFERROR(_xlfn.XLOOKUP($AI17, 'MAG College Enrollment Forecast'!$A:$A, 'MAG College Enrollment Forecast'!$B:$B), (AL$72-AL16)/($AI$72-$AI16)*($AI17-$AI16)+AL16),
          AL$1="UVU", IFERROR(_xlfn.XLOOKUP($AI17, 'MAG College Enrollment Forecast'!$A:$A, 'MAG College Enrollment Forecast'!$C:$C+'MAG College Enrollment Forecast'!$D:$D+'MAG College Enrollment Forecast'!$E:$E+'MAG College Enrollment Forecast'!$F:$F+'MAG College Enrollment Forecast'!$G:$G+'MAG College Enrollment Forecast'!$H:$H), (AL$72-AL16)/($AI$72-$AI16)*($AI17-$AI16)+AL16),
          TRUE, IFERROR(_xlfn.XLOOKUP($AI17, 'USHE Projections'!$A:$A, IFERROR(_xlfn.XLOOKUP(AL$1, 'USHE Projections'!$A$1:$E$1, 'USHE Projections'!$A:$E), "NONE"), (AL$72-AL16)/($AI$72-$AI16)*($AI17-$AI16)+AL16), (AL$72-AL16)/($AI$72-$AI16)*($AI17-$AI16)+AL16)
        )
      )
    )
  ), 0)</f>
        <v>24180</v>
      </c>
      <c r="AM17" s="20" cm="1">
        <f t="array" ref="AM17">ROUND(
  IF(AND(AM$1="Ensign", $AI17&gt;=2021, $AI17&lt;=2024),
    _xlfn.XLOOKUP($AI17, Ensign!$A$2:$A$12, Ensign!$B$2:$B$12),
    _xlfn.XLOOKUP($AI17, 'Historic (IPEDS &amp; 2019 RTP)'!$A:$A, _xlfn.XLOOKUP(AM$1, 'Historic (IPEDS &amp; 2019 RTP)'!$A$1:$H$1, 'Historic (IPEDS &amp; 2019 RTP)'!$A:$H),
      IFERROR(_xlfn.XLOOKUP($AI17, 'USHE Historic'!$A$3:$A$13, _xlfn.XLOOKUP(AM$1, 'USHE Historic'!$A$2:$E$2, 'USHE Historic'!$A$3:$E$13)),
        _xlfn.IFS(
          AM$1="BYU", IFERROR(_xlfn.XLOOKUP($AI17, 'MAG College Enrollment Forecast'!$A:$A, 'MAG College Enrollment Forecast'!$B:$B), (AM$72-AM16)/($AI$72-$AI16)*($AI17-$AI16)+AM16),
          AM$1="UVU", IFERROR(_xlfn.XLOOKUP($AI17, 'MAG College Enrollment Forecast'!$A:$A, 'MAG College Enrollment Forecast'!$C:$C+'MAG College Enrollment Forecast'!$D:$D+'MAG College Enrollment Forecast'!$E:$E+'MAG College Enrollment Forecast'!$F:$F+'MAG College Enrollment Forecast'!$G:$G+'MAG College Enrollment Forecast'!$H:$H), (AM$72-AM16)/($AI$72-$AI16)*($AI17-$AI16)+AM16),
          TRUE, IFERROR(_xlfn.XLOOKUP($AI17, 'USHE Projections'!$A:$A, IFERROR(_xlfn.XLOOKUP(AM$1, 'USHE Projections'!$A$1:$E$1, 'USHE Projections'!$A:$E), "NONE"), (AM$72-AM16)/($AI$72-$AI16)*($AI17-$AI16)+AM16), (AM$72-AM16)/($AI$72-$AI16)*($AI17-$AI16)+AM16)
        )
      )
    )
  ), 0)</f>
        <v>24111</v>
      </c>
      <c r="AN17" s="20" cm="1">
        <f t="array" ref="AN17">ROUND(
  IF(AND(AN$1="Ensign", $AI17&gt;=2021, $AI17&lt;=2024),
    _xlfn.XLOOKUP($AI17, Ensign!$A$2:$A$12, Ensign!$B$2:$B$12),
    _xlfn.XLOOKUP($AI17, 'Historic (IPEDS &amp; 2019 RTP)'!$A:$A, _xlfn.XLOOKUP(AN$1, 'Historic (IPEDS &amp; 2019 RTP)'!$A$1:$H$1, 'Historic (IPEDS &amp; 2019 RTP)'!$A:$H),
      IFERROR(_xlfn.XLOOKUP($AI17, 'USHE Historic'!$A$3:$A$13, _xlfn.XLOOKUP(AN$1, 'USHE Historic'!$A$2:$E$2, 'USHE Historic'!$A$3:$E$13)),
        _xlfn.IFS(
          AN$1="BYU", IFERROR(_xlfn.XLOOKUP($AI17, 'MAG College Enrollment Forecast'!$A:$A, 'MAG College Enrollment Forecast'!$B:$B), (AN$72-AN16)/($AI$72-$AI16)*($AI17-$AI16)+AN16),
          AN$1="UVU", IFERROR(_xlfn.XLOOKUP($AI17, 'MAG College Enrollment Forecast'!$A:$A, 'MAG College Enrollment Forecast'!$C:$C+'MAG College Enrollment Forecast'!$D:$D+'MAG College Enrollment Forecast'!$E:$E+'MAG College Enrollment Forecast'!$F:$F+'MAG College Enrollment Forecast'!$G:$G+'MAG College Enrollment Forecast'!$H:$H), (AN$72-AN16)/($AI$72-$AI16)*($AI17-$AI16)+AN16),
          TRUE, IFERROR(_xlfn.XLOOKUP($AI17, 'USHE Projections'!$A:$A, IFERROR(_xlfn.XLOOKUP(AN$1, 'USHE Projections'!$A$1:$E$1, 'USHE Projections'!$A:$E), "NONE"), (AN$72-AN16)/($AI$72-$AI16)*($AI17-$AI16)+AN16), (AN$72-AN16)/($AI$72-$AI16)*($AI17-$AI16)+AN16)
        )
      )
    )
  ), 0)</f>
        <v>34067</v>
      </c>
      <c r="AO17" s="20" cm="1">
        <f t="array" ref="AO17">ROUND(
  IF(AND(AO$1="Ensign", $AI17&gt;=2021, $AI17&lt;=2024),
    _xlfn.XLOOKUP($AI17, Ensign!$A$2:$A$12, Ensign!$B$2:$B$12),
    _xlfn.XLOOKUP($AI17, 'Historic (IPEDS &amp; 2019 RTP)'!$A:$A, _xlfn.XLOOKUP(AO$1, 'Historic (IPEDS &amp; 2019 RTP)'!$A$1:$H$1, 'Historic (IPEDS &amp; 2019 RTP)'!$A:$H),
      IFERROR(_xlfn.XLOOKUP($AI17, 'USHE Historic'!$A$3:$A$13, _xlfn.XLOOKUP(AO$1, 'USHE Historic'!$A$2:$E$2, 'USHE Historic'!$A$3:$E$13)),
        _xlfn.IFS(
          AO$1="BYU", IFERROR(_xlfn.XLOOKUP($AI17, 'MAG College Enrollment Forecast'!$A:$A, 'MAG College Enrollment Forecast'!$B:$B), (AO$72-AO16)/($AI$72-$AI16)*($AI17-$AI16)+AO16),
          AO$1="UVU", IFERROR(_xlfn.XLOOKUP($AI17, 'MAG College Enrollment Forecast'!$A:$A, 'MAG College Enrollment Forecast'!$C:$C+'MAG College Enrollment Forecast'!$D:$D+'MAG College Enrollment Forecast'!$E:$E+'MAG College Enrollment Forecast'!$F:$F+'MAG College Enrollment Forecast'!$G:$G+'MAG College Enrollment Forecast'!$H:$H), (AO$72-AO16)/($AI$72-$AI16)*($AI17-$AI16)+AO16),
          TRUE, IFERROR(_xlfn.XLOOKUP($AI17, 'USHE Projections'!$A:$A, IFERROR(_xlfn.XLOOKUP(AO$1, 'USHE Projections'!$A$1:$E$1, 'USHE Projections'!$A:$E), "NONE"), (AO$72-AO16)/($AI$72-$AI16)*($AI17-$AI16)+AO16), (AO$72-AO16)/($AI$72-$AI16)*($AI17-$AI16)+AO16)
        )
      )
    )
  ), 0)</f>
        <v>1235</v>
      </c>
      <c r="AP17" s="20" cm="1">
        <f t="array" ref="AP17">ROUND(
  IF(AND(AP$1="Ensign", $AI17&gt;=2021, $AI17&lt;=2024),
    _xlfn.XLOOKUP($AI17, Ensign!$A$2:$A$12, Ensign!$B$2:$B$12),
    _xlfn.XLOOKUP($AI17, 'Historic (IPEDS &amp; 2019 RTP)'!$A:$A, _xlfn.XLOOKUP(AP$1, 'Historic (IPEDS &amp; 2019 RTP)'!$A$1:$H$1, 'Historic (IPEDS &amp; 2019 RTP)'!$A:$H),
      IFERROR(_xlfn.XLOOKUP($AI17, 'USHE Historic'!$A$3:$A$13, _xlfn.XLOOKUP(AP$1, 'USHE Historic'!$A$2:$E$2, 'USHE Historic'!$A$3:$E$13)),
        _xlfn.IFS(
          AP$1="BYU", IFERROR(_xlfn.XLOOKUP($AI17, 'MAG College Enrollment Forecast'!$A:$A, 'MAG College Enrollment Forecast'!$B:$B), (AP$72-AP16)/($AI$72-$AI16)*($AI17-$AI16)+AP16),
          AP$1="UVU", IFERROR(_xlfn.XLOOKUP($AI17, 'MAG College Enrollment Forecast'!$A:$A, 'MAG College Enrollment Forecast'!$C:$C+'MAG College Enrollment Forecast'!$D:$D+'MAG College Enrollment Forecast'!$E:$E+'MAG College Enrollment Forecast'!$F:$F+'MAG College Enrollment Forecast'!$G:$G+'MAG College Enrollment Forecast'!$H:$H), (AP$72-AP16)/($AI$72-$AI16)*($AI17-$AI16)+AP16),
          TRUE, IFERROR(_xlfn.XLOOKUP($AI17, 'USHE Projections'!$A:$A, IFERROR(_xlfn.XLOOKUP(AP$1, 'USHE Projections'!$A$1:$E$1, 'USHE Projections'!$A:$E), "NONE"), (AP$72-AP16)/($AI$72-$AI16)*($AI17-$AI16)+AP16), (AP$72-AP16)/($AI$72-$AI16)*($AI17-$AI16)+AP16)
        )
      )
    )
  ), 0)</f>
        <v>2455</v>
      </c>
      <c r="AQ17" s="7"/>
    </row>
    <row r="18" spans="1:43">
      <c r="AI18" s="3">
        <v>2006</v>
      </c>
      <c r="AJ18" s="20" cm="1">
        <f t="array" ref="AJ18">ROUND(
  IF(AND(AJ$1="Ensign", $AI18&gt;=2021, $AI18&lt;=2024),
    _xlfn.XLOOKUP($AI18, Ensign!$A$2:$A$12, Ensign!$B$2:$B$12),
    _xlfn.XLOOKUP($AI18, 'Historic (IPEDS &amp; 2019 RTP)'!$A:$A, _xlfn.XLOOKUP(AJ$1, 'Historic (IPEDS &amp; 2019 RTP)'!$A$1:$H$1, 'Historic (IPEDS &amp; 2019 RTP)'!$A:$H),
      IFERROR(_xlfn.XLOOKUP($AI18, 'USHE Historic'!$A$3:$A$13, _xlfn.XLOOKUP(AJ$1, 'USHE Historic'!$A$2:$E$2, 'USHE Historic'!$A$3:$E$13)),
        _xlfn.IFS(
          AJ$1="BYU", IFERROR(_xlfn.XLOOKUP($AI18, 'MAG College Enrollment Forecast'!$A:$A, 'MAG College Enrollment Forecast'!$B:$B), (AJ$72-AJ17)/($AI$72-$AI17)*($AI18-$AI17)+AJ17),
          AJ$1="UVU", IFERROR(_xlfn.XLOOKUP($AI18, 'MAG College Enrollment Forecast'!$A:$A, 'MAG College Enrollment Forecast'!$C:$C+'MAG College Enrollment Forecast'!$D:$D+'MAG College Enrollment Forecast'!$E:$E+'MAG College Enrollment Forecast'!$F:$F+'MAG College Enrollment Forecast'!$G:$G+'MAG College Enrollment Forecast'!$H:$H), (AJ$72-AJ17)/($AI$72-$AI17)*($AI18-$AI17)+AJ17),
          TRUE, IFERROR(_xlfn.XLOOKUP($AI18, 'USHE Projections'!$A:$A, IFERROR(_xlfn.XLOOKUP(AJ$1, 'USHE Projections'!$A$1:$E$1, 'USHE Projections'!$A:$E), "NONE"), (AJ$72-AJ17)/($AI$72-$AI17)*($AI18-$AI17)+AJ17), (AJ$72-AJ17)/($AI$72-$AI17)*($AI18-$AI17)+AJ17)
        )
      )
    )
  ), 0)</f>
        <v>30511</v>
      </c>
      <c r="AK18" s="20" cm="1">
        <f t="array" ref="AK18">ROUND(
  IF(AND(AK$1="Ensign", $AI18&gt;=2021, $AI18&lt;=2024),
    _xlfn.XLOOKUP($AI18, Ensign!$A$2:$A$12, Ensign!$B$2:$B$12),
    _xlfn.XLOOKUP($AI18, 'Historic (IPEDS &amp; 2019 RTP)'!$A:$A, _xlfn.XLOOKUP(AK$1, 'Historic (IPEDS &amp; 2019 RTP)'!$A$1:$H$1, 'Historic (IPEDS &amp; 2019 RTP)'!$A:$H),
      IFERROR(_xlfn.XLOOKUP($AI18, 'USHE Historic'!$A$3:$A$13, _xlfn.XLOOKUP(AK$1, 'USHE Historic'!$A$2:$E$2, 'USHE Historic'!$A$3:$E$13)),
        _xlfn.IFS(
          AK$1="BYU", IFERROR(_xlfn.XLOOKUP($AI18, 'MAG College Enrollment Forecast'!$A:$A, 'MAG College Enrollment Forecast'!$B:$B), (AK$72-AK17)/($AI$72-$AI17)*($AI18-$AI17)+AK17),
          AK$1="UVU", IFERROR(_xlfn.XLOOKUP($AI18, 'MAG College Enrollment Forecast'!$A:$A, 'MAG College Enrollment Forecast'!$C:$C+'MAG College Enrollment Forecast'!$D:$D+'MAG College Enrollment Forecast'!$E:$E+'MAG College Enrollment Forecast'!$F:$F+'MAG College Enrollment Forecast'!$G:$G+'MAG College Enrollment Forecast'!$H:$H), (AK$72-AK17)/($AI$72-$AI17)*($AI18-$AI17)+AK17),
          TRUE, IFERROR(_xlfn.XLOOKUP($AI18, 'USHE Projections'!$A:$A, IFERROR(_xlfn.XLOOKUP(AK$1, 'USHE Projections'!$A$1:$E$1, 'USHE Projections'!$A:$E), "NONE"), (AK$72-AK17)/($AI$72-$AI17)*($AI18-$AI17)+AK17), (AK$72-AK17)/($AI$72-$AI17)*($AI18-$AI17)+AK17)
        )
      )
    )
  ), 0)</f>
        <v>18303</v>
      </c>
      <c r="AL18" s="20" cm="1">
        <f t="array" ref="AL18">ROUND(
  IF(AND(AL$1="Ensign", $AI18&gt;=2021, $AI18&lt;=2024),
    _xlfn.XLOOKUP($AI18, Ensign!$A$2:$A$12, Ensign!$B$2:$B$12),
    _xlfn.XLOOKUP($AI18, 'Historic (IPEDS &amp; 2019 RTP)'!$A:$A, _xlfn.XLOOKUP(AL$1, 'Historic (IPEDS &amp; 2019 RTP)'!$A$1:$H$1, 'Historic (IPEDS &amp; 2019 RTP)'!$A:$H),
      IFERROR(_xlfn.XLOOKUP($AI18, 'USHE Historic'!$A$3:$A$13, _xlfn.XLOOKUP(AL$1, 'USHE Historic'!$A$2:$E$2, 'USHE Historic'!$A$3:$E$13)),
        _xlfn.IFS(
          AL$1="BYU", IFERROR(_xlfn.XLOOKUP($AI18, 'MAG College Enrollment Forecast'!$A:$A, 'MAG College Enrollment Forecast'!$B:$B), (AL$72-AL17)/($AI$72-$AI17)*($AI18-$AI17)+AL17),
          AL$1="UVU", IFERROR(_xlfn.XLOOKUP($AI18, 'MAG College Enrollment Forecast'!$A:$A, 'MAG College Enrollment Forecast'!$C:$C+'MAG College Enrollment Forecast'!$D:$D+'MAG College Enrollment Forecast'!$E:$E+'MAG College Enrollment Forecast'!$F:$F+'MAG College Enrollment Forecast'!$G:$G+'MAG College Enrollment Forecast'!$H:$H), (AL$72-AL17)/($AI$72-$AI17)*($AI18-$AI17)+AL17),
          TRUE, IFERROR(_xlfn.XLOOKUP($AI18, 'USHE Projections'!$A:$A, IFERROR(_xlfn.XLOOKUP(AL$1, 'USHE Projections'!$A$1:$E$1, 'USHE Projections'!$A:$E), "NONE"), (AL$72-AL17)/($AI$72-$AI17)*($AI18-$AI17)+AL17), (AL$72-AL17)/($AI$72-$AI17)*($AI18-$AI17)+AL17)
        )
      )
    )
  ), 0)</f>
        <v>23305</v>
      </c>
      <c r="AM18" s="20" cm="1">
        <f t="array" ref="AM18">ROUND(
  IF(AND(AM$1="Ensign", $AI18&gt;=2021, $AI18&lt;=2024),
    _xlfn.XLOOKUP($AI18, Ensign!$A$2:$A$12, Ensign!$B$2:$B$12),
    _xlfn.XLOOKUP($AI18, 'Historic (IPEDS &amp; 2019 RTP)'!$A:$A, _xlfn.XLOOKUP(AM$1, 'Historic (IPEDS &amp; 2019 RTP)'!$A$1:$H$1, 'Historic (IPEDS &amp; 2019 RTP)'!$A:$H),
      IFERROR(_xlfn.XLOOKUP($AI18, 'USHE Historic'!$A$3:$A$13, _xlfn.XLOOKUP(AM$1, 'USHE Historic'!$A$2:$E$2, 'USHE Historic'!$A$3:$E$13)),
        _xlfn.IFS(
          AM$1="BYU", IFERROR(_xlfn.XLOOKUP($AI18, 'MAG College Enrollment Forecast'!$A:$A, 'MAG College Enrollment Forecast'!$B:$B), (AM$72-AM17)/($AI$72-$AI17)*($AI18-$AI17)+AM17),
          AM$1="UVU", IFERROR(_xlfn.XLOOKUP($AI18, 'MAG College Enrollment Forecast'!$A:$A, 'MAG College Enrollment Forecast'!$C:$C+'MAG College Enrollment Forecast'!$D:$D+'MAG College Enrollment Forecast'!$E:$E+'MAG College Enrollment Forecast'!$F:$F+'MAG College Enrollment Forecast'!$G:$G+'MAG College Enrollment Forecast'!$H:$H), (AM$72-AM17)/($AI$72-$AI17)*($AI18-$AI17)+AM17),
          TRUE, IFERROR(_xlfn.XLOOKUP($AI18, 'USHE Projections'!$A:$A, IFERROR(_xlfn.XLOOKUP(AM$1, 'USHE Projections'!$A$1:$E$1, 'USHE Projections'!$A:$E), "NONE"), (AM$72-AM17)/($AI$72-$AI17)*($AI18-$AI17)+AM17), (AM$72-AM17)/($AI$72-$AI17)*($AI18-$AI17)+AM17)
        )
      )
    )
  ), 0)</f>
        <v>24241</v>
      </c>
      <c r="AN18" s="20" cm="1">
        <f t="array" ref="AN18">ROUND(
  IF(AND(AN$1="Ensign", $AI18&gt;=2021, $AI18&lt;=2024),
    _xlfn.XLOOKUP($AI18, Ensign!$A$2:$A$12, Ensign!$B$2:$B$12),
    _xlfn.XLOOKUP($AI18, 'Historic (IPEDS &amp; 2019 RTP)'!$A:$A, _xlfn.XLOOKUP(AN$1, 'Historic (IPEDS &amp; 2019 RTP)'!$A$1:$H$1, 'Historic (IPEDS &amp; 2019 RTP)'!$A:$H),
      IFERROR(_xlfn.XLOOKUP($AI18, 'USHE Historic'!$A$3:$A$13, _xlfn.XLOOKUP(AN$1, 'USHE Historic'!$A$2:$E$2, 'USHE Historic'!$A$3:$E$13)),
        _xlfn.IFS(
          AN$1="BYU", IFERROR(_xlfn.XLOOKUP($AI18, 'MAG College Enrollment Forecast'!$A:$A, 'MAG College Enrollment Forecast'!$B:$B), (AN$72-AN17)/($AI$72-$AI17)*($AI18-$AI17)+AN17),
          AN$1="UVU", IFERROR(_xlfn.XLOOKUP($AI18, 'MAG College Enrollment Forecast'!$A:$A, 'MAG College Enrollment Forecast'!$C:$C+'MAG College Enrollment Forecast'!$D:$D+'MAG College Enrollment Forecast'!$E:$E+'MAG College Enrollment Forecast'!$F:$F+'MAG College Enrollment Forecast'!$G:$G+'MAG College Enrollment Forecast'!$H:$H), (AN$72-AN17)/($AI$72-$AI17)*($AI18-$AI17)+AN17),
          TRUE, IFERROR(_xlfn.XLOOKUP($AI18, 'USHE Projections'!$A:$A, IFERROR(_xlfn.XLOOKUP(AN$1, 'USHE Projections'!$A$1:$E$1, 'USHE Projections'!$A:$E), "NONE"), (AN$72-AN17)/($AI$72-$AI17)*($AI18-$AI17)+AN17), (AN$72-AN17)/($AI$72-$AI17)*($AI18-$AI17)+AN17)
        )
      )
    )
  ), 0)</f>
        <v>34185</v>
      </c>
      <c r="AO18" s="20" cm="1">
        <f t="array" ref="AO18">ROUND(
  IF(AND(AO$1="Ensign", $AI18&gt;=2021, $AI18&lt;=2024),
    _xlfn.XLOOKUP($AI18, Ensign!$A$2:$A$12, Ensign!$B$2:$B$12),
    _xlfn.XLOOKUP($AI18, 'Historic (IPEDS &amp; 2019 RTP)'!$A:$A, _xlfn.XLOOKUP(AO$1, 'Historic (IPEDS &amp; 2019 RTP)'!$A$1:$H$1, 'Historic (IPEDS &amp; 2019 RTP)'!$A:$H),
      IFERROR(_xlfn.XLOOKUP($AI18, 'USHE Historic'!$A$3:$A$13, _xlfn.XLOOKUP(AO$1, 'USHE Historic'!$A$2:$E$2, 'USHE Historic'!$A$3:$E$13)),
        _xlfn.IFS(
          AO$1="BYU", IFERROR(_xlfn.XLOOKUP($AI18, 'MAG College Enrollment Forecast'!$A:$A, 'MAG College Enrollment Forecast'!$B:$B), (AO$72-AO17)/($AI$72-$AI17)*($AI18-$AI17)+AO17),
          AO$1="UVU", IFERROR(_xlfn.XLOOKUP($AI18, 'MAG College Enrollment Forecast'!$A:$A, 'MAG College Enrollment Forecast'!$C:$C+'MAG College Enrollment Forecast'!$D:$D+'MAG College Enrollment Forecast'!$E:$E+'MAG College Enrollment Forecast'!$F:$F+'MAG College Enrollment Forecast'!$G:$G+'MAG College Enrollment Forecast'!$H:$H), (AO$72-AO17)/($AI$72-$AI17)*($AI18-$AI17)+AO17),
          TRUE, IFERROR(_xlfn.XLOOKUP($AI18, 'USHE Projections'!$A:$A, IFERROR(_xlfn.XLOOKUP(AO$1, 'USHE Projections'!$A$1:$E$1, 'USHE Projections'!$A:$E), "NONE"), (AO$72-AO17)/($AI$72-$AI17)*($AI18-$AI17)+AO17), (AO$72-AO17)/($AI$72-$AI17)*($AI18-$AI17)+AO17)
        )
      )
    )
  ), 0)</f>
        <v>1317</v>
      </c>
      <c r="AP18" s="20" cm="1">
        <f t="array" ref="AP18">ROUND(
  IF(AND(AP$1="Ensign", $AI18&gt;=2021, $AI18&lt;=2024),
    _xlfn.XLOOKUP($AI18, Ensign!$A$2:$A$12, Ensign!$B$2:$B$12),
    _xlfn.XLOOKUP($AI18, 'Historic (IPEDS &amp; 2019 RTP)'!$A:$A, _xlfn.XLOOKUP(AP$1, 'Historic (IPEDS &amp; 2019 RTP)'!$A$1:$H$1, 'Historic (IPEDS &amp; 2019 RTP)'!$A:$H),
      IFERROR(_xlfn.XLOOKUP($AI18, 'USHE Historic'!$A$3:$A$13, _xlfn.XLOOKUP(AP$1, 'USHE Historic'!$A$2:$E$2, 'USHE Historic'!$A$3:$E$13)),
        _xlfn.IFS(
          AP$1="BYU", IFERROR(_xlfn.XLOOKUP($AI18, 'MAG College Enrollment Forecast'!$A:$A, 'MAG College Enrollment Forecast'!$B:$B), (AP$72-AP17)/($AI$72-$AI17)*($AI18-$AI17)+AP17),
          AP$1="UVU", IFERROR(_xlfn.XLOOKUP($AI18, 'MAG College Enrollment Forecast'!$A:$A, 'MAG College Enrollment Forecast'!$C:$C+'MAG College Enrollment Forecast'!$D:$D+'MAG College Enrollment Forecast'!$E:$E+'MAG College Enrollment Forecast'!$F:$F+'MAG College Enrollment Forecast'!$G:$G+'MAG College Enrollment Forecast'!$H:$H), (AP$72-AP17)/($AI$72-$AI17)*($AI18-$AI17)+AP17),
          TRUE, IFERROR(_xlfn.XLOOKUP($AI18, 'USHE Projections'!$A:$A, IFERROR(_xlfn.XLOOKUP(AP$1, 'USHE Projections'!$A$1:$E$1, 'USHE Projections'!$A:$E), "NONE"), (AP$72-AP17)/($AI$72-$AI17)*($AI18-$AI17)+AP17), (AP$72-AP17)/($AI$72-$AI17)*($AI18-$AI17)+AP17)
        )
      )
    )
  ), 0)</f>
        <v>2479</v>
      </c>
      <c r="AQ18" s="7"/>
    </row>
    <row r="19" spans="1:43">
      <c r="AI19" s="3">
        <v>2007</v>
      </c>
      <c r="AJ19" s="20" cm="1">
        <f t="array" ref="AJ19">ROUND(
  IF(AND(AJ$1="Ensign", $AI19&gt;=2021, $AI19&lt;=2024),
    _xlfn.XLOOKUP($AI19, Ensign!$A$2:$A$12, Ensign!$B$2:$B$12),
    _xlfn.XLOOKUP($AI19, 'Historic (IPEDS &amp; 2019 RTP)'!$A:$A, _xlfn.XLOOKUP(AJ$1, 'Historic (IPEDS &amp; 2019 RTP)'!$A$1:$H$1, 'Historic (IPEDS &amp; 2019 RTP)'!$A:$H),
      IFERROR(_xlfn.XLOOKUP($AI19, 'USHE Historic'!$A$3:$A$13, _xlfn.XLOOKUP(AJ$1, 'USHE Historic'!$A$2:$E$2, 'USHE Historic'!$A$3:$E$13)),
        _xlfn.IFS(
          AJ$1="BYU", IFERROR(_xlfn.XLOOKUP($AI19, 'MAG College Enrollment Forecast'!$A:$A, 'MAG College Enrollment Forecast'!$B:$B), (AJ$72-AJ18)/($AI$72-$AI18)*($AI19-$AI18)+AJ18),
          AJ$1="UVU", IFERROR(_xlfn.XLOOKUP($AI19, 'MAG College Enrollment Forecast'!$A:$A, 'MAG College Enrollment Forecast'!$C:$C+'MAG College Enrollment Forecast'!$D:$D+'MAG College Enrollment Forecast'!$E:$E+'MAG College Enrollment Forecast'!$F:$F+'MAG College Enrollment Forecast'!$G:$G+'MAG College Enrollment Forecast'!$H:$H), (AJ$72-AJ18)/($AI$72-$AI18)*($AI19-$AI18)+AJ18),
          TRUE, IFERROR(_xlfn.XLOOKUP($AI19, 'USHE Projections'!$A:$A, IFERROR(_xlfn.XLOOKUP(AJ$1, 'USHE Projections'!$A$1:$E$1, 'USHE Projections'!$A:$E), "NONE"), (AJ$72-AJ18)/($AI$72-$AI18)*($AI19-$AI18)+AJ18), (AJ$72-AJ18)/($AI$72-$AI18)*($AI19-$AI18)+AJ18)
        )
      )
    )
  ), 0)</f>
        <v>28025</v>
      </c>
      <c r="AK19" s="20" cm="1">
        <f t="array" ref="AK19">ROUND(
  IF(AND(AK$1="Ensign", $AI19&gt;=2021, $AI19&lt;=2024),
    _xlfn.XLOOKUP($AI19, Ensign!$A$2:$A$12, Ensign!$B$2:$B$12),
    _xlfn.XLOOKUP($AI19, 'Historic (IPEDS &amp; 2019 RTP)'!$A:$A, _xlfn.XLOOKUP(AK$1, 'Historic (IPEDS &amp; 2019 RTP)'!$A$1:$H$1, 'Historic (IPEDS &amp; 2019 RTP)'!$A:$H),
      IFERROR(_xlfn.XLOOKUP($AI19, 'USHE Historic'!$A$3:$A$13, _xlfn.XLOOKUP(AK$1, 'USHE Historic'!$A$2:$E$2, 'USHE Historic'!$A$3:$E$13)),
        _xlfn.IFS(
          AK$1="BYU", IFERROR(_xlfn.XLOOKUP($AI19, 'MAG College Enrollment Forecast'!$A:$A, 'MAG College Enrollment Forecast'!$B:$B), (AK$72-AK18)/($AI$72-$AI18)*($AI19-$AI18)+AK18),
          AK$1="UVU", IFERROR(_xlfn.XLOOKUP($AI19, 'MAG College Enrollment Forecast'!$A:$A, 'MAG College Enrollment Forecast'!$C:$C+'MAG College Enrollment Forecast'!$D:$D+'MAG College Enrollment Forecast'!$E:$E+'MAG College Enrollment Forecast'!$F:$F+'MAG College Enrollment Forecast'!$G:$G+'MAG College Enrollment Forecast'!$H:$H), (AK$72-AK18)/($AI$72-$AI18)*($AI19-$AI18)+AK18),
          TRUE, IFERROR(_xlfn.XLOOKUP($AI19, 'USHE Projections'!$A:$A, IFERROR(_xlfn.XLOOKUP(AK$1, 'USHE Projections'!$A$1:$E$1, 'USHE Projections'!$A:$E), "NONE"), (AK$72-AK18)/($AI$72-$AI18)*($AI19-$AI18)+AK18), (AK$72-AK18)/($AI$72-$AI18)*($AI19-$AI18)+AK18)
        )
      )
    )
  ), 0)</f>
        <v>18081</v>
      </c>
      <c r="AL19" s="20" cm="1">
        <f t="array" ref="AL19">ROUND(
  IF(AND(AL$1="Ensign", $AI19&gt;=2021, $AI19&lt;=2024),
    _xlfn.XLOOKUP($AI19, Ensign!$A$2:$A$12, Ensign!$B$2:$B$12),
    _xlfn.XLOOKUP($AI19, 'Historic (IPEDS &amp; 2019 RTP)'!$A:$A, _xlfn.XLOOKUP(AL$1, 'Historic (IPEDS &amp; 2019 RTP)'!$A$1:$H$1, 'Historic (IPEDS &amp; 2019 RTP)'!$A:$H),
      IFERROR(_xlfn.XLOOKUP($AI19, 'USHE Historic'!$A$3:$A$13, _xlfn.XLOOKUP(AL$1, 'USHE Historic'!$A$2:$E$2, 'USHE Historic'!$A$3:$E$13)),
        _xlfn.IFS(
          AL$1="BYU", IFERROR(_xlfn.XLOOKUP($AI19, 'MAG College Enrollment Forecast'!$A:$A, 'MAG College Enrollment Forecast'!$B:$B), (AL$72-AL18)/($AI$72-$AI18)*($AI19-$AI18)+AL18),
          AL$1="UVU", IFERROR(_xlfn.XLOOKUP($AI19, 'MAG College Enrollment Forecast'!$A:$A, 'MAG College Enrollment Forecast'!$C:$C+'MAG College Enrollment Forecast'!$D:$D+'MAG College Enrollment Forecast'!$E:$E+'MAG College Enrollment Forecast'!$F:$F+'MAG College Enrollment Forecast'!$G:$G+'MAG College Enrollment Forecast'!$H:$H), (AL$72-AL18)/($AI$72-$AI18)*($AI19-$AI18)+AL18),
          TRUE, IFERROR(_xlfn.XLOOKUP($AI19, 'USHE Projections'!$A:$A, IFERROR(_xlfn.XLOOKUP(AL$1, 'USHE Projections'!$A$1:$E$1, 'USHE Projections'!$A:$E), "NONE"), (AL$72-AL18)/($AI$72-$AI18)*($AI19-$AI18)+AL18), (AL$72-AL18)/($AI$72-$AI18)*($AI19-$AI18)+AL18)
        )
      )
    )
  ), 0)</f>
        <v>23840</v>
      </c>
      <c r="AM19" s="20" cm="1">
        <f t="array" ref="AM19">ROUND(
  IF(AND(AM$1="Ensign", $AI19&gt;=2021, $AI19&lt;=2024),
    _xlfn.XLOOKUP($AI19, Ensign!$A$2:$A$12, Ensign!$B$2:$B$12),
    _xlfn.XLOOKUP($AI19, 'Historic (IPEDS &amp; 2019 RTP)'!$A:$A, _xlfn.XLOOKUP(AM$1, 'Historic (IPEDS &amp; 2019 RTP)'!$A$1:$H$1, 'Historic (IPEDS &amp; 2019 RTP)'!$A:$H),
      IFERROR(_xlfn.XLOOKUP($AI19, 'USHE Historic'!$A$3:$A$13, _xlfn.XLOOKUP(AM$1, 'USHE Historic'!$A$2:$E$2, 'USHE Historic'!$A$3:$E$13)),
        _xlfn.IFS(
          AM$1="BYU", IFERROR(_xlfn.XLOOKUP($AI19, 'MAG College Enrollment Forecast'!$A:$A, 'MAG College Enrollment Forecast'!$B:$B), (AM$72-AM18)/($AI$72-$AI18)*($AI19-$AI18)+AM18),
          AM$1="UVU", IFERROR(_xlfn.XLOOKUP($AI19, 'MAG College Enrollment Forecast'!$A:$A, 'MAG College Enrollment Forecast'!$C:$C+'MAG College Enrollment Forecast'!$D:$D+'MAG College Enrollment Forecast'!$E:$E+'MAG College Enrollment Forecast'!$F:$F+'MAG College Enrollment Forecast'!$G:$G+'MAG College Enrollment Forecast'!$H:$H), (AM$72-AM18)/($AI$72-$AI18)*($AI19-$AI18)+AM18),
          TRUE, IFERROR(_xlfn.XLOOKUP($AI19, 'USHE Projections'!$A:$A, IFERROR(_xlfn.XLOOKUP(AM$1, 'USHE Projections'!$A$1:$E$1, 'USHE Projections'!$A:$E), "NONE"), (AM$72-AM18)/($AI$72-$AI18)*($AI19-$AI18)+AM18), (AM$72-AM18)/($AI$72-$AI18)*($AI19-$AI18)+AM18)
        )
      )
    )
  ), 0)</f>
        <v>25235</v>
      </c>
      <c r="AN19" s="20" cm="1">
        <f t="array" ref="AN19">ROUND(
  IF(AND(AN$1="Ensign", $AI19&gt;=2021, $AI19&lt;=2024),
    _xlfn.XLOOKUP($AI19, Ensign!$A$2:$A$12, Ensign!$B$2:$B$12),
    _xlfn.XLOOKUP($AI19, 'Historic (IPEDS &amp; 2019 RTP)'!$A:$A, _xlfn.XLOOKUP(AN$1, 'Historic (IPEDS &amp; 2019 RTP)'!$A$1:$H$1, 'Historic (IPEDS &amp; 2019 RTP)'!$A:$H),
      IFERROR(_xlfn.XLOOKUP($AI19, 'USHE Historic'!$A$3:$A$13, _xlfn.XLOOKUP(AN$1, 'USHE Historic'!$A$2:$E$2, 'USHE Historic'!$A$3:$E$13)),
        _xlfn.IFS(
          AN$1="BYU", IFERROR(_xlfn.XLOOKUP($AI19, 'MAG College Enrollment Forecast'!$A:$A, 'MAG College Enrollment Forecast'!$B:$B), (AN$72-AN18)/($AI$72-$AI18)*($AI19-$AI18)+AN18),
          AN$1="UVU", IFERROR(_xlfn.XLOOKUP($AI19, 'MAG College Enrollment Forecast'!$A:$A, 'MAG College Enrollment Forecast'!$C:$C+'MAG College Enrollment Forecast'!$D:$D+'MAG College Enrollment Forecast'!$E:$E+'MAG College Enrollment Forecast'!$F:$F+'MAG College Enrollment Forecast'!$G:$G+'MAG College Enrollment Forecast'!$H:$H), (AN$72-AN18)/($AI$72-$AI18)*($AI19-$AI18)+AN18),
          TRUE, IFERROR(_xlfn.XLOOKUP($AI19, 'USHE Projections'!$A:$A, IFERROR(_xlfn.XLOOKUP(AN$1, 'USHE Projections'!$A$1:$E$1, 'USHE Projections'!$A:$E), "NONE"), (AN$72-AN18)/($AI$72-$AI18)*($AI19-$AI18)+AN18), (AN$72-AN18)/($AI$72-$AI18)*($AI19-$AI18)+AN18)
        )
      )
    )
  ), 0)</f>
        <v>34174</v>
      </c>
      <c r="AO19" s="20" cm="1">
        <f t="array" ref="AO19">ROUND(
  IF(AND(AO$1="Ensign", $AI19&gt;=2021, $AI19&lt;=2024),
    _xlfn.XLOOKUP($AI19, Ensign!$A$2:$A$12, Ensign!$B$2:$B$12),
    _xlfn.XLOOKUP($AI19, 'Historic (IPEDS &amp; 2019 RTP)'!$A:$A, _xlfn.XLOOKUP(AO$1, 'Historic (IPEDS &amp; 2019 RTP)'!$A$1:$H$1, 'Historic (IPEDS &amp; 2019 RTP)'!$A:$H),
      IFERROR(_xlfn.XLOOKUP($AI19, 'USHE Historic'!$A$3:$A$13, _xlfn.XLOOKUP(AO$1, 'USHE Historic'!$A$2:$E$2, 'USHE Historic'!$A$3:$E$13)),
        _xlfn.IFS(
          AO$1="BYU", IFERROR(_xlfn.XLOOKUP($AI19, 'MAG College Enrollment Forecast'!$A:$A, 'MAG College Enrollment Forecast'!$B:$B), (AO$72-AO18)/($AI$72-$AI18)*($AI19-$AI18)+AO18),
          AO$1="UVU", IFERROR(_xlfn.XLOOKUP($AI19, 'MAG College Enrollment Forecast'!$A:$A, 'MAG College Enrollment Forecast'!$C:$C+'MAG College Enrollment Forecast'!$D:$D+'MAG College Enrollment Forecast'!$E:$E+'MAG College Enrollment Forecast'!$F:$F+'MAG College Enrollment Forecast'!$G:$G+'MAG College Enrollment Forecast'!$H:$H), (AO$72-AO18)/($AI$72-$AI18)*($AI19-$AI18)+AO18),
          TRUE, IFERROR(_xlfn.XLOOKUP($AI19, 'USHE Projections'!$A:$A, IFERROR(_xlfn.XLOOKUP(AO$1, 'USHE Projections'!$A$1:$E$1, 'USHE Projections'!$A:$E), "NONE"), (AO$72-AO18)/($AI$72-$AI18)*($AI19-$AI18)+AO18), (AO$72-AO18)/($AI$72-$AI18)*($AI19-$AI18)+AO18)
        )
      )
    )
  ), 0)</f>
        <v>1316</v>
      </c>
      <c r="AP19" s="20" cm="1">
        <f t="array" ref="AP19">ROUND(
  IF(AND(AP$1="Ensign", $AI19&gt;=2021, $AI19&lt;=2024),
    _xlfn.XLOOKUP($AI19, Ensign!$A$2:$A$12, Ensign!$B$2:$B$12),
    _xlfn.XLOOKUP($AI19, 'Historic (IPEDS &amp; 2019 RTP)'!$A:$A, _xlfn.XLOOKUP(AP$1, 'Historic (IPEDS &amp; 2019 RTP)'!$A$1:$H$1, 'Historic (IPEDS &amp; 2019 RTP)'!$A:$H),
      IFERROR(_xlfn.XLOOKUP($AI19, 'USHE Historic'!$A$3:$A$13, _xlfn.XLOOKUP(AP$1, 'USHE Historic'!$A$2:$E$2, 'USHE Historic'!$A$3:$E$13)),
        _xlfn.IFS(
          AP$1="BYU", IFERROR(_xlfn.XLOOKUP($AI19, 'MAG College Enrollment Forecast'!$A:$A, 'MAG College Enrollment Forecast'!$B:$B), (AP$72-AP18)/($AI$72-$AI18)*($AI19-$AI18)+AP18),
          AP$1="UVU", IFERROR(_xlfn.XLOOKUP($AI19, 'MAG College Enrollment Forecast'!$A:$A, 'MAG College Enrollment Forecast'!$C:$C+'MAG College Enrollment Forecast'!$D:$D+'MAG College Enrollment Forecast'!$E:$E+'MAG College Enrollment Forecast'!$F:$F+'MAG College Enrollment Forecast'!$G:$G+'MAG College Enrollment Forecast'!$H:$H), (AP$72-AP18)/($AI$72-$AI18)*($AI19-$AI18)+AP18),
          TRUE, IFERROR(_xlfn.XLOOKUP($AI19, 'USHE Projections'!$A:$A, IFERROR(_xlfn.XLOOKUP(AP$1, 'USHE Projections'!$A$1:$E$1, 'USHE Projections'!$A:$E), "NONE"), (AP$72-AP18)/($AI$72-$AI18)*($AI19-$AI18)+AP18), (AP$72-AP18)/($AI$72-$AI18)*($AI19-$AI18)+AP18)
        )
      )
    )
  ), 0)</f>
        <v>2661</v>
      </c>
      <c r="AQ19" s="7"/>
    </row>
    <row r="20" spans="1:43">
      <c r="AI20" s="3">
        <v>2008</v>
      </c>
      <c r="AJ20" s="20" cm="1">
        <f t="array" ref="AJ20">ROUND(
  IF(AND(AJ$1="Ensign", $AI20&gt;=2021, $AI20&lt;=2024),
    _xlfn.XLOOKUP($AI20, Ensign!$A$2:$A$12, Ensign!$B$2:$B$12),
    _xlfn.XLOOKUP($AI20, 'Historic (IPEDS &amp; 2019 RTP)'!$A:$A, _xlfn.XLOOKUP(AJ$1, 'Historic (IPEDS &amp; 2019 RTP)'!$A$1:$H$1, 'Historic (IPEDS &amp; 2019 RTP)'!$A:$H),
      IFERROR(_xlfn.XLOOKUP($AI20, 'USHE Historic'!$A$3:$A$13, _xlfn.XLOOKUP(AJ$1, 'USHE Historic'!$A$2:$E$2, 'USHE Historic'!$A$3:$E$13)),
        _xlfn.IFS(
          AJ$1="BYU", IFERROR(_xlfn.XLOOKUP($AI20, 'MAG College Enrollment Forecast'!$A:$A, 'MAG College Enrollment Forecast'!$B:$B), (AJ$72-AJ19)/($AI$72-$AI19)*($AI20-$AI19)+AJ19),
          AJ$1="UVU", IFERROR(_xlfn.XLOOKUP($AI20, 'MAG College Enrollment Forecast'!$A:$A, 'MAG College Enrollment Forecast'!$C:$C+'MAG College Enrollment Forecast'!$D:$D+'MAG College Enrollment Forecast'!$E:$E+'MAG College Enrollment Forecast'!$F:$F+'MAG College Enrollment Forecast'!$G:$G+'MAG College Enrollment Forecast'!$H:$H), (AJ$72-AJ19)/($AI$72-$AI19)*($AI20-$AI19)+AJ19),
          TRUE, IFERROR(_xlfn.XLOOKUP($AI20, 'USHE Projections'!$A:$A, IFERROR(_xlfn.XLOOKUP(AJ$1, 'USHE Projections'!$A$1:$E$1, 'USHE Projections'!$A:$E), "NONE"), (AJ$72-AJ19)/($AI$72-$AI19)*($AI20-$AI19)+AJ19), (AJ$72-AJ19)/($AI$72-$AI19)*($AI20-$AI19)+AJ19)
        )
      )
    )
  ), 0)</f>
        <v>28211</v>
      </c>
      <c r="AK20" s="20" cm="1">
        <f t="array" ref="AK20">ROUND(
  IF(AND(AK$1="Ensign", $AI20&gt;=2021, $AI20&lt;=2024),
    _xlfn.XLOOKUP($AI20, Ensign!$A$2:$A$12, Ensign!$B$2:$B$12),
    _xlfn.XLOOKUP($AI20, 'Historic (IPEDS &amp; 2019 RTP)'!$A:$A, _xlfn.XLOOKUP(AK$1, 'Historic (IPEDS &amp; 2019 RTP)'!$A$1:$H$1, 'Historic (IPEDS &amp; 2019 RTP)'!$A:$H),
      IFERROR(_xlfn.XLOOKUP($AI20, 'USHE Historic'!$A$3:$A$13, _xlfn.XLOOKUP(AK$1, 'USHE Historic'!$A$2:$E$2, 'USHE Historic'!$A$3:$E$13)),
        _xlfn.IFS(
          AK$1="BYU", IFERROR(_xlfn.XLOOKUP($AI20, 'MAG College Enrollment Forecast'!$A:$A, 'MAG College Enrollment Forecast'!$B:$B), (AK$72-AK19)/($AI$72-$AI19)*($AI20-$AI19)+AK19),
          AK$1="UVU", IFERROR(_xlfn.XLOOKUP($AI20, 'MAG College Enrollment Forecast'!$A:$A, 'MAG College Enrollment Forecast'!$C:$C+'MAG College Enrollment Forecast'!$D:$D+'MAG College Enrollment Forecast'!$E:$E+'MAG College Enrollment Forecast'!$F:$F+'MAG College Enrollment Forecast'!$G:$G+'MAG College Enrollment Forecast'!$H:$H), (AK$72-AK19)/($AI$72-$AI19)*($AI20-$AI19)+AK19),
          TRUE, IFERROR(_xlfn.XLOOKUP($AI20, 'USHE Projections'!$A:$A, IFERROR(_xlfn.XLOOKUP(AK$1, 'USHE Projections'!$A$1:$E$1, 'USHE Projections'!$A:$E), "NONE"), (AK$72-AK19)/($AI$72-$AI19)*($AI20-$AI19)+AK19), (AK$72-AK19)/($AI$72-$AI19)*($AI20-$AI19)+AK19)
        )
      )
    )
  ), 0)</f>
        <v>21388</v>
      </c>
      <c r="AL20" s="20" cm="1">
        <f t="array" ref="AL20">ROUND(
  IF(AND(AL$1="Ensign", $AI20&gt;=2021, $AI20&lt;=2024),
    _xlfn.XLOOKUP($AI20, Ensign!$A$2:$A$12, Ensign!$B$2:$B$12),
    _xlfn.XLOOKUP($AI20, 'Historic (IPEDS &amp; 2019 RTP)'!$A:$A, _xlfn.XLOOKUP(AL$1, 'Historic (IPEDS &amp; 2019 RTP)'!$A$1:$H$1, 'Historic (IPEDS &amp; 2019 RTP)'!$A:$H),
      IFERROR(_xlfn.XLOOKUP($AI20, 'USHE Historic'!$A$3:$A$13, _xlfn.XLOOKUP(AL$1, 'USHE Historic'!$A$2:$E$2, 'USHE Historic'!$A$3:$E$13)),
        _xlfn.IFS(
          AL$1="BYU", IFERROR(_xlfn.XLOOKUP($AI20, 'MAG College Enrollment Forecast'!$A:$A, 'MAG College Enrollment Forecast'!$B:$B), (AL$72-AL19)/($AI$72-$AI19)*($AI20-$AI19)+AL19),
          AL$1="UVU", IFERROR(_xlfn.XLOOKUP($AI20, 'MAG College Enrollment Forecast'!$A:$A, 'MAG College Enrollment Forecast'!$C:$C+'MAG College Enrollment Forecast'!$D:$D+'MAG College Enrollment Forecast'!$E:$E+'MAG College Enrollment Forecast'!$F:$F+'MAG College Enrollment Forecast'!$G:$G+'MAG College Enrollment Forecast'!$H:$H), (AL$72-AL19)/($AI$72-$AI19)*($AI20-$AI19)+AL19),
          TRUE, IFERROR(_xlfn.XLOOKUP($AI20, 'USHE Projections'!$A:$A, IFERROR(_xlfn.XLOOKUP(AL$1, 'USHE Projections'!$A$1:$E$1, 'USHE Projections'!$A:$E), "NONE"), (AL$72-AL19)/($AI$72-$AI19)*($AI20-$AI19)+AL19), (AL$72-AL19)/($AI$72-$AI19)*($AI20-$AI19)+AL19)
        )
      )
    )
  ), 0)</f>
        <v>26696</v>
      </c>
      <c r="AM20" s="20" cm="1">
        <f t="array" ref="AM20">ROUND(
  IF(AND(AM$1="Ensign", $AI20&gt;=2021, $AI20&lt;=2024),
    _xlfn.XLOOKUP($AI20, Ensign!$A$2:$A$12, Ensign!$B$2:$B$12),
    _xlfn.XLOOKUP($AI20, 'Historic (IPEDS &amp; 2019 RTP)'!$A:$A, _xlfn.XLOOKUP(AM$1, 'Historic (IPEDS &amp; 2019 RTP)'!$A$1:$H$1, 'Historic (IPEDS &amp; 2019 RTP)'!$A:$H),
      IFERROR(_xlfn.XLOOKUP($AI20, 'USHE Historic'!$A$3:$A$13, _xlfn.XLOOKUP(AM$1, 'USHE Historic'!$A$2:$E$2, 'USHE Historic'!$A$3:$E$13)),
        _xlfn.IFS(
          AM$1="BYU", IFERROR(_xlfn.XLOOKUP($AI20, 'MAG College Enrollment Forecast'!$A:$A, 'MAG College Enrollment Forecast'!$B:$B), (AM$72-AM19)/($AI$72-$AI19)*($AI20-$AI19)+AM19),
          AM$1="UVU", IFERROR(_xlfn.XLOOKUP($AI20, 'MAG College Enrollment Forecast'!$A:$A, 'MAG College Enrollment Forecast'!$C:$C+'MAG College Enrollment Forecast'!$D:$D+'MAG College Enrollment Forecast'!$E:$E+'MAG College Enrollment Forecast'!$F:$F+'MAG College Enrollment Forecast'!$G:$G+'MAG College Enrollment Forecast'!$H:$H), (AM$72-AM19)/($AI$72-$AI19)*($AI20-$AI19)+AM19),
          TRUE, IFERROR(_xlfn.XLOOKUP($AI20, 'USHE Projections'!$A:$A, IFERROR(_xlfn.XLOOKUP(AM$1, 'USHE Projections'!$A$1:$E$1, 'USHE Projections'!$A:$E), "NONE"), (AM$72-AM19)/($AI$72-$AI19)*($AI20-$AI19)+AM19), (AM$72-AM19)/($AI$72-$AI19)*($AI20-$AI19)+AM19)
        )
      )
    )
  ), 0)</f>
        <v>29396</v>
      </c>
      <c r="AN20" s="20" cm="1">
        <f t="array" ref="AN20">ROUND(
  IF(AND(AN$1="Ensign", $AI20&gt;=2021, $AI20&lt;=2024),
    _xlfn.XLOOKUP($AI20, Ensign!$A$2:$A$12, Ensign!$B$2:$B$12),
    _xlfn.XLOOKUP($AI20, 'Historic (IPEDS &amp; 2019 RTP)'!$A:$A, _xlfn.XLOOKUP(AN$1, 'Historic (IPEDS &amp; 2019 RTP)'!$A$1:$H$1, 'Historic (IPEDS &amp; 2019 RTP)'!$A:$H),
      IFERROR(_xlfn.XLOOKUP($AI20, 'USHE Historic'!$A$3:$A$13, _xlfn.XLOOKUP(AN$1, 'USHE Historic'!$A$2:$E$2, 'USHE Historic'!$A$3:$E$13)),
        _xlfn.IFS(
          AN$1="BYU", IFERROR(_xlfn.XLOOKUP($AI20, 'MAG College Enrollment Forecast'!$A:$A, 'MAG College Enrollment Forecast'!$B:$B), (AN$72-AN19)/($AI$72-$AI19)*($AI20-$AI19)+AN19),
          AN$1="UVU", IFERROR(_xlfn.XLOOKUP($AI20, 'MAG College Enrollment Forecast'!$A:$A, 'MAG College Enrollment Forecast'!$C:$C+'MAG College Enrollment Forecast'!$D:$D+'MAG College Enrollment Forecast'!$E:$E+'MAG College Enrollment Forecast'!$F:$F+'MAG College Enrollment Forecast'!$G:$G+'MAG College Enrollment Forecast'!$H:$H), (AN$72-AN19)/($AI$72-$AI19)*($AI20-$AI19)+AN19),
          TRUE, IFERROR(_xlfn.XLOOKUP($AI20, 'USHE Projections'!$A:$A, IFERROR(_xlfn.XLOOKUP(AN$1, 'USHE Projections'!$A$1:$E$1, 'USHE Projections'!$A:$E), "NONE"), (AN$72-AN19)/($AI$72-$AI19)*($AI20-$AI19)+AN19), (AN$72-AN19)/($AI$72-$AI19)*($AI20-$AI19)+AN19)
        )
      )
    )
  ), 0)</f>
        <v>34244</v>
      </c>
      <c r="AO20" s="20" cm="1">
        <f t="array" ref="AO20">ROUND(
  IF(AND(AO$1="Ensign", $AI20&gt;=2021, $AI20&lt;=2024),
    _xlfn.XLOOKUP($AI20, Ensign!$A$2:$A$12, Ensign!$B$2:$B$12),
    _xlfn.XLOOKUP($AI20, 'Historic (IPEDS &amp; 2019 RTP)'!$A:$A, _xlfn.XLOOKUP(AO$1, 'Historic (IPEDS &amp; 2019 RTP)'!$A$1:$H$1, 'Historic (IPEDS &amp; 2019 RTP)'!$A:$H),
      IFERROR(_xlfn.XLOOKUP($AI20, 'USHE Historic'!$A$3:$A$13, _xlfn.XLOOKUP(AO$1, 'USHE Historic'!$A$2:$E$2, 'USHE Historic'!$A$3:$E$13)),
        _xlfn.IFS(
          AO$1="BYU", IFERROR(_xlfn.XLOOKUP($AI20, 'MAG College Enrollment Forecast'!$A:$A, 'MAG College Enrollment Forecast'!$B:$B), (AO$72-AO19)/($AI$72-$AI19)*($AI20-$AI19)+AO19),
          AO$1="UVU", IFERROR(_xlfn.XLOOKUP($AI20, 'MAG College Enrollment Forecast'!$A:$A, 'MAG College Enrollment Forecast'!$C:$C+'MAG College Enrollment Forecast'!$D:$D+'MAG College Enrollment Forecast'!$E:$E+'MAG College Enrollment Forecast'!$F:$F+'MAG College Enrollment Forecast'!$G:$G+'MAG College Enrollment Forecast'!$H:$H), (AO$72-AO19)/($AI$72-$AI19)*($AI20-$AI19)+AO19),
          TRUE, IFERROR(_xlfn.XLOOKUP($AI20, 'USHE Projections'!$A:$A, IFERROR(_xlfn.XLOOKUP(AO$1, 'USHE Projections'!$A$1:$E$1, 'USHE Projections'!$A:$E), "NONE"), (AO$72-AO19)/($AI$72-$AI19)*($AI20-$AI19)+AO19), (AO$72-AO19)/($AI$72-$AI19)*($AI20-$AI19)+AO19)
        )
      )
    )
  ), 0)</f>
        <v>1377</v>
      </c>
      <c r="AP20" s="20" cm="1">
        <f t="array" ref="AP20">ROUND(
  IF(AND(AP$1="Ensign", $AI20&gt;=2021, $AI20&lt;=2024),
    _xlfn.XLOOKUP($AI20, Ensign!$A$2:$A$12, Ensign!$B$2:$B$12),
    _xlfn.XLOOKUP($AI20, 'Historic (IPEDS &amp; 2019 RTP)'!$A:$A, _xlfn.XLOOKUP(AP$1, 'Historic (IPEDS &amp; 2019 RTP)'!$A$1:$H$1, 'Historic (IPEDS &amp; 2019 RTP)'!$A:$H),
      IFERROR(_xlfn.XLOOKUP($AI20, 'USHE Historic'!$A$3:$A$13, _xlfn.XLOOKUP(AP$1, 'USHE Historic'!$A$2:$E$2, 'USHE Historic'!$A$3:$E$13)),
        _xlfn.IFS(
          AP$1="BYU", IFERROR(_xlfn.XLOOKUP($AI20, 'MAG College Enrollment Forecast'!$A:$A, 'MAG College Enrollment Forecast'!$B:$B), (AP$72-AP19)/($AI$72-$AI19)*($AI20-$AI19)+AP19),
          AP$1="UVU", IFERROR(_xlfn.XLOOKUP($AI20, 'MAG College Enrollment Forecast'!$A:$A, 'MAG College Enrollment Forecast'!$C:$C+'MAG College Enrollment Forecast'!$D:$D+'MAG College Enrollment Forecast'!$E:$E+'MAG College Enrollment Forecast'!$F:$F+'MAG College Enrollment Forecast'!$G:$G+'MAG College Enrollment Forecast'!$H:$H), (AP$72-AP19)/($AI$72-$AI19)*($AI20-$AI19)+AP19),
          TRUE, IFERROR(_xlfn.XLOOKUP($AI20, 'USHE Projections'!$A:$A, IFERROR(_xlfn.XLOOKUP(AP$1, 'USHE Projections'!$A$1:$E$1, 'USHE Projections'!$A:$E), "NONE"), (AP$72-AP19)/($AI$72-$AI19)*($AI20-$AI19)+AP19), (AP$72-AP19)/($AI$72-$AI19)*($AI20-$AI19)+AP19)
        )
      )
    )
  ), 0)</f>
        <v>2859</v>
      </c>
      <c r="AQ20" s="7"/>
    </row>
    <row r="21" spans="1:43">
      <c r="AI21" s="3">
        <v>2009</v>
      </c>
      <c r="AJ21" s="20" cm="1">
        <f t="array" ref="AJ21">ROUND(
  IF(AND(AJ$1="Ensign", $AI21&gt;=2021, $AI21&lt;=2024),
    _xlfn.XLOOKUP($AI21, Ensign!$A$2:$A$12, Ensign!$B$2:$B$12),
    _xlfn.XLOOKUP($AI21, 'Historic (IPEDS &amp; 2019 RTP)'!$A:$A, _xlfn.XLOOKUP(AJ$1, 'Historic (IPEDS &amp; 2019 RTP)'!$A$1:$H$1, 'Historic (IPEDS &amp; 2019 RTP)'!$A:$H),
      IFERROR(_xlfn.XLOOKUP($AI21, 'USHE Historic'!$A$3:$A$13, _xlfn.XLOOKUP(AJ$1, 'USHE Historic'!$A$2:$E$2, 'USHE Historic'!$A$3:$E$13)),
        _xlfn.IFS(
          AJ$1="BYU", IFERROR(_xlfn.XLOOKUP($AI21, 'MAG College Enrollment Forecast'!$A:$A, 'MAG College Enrollment Forecast'!$B:$B), (AJ$72-AJ20)/($AI$72-$AI20)*($AI21-$AI20)+AJ20),
          AJ$1="UVU", IFERROR(_xlfn.XLOOKUP($AI21, 'MAG College Enrollment Forecast'!$A:$A, 'MAG College Enrollment Forecast'!$C:$C+'MAG College Enrollment Forecast'!$D:$D+'MAG College Enrollment Forecast'!$E:$E+'MAG College Enrollment Forecast'!$F:$F+'MAG College Enrollment Forecast'!$G:$G+'MAG College Enrollment Forecast'!$H:$H), (AJ$72-AJ20)/($AI$72-$AI20)*($AI21-$AI20)+AJ20),
          TRUE, IFERROR(_xlfn.XLOOKUP($AI21, 'USHE Projections'!$A:$A, IFERROR(_xlfn.XLOOKUP(AJ$1, 'USHE Projections'!$A$1:$E$1, 'USHE Projections'!$A:$E), "NONE"), (AJ$72-AJ20)/($AI$72-$AI20)*($AI21-$AI20)+AJ20), (AJ$72-AJ20)/($AI$72-$AI20)*($AI21-$AI20)+AJ20)
        )
      )
    )
  ), 0)</f>
        <v>29284</v>
      </c>
      <c r="AK21" s="20" cm="1">
        <f t="array" ref="AK21">ROUND(
  IF(AND(AK$1="Ensign", $AI21&gt;=2021, $AI21&lt;=2024),
    _xlfn.XLOOKUP($AI21, Ensign!$A$2:$A$12, Ensign!$B$2:$B$12),
    _xlfn.XLOOKUP($AI21, 'Historic (IPEDS &amp; 2019 RTP)'!$A:$A, _xlfn.XLOOKUP(AK$1, 'Historic (IPEDS &amp; 2019 RTP)'!$A$1:$H$1, 'Historic (IPEDS &amp; 2019 RTP)'!$A:$H),
      IFERROR(_xlfn.XLOOKUP($AI21, 'USHE Historic'!$A$3:$A$13, _xlfn.XLOOKUP(AK$1, 'USHE Historic'!$A$2:$E$2, 'USHE Historic'!$A$3:$E$13)),
        _xlfn.IFS(
          AK$1="BYU", IFERROR(_xlfn.XLOOKUP($AI21, 'MAG College Enrollment Forecast'!$A:$A, 'MAG College Enrollment Forecast'!$B:$B), (AK$72-AK20)/($AI$72-$AI20)*($AI21-$AI20)+AK20),
          AK$1="UVU", IFERROR(_xlfn.XLOOKUP($AI21, 'MAG College Enrollment Forecast'!$A:$A, 'MAG College Enrollment Forecast'!$C:$C+'MAG College Enrollment Forecast'!$D:$D+'MAG College Enrollment Forecast'!$E:$E+'MAG College Enrollment Forecast'!$F:$F+'MAG College Enrollment Forecast'!$G:$G+'MAG College Enrollment Forecast'!$H:$H), (AK$72-AK20)/($AI$72-$AI20)*($AI21-$AI20)+AK20),
          TRUE, IFERROR(_xlfn.XLOOKUP($AI21, 'USHE Projections'!$A:$A, IFERROR(_xlfn.XLOOKUP(AK$1, 'USHE Projections'!$A$1:$E$1, 'USHE Projections'!$A:$E), "NONE"), (AK$72-AK20)/($AI$72-$AI20)*($AI21-$AI20)+AK20), (AK$72-AK20)/($AI$72-$AI20)*($AI21-$AI20)+AK20)
        )
      )
    )
  ), 0)</f>
        <v>23001</v>
      </c>
      <c r="AL21" s="20" cm="1">
        <f t="array" ref="AL21">ROUND(
  IF(AND(AL$1="Ensign", $AI21&gt;=2021, $AI21&lt;=2024),
    _xlfn.XLOOKUP($AI21, Ensign!$A$2:$A$12, Ensign!$B$2:$B$12),
    _xlfn.XLOOKUP($AI21, 'Historic (IPEDS &amp; 2019 RTP)'!$A:$A, _xlfn.XLOOKUP(AL$1, 'Historic (IPEDS &amp; 2019 RTP)'!$A$1:$H$1, 'Historic (IPEDS &amp; 2019 RTP)'!$A:$H),
      IFERROR(_xlfn.XLOOKUP($AI21, 'USHE Historic'!$A$3:$A$13, _xlfn.XLOOKUP(AL$1, 'USHE Historic'!$A$2:$E$2, 'USHE Historic'!$A$3:$E$13)),
        _xlfn.IFS(
          AL$1="BYU", IFERROR(_xlfn.XLOOKUP($AI21, 'MAG College Enrollment Forecast'!$A:$A, 'MAG College Enrollment Forecast'!$B:$B), (AL$72-AL20)/($AI$72-$AI20)*($AI21-$AI20)+AL20),
          AL$1="UVU", IFERROR(_xlfn.XLOOKUP($AI21, 'MAG College Enrollment Forecast'!$A:$A, 'MAG College Enrollment Forecast'!$C:$C+'MAG College Enrollment Forecast'!$D:$D+'MAG College Enrollment Forecast'!$E:$E+'MAG College Enrollment Forecast'!$F:$F+'MAG College Enrollment Forecast'!$G:$G+'MAG College Enrollment Forecast'!$H:$H), (AL$72-AL20)/($AI$72-$AI20)*($AI21-$AI20)+AL20),
          TRUE, IFERROR(_xlfn.XLOOKUP($AI21, 'USHE Projections'!$A:$A, IFERROR(_xlfn.XLOOKUP(AL$1, 'USHE Projections'!$A$1:$E$1, 'USHE Projections'!$A:$E), "NONE"), (AL$72-AL20)/($AI$72-$AI20)*($AI21-$AI20)+AL20), (AL$72-AL20)/($AI$72-$AI20)*($AI21-$AI20)+AL20)
        )
      )
    )
  ), 0)</f>
        <v>28765</v>
      </c>
      <c r="AM21" s="20" cm="1">
        <f t="array" ref="AM21">ROUND(
  IF(AND(AM$1="Ensign", $AI21&gt;=2021, $AI21&lt;=2024),
    _xlfn.XLOOKUP($AI21, Ensign!$A$2:$A$12, Ensign!$B$2:$B$12),
    _xlfn.XLOOKUP($AI21, 'Historic (IPEDS &amp; 2019 RTP)'!$A:$A, _xlfn.XLOOKUP(AM$1, 'Historic (IPEDS &amp; 2019 RTP)'!$A$1:$H$1, 'Historic (IPEDS &amp; 2019 RTP)'!$A:$H),
      IFERROR(_xlfn.XLOOKUP($AI21, 'USHE Historic'!$A$3:$A$13, _xlfn.XLOOKUP(AM$1, 'USHE Historic'!$A$2:$E$2, 'USHE Historic'!$A$3:$E$13)),
        _xlfn.IFS(
          AM$1="BYU", IFERROR(_xlfn.XLOOKUP($AI21, 'MAG College Enrollment Forecast'!$A:$A, 'MAG College Enrollment Forecast'!$B:$B), (AM$72-AM20)/($AI$72-$AI20)*($AI21-$AI20)+AM20),
          AM$1="UVU", IFERROR(_xlfn.XLOOKUP($AI21, 'MAG College Enrollment Forecast'!$A:$A, 'MAG College Enrollment Forecast'!$C:$C+'MAG College Enrollment Forecast'!$D:$D+'MAG College Enrollment Forecast'!$E:$E+'MAG College Enrollment Forecast'!$F:$F+'MAG College Enrollment Forecast'!$G:$G+'MAG College Enrollment Forecast'!$H:$H), (AM$72-AM20)/($AI$72-$AI20)*($AI21-$AI20)+AM20),
          TRUE, IFERROR(_xlfn.XLOOKUP($AI21, 'USHE Projections'!$A:$A, IFERROR(_xlfn.XLOOKUP(AM$1, 'USHE Projections'!$A$1:$E$1, 'USHE Projections'!$A:$E), "NONE"), (AM$72-AM20)/($AI$72-$AI20)*($AI21-$AI20)+AM20), (AM$72-AM20)/($AI$72-$AI20)*($AI21-$AI20)+AM20)
        )
      )
    )
  ), 0)</f>
        <v>34966</v>
      </c>
      <c r="AN21" s="20" cm="1">
        <f t="array" ref="AN21">ROUND(
  IF(AND(AN$1="Ensign", $AI21&gt;=2021, $AI21&lt;=2024),
    _xlfn.XLOOKUP($AI21, Ensign!$A$2:$A$12, Ensign!$B$2:$B$12),
    _xlfn.XLOOKUP($AI21, 'Historic (IPEDS &amp; 2019 RTP)'!$A:$A, _xlfn.XLOOKUP(AN$1, 'Historic (IPEDS &amp; 2019 RTP)'!$A$1:$H$1, 'Historic (IPEDS &amp; 2019 RTP)'!$A:$H),
      IFERROR(_xlfn.XLOOKUP($AI21, 'USHE Historic'!$A$3:$A$13, _xlfn.XLOOKUP(AN$1, 'USHE Historic'!$A$2:$E$2, 'USHE Historic'!$A$3:$E$13)),
        _xlfn.IFS(
          AN$1="BYU", IFERROR(_xlfn.XLOOKUP($AI21, 'MAG College Enrollment Forecast'!$A:$A, 'MAG College Enrollment Forecast'!$B:$B), (AN$72-AN20)/($AI$72-$AI20)*($AI21-$AI20)+AN20),
          AN$1="UVU", IFERROR(_xlfn.XLOOKUP($AI21, 'MAG College Enrollment Forecast'!$A:$A, 'MAG College Enrollment Forecast'!$C:$C+'MAG College Enrollment Forecast'!$D:$D+'MAG College Enrollment Forecast'!$E:$E+'MAG College Enrollment Forecast'!$F:$F+'MAG College Enrollment Forecast'!$G:$G+'MAG College Enrollment Forecast'!$H:$H), (AN$72-AN20)/($AI$72-$AI20)*($AI21-$AI20)+AN20),
          TRUE, IFERROR(_xlfn.XLOOKUP($AI21, 'USHE Projections'!$A:$A, IFERROR(_xlfn.XLOOKUP(AN$1, 'USHE Projections'!$A$1:$E$1, 'USHE Projections'!$A:$E), "NONE"), (AN$72-AN20)/($AI$72-$AI20)*($AI21-$AI20)+AN20), (AN$72-AN20)/($AI$72-$AI20)*($AI21-$AI20)+AN20)
        )
      )
    )
  ), 0)</f>
        <v>34130</v>
      </c>
      <c r="AO21" s="20" cm="1">
        <f t="array" ref="AO21">ROUND(
  IF(AND(AO$1="Ensign", $AI21&gt;=2021, $AI21&lt;=2024),
    _xlfn.XLOOKUP($AI21, Ensign!$A$2:$A$12, Ensign!$B$2:$B$12),
    _xlfn.XLOOKUP($AI21, 'Historic (IPEDS &amp; 2019 RTP)'!$A:$A, _xlfn.XLOOKUP(AO$1, 'Historic (IPEDS &amp; 2019 RTP)'!$A$1:$H$1, 'Historic (IPEDS &amp; 2019 RTP)'!$A:$H),
      IFERROR(_xlfn.XLOOKUP($AI21, 'USHE Historic'!$A$3:$A$13, _xlfn.XLOOKUP(AO$1, 'USHE Historic'!$A$2:$E$2, 'USHE Historic'!$A$3:$E$13)),
        _xlfn.IFS(
          AO$1="BYU", IFERROR(_xlfn.XLOOKUP($AI21, 'MAG College Enrollment Forecast'!$A:$A, 'MAG College Enrollment Forecast'!$B:$B), (AO$72-AO20)/($AI$72-$AI20)*($AI21-$AI20)+AO20),
          AO$1="UVU", IFERROR(_xlfn.XLOOKUP($AI21, 'MAG College Enrollment Forecast'!$A:$A, 'MAG College Enrollment Forecast'!$C:$C+'MAG College Enrollment Forecast'!$D:$D+'MAG College Enrollment Forecast'!$E:$E+'MAG College Enrollment Forecast'!$F:$F+'MAG College Enrollment Forecast'!$G:$G+'MAG College Enrollment Forecast'!$H:$H), (AO$72-AO20)/($AI$72-$AI20)*($AI21-$AI20)+AO20),
          TRUE, IFERROR(_xlfn.XLOOKUP($AI21, 'USHE Projections'!$A:$A, IFERROR(_xlfn.XLOOKUP(AO$1, 'USHE Projections'!$A$1:$E$1, 'USHE Projections'!$A:$E), "NONE"), (AO$72-AO20)/($AI$72-$AI20)*($AI21-$AI20)+AO20), (AO$72-AO20)/($AI$72-$AI20)*($AI21-$AI20)+AO20)
        )
      )
    )
  ), 0)</f>
        <v>1589</v>
      </c>
      <c r="AP21" s="20" cm="1">
        <f t="array" ref="AP21">ROUND(
  IF(AND(AP$1="Ensign", $AI21&gt;=2021, $AI21&lt;=2024),
    _xlfn.XLOOKUP($AI21, Ensign!$A$2:$A$12, Ensign!$B$2:$B$12),
    _xlfn.XLOOKUP($AI21, 'Historic (IPEDS &amp; 2019 RTP)'!$A:$A, _xlfn.XLOOKUP(AP$1, 'Historic (IPEDS &amp; 2019 RTP)'!$A$1:$H$1, 'Historic (IPEDS &amp; 2019 RTP)'!$A:$H),
      IFERROR(_xlfn.XLOOKUP($AI21, 'USHE Historic'!$A$3:$A$13, _xlfn.XLOOKUP(AP$1, 'USHE Historic'!$A$2:$E$2, 'USHE Historic'!$A$3:$E$13)),
        _xlfn.IFS(
          AP$1="BYU", IFERROR(_xlfn.XLOOKUP($AI21, 'MAG College Enrollment Forecast'!$A:$A, 'MAG College Enrollment Forecast'!$B:$B), (AP$72-AP20)/($AI$72-$AI20)*($AI21-$AI20)+AP20),
          AP$1="UVU", IFERROR(_xlfn.XLOOKUP($AI21, 'MAG College Enrollment Forecast'!$A:$A, 'MAG College Enrollment Forecast'!$C:$C+'MAG College Enrollment Forecast'!$D:$D+'MAG College Enrollment Forecast'!$E:$E+'MAG College Enrollment Forecast'!$F:$F+'MAG College Enrollment Forecast'!$G:$G+'MAG College Enrollment Forecast'!$H:$H), (AP$72-AP20)/($AI$72-$AI20)*($AI21-$AI20)+AP20),
          TRUE, IFERROR(_xlfn.XLOOKUP($AI21, 'USHE Projections'!$A:$A, IFERROR(_xlfn.XLOOKUP(AP$1, 'USHE Projections'!$A$1:$E$1, 'USHE Projections'!$A:$E), "NONE"), (AP$72-AP20)/($AI$72-$AI20)*($AI21-$AI20)+AP20), (AP$72-AP20)/($AI$72-$AI20)*($AI21-$AI20)+AP20)
        )
      )
    )
  ), 0)</f>
        <v>3037</v>
      </c>
      <c r="AQ21" s="7"/>
    </row>
    <row r="22" spans="1:43">
      <c r="AI22" s="3">
        <v>2010</v>
      </c>
      <c r="AJ22" s="20" cm="1">
        <f t="array" ref="AJ22">ROUND(
  IF(AND(AJ$1="Ensign", $AI22&gt;=2021, $AI22&lt;=2024),
    _xlfn.XLOOKUP($AI22, Ensign!$A$2:$A$12, Ensign!$B$2:$B$12),
    _xlfn.XLOOKUP($AI22, 'Historic (IPEDS &amp; 2019 RTP)'!$A:$A, _xlfn.XLOOKUP(AJ$1, 'Historic (IPEDS &amp; 2019 RTP)'!$A$1:$H$1, 'Historic (IPEDS &amp; 2019 RTP)'!$A:$H),
      IFERROR(_xlfn.XLOOKUP($AI22, 'USHE Historic'!$A$3:$A$13, _xlfn.XLOOKUP(AJ$1, 'USHE Historic'!$A$2:$E$2, 'USHE Historic'!$A$3:$E$13)),
        _xlfn.IFS(
          AJ$1="BYU", IFERROR(_xlfn.XLOOKUP($AI22, 'MAG College Enrollment Forecast'!$A:$A, 'MAG College Enrollment Forecast'!$B:$B), (AJ$72-AJ21)/($AI$72-$AI21)*($AI22-$AI21)+AJ21),
          AJ$1="UVU", IFERROR(_xlfn.XLOOKUP($AI22, 'MAG College Enrollment Forecast'!$A:$A, 'MAG College Enrollment Forecast'!$C:$C+'MAG College Enrollment Forecast'!$D:$D+'MAG College Enrollment Forecast'!$E:$E+'MAG College Enrollment Forecast'!$F:$F+'MAG College Enrollment Forecast'!$G:$G+'MAG College Enrollment Forecast'!$H:$H), (AJ$72-AJ21)/($AI$72-$AI21)*($AI22-$AI21)+AJ21),
          TRUE, IFERROR(_xlfn.XLOOKUP($AI22, 'USHE Projections'!$A:$A, IFERROR(_xlfn.XLOOKUP(AJ$1, 'USHE Projections'!$A$1:$E$1, 'USHE Projections'!$A:$E), "NONE"), (AJ$72-AJ21)/($AI$72-$AI21)*($AI22-$AI21)+AJ21), (AJ$72-AJ21)/($AI$72-$AI21)*($AI22-$AI21)+AJ21)
        )
      )
    )
  ), 0)</f>
        <v>30819</v>
      </c>
      <c r="AK22" s="20" cm="1">
        <f t="array" ref="AK22">ROUND(
  IF(AND(AK$1="Ensign", $AI22&gt;=2021, $AI22&lt;=2024),
    _xlfn.XLOOKUP($AI22, Ensign!$A$2:$A$12, Ensign!$B$2:$B$12),
    _xlfn.XLOOKUP($AI22, 'Historic (IPEDS &amp; 2019 RTP)'!$A:$A, _xlfn.XLOOKUP(AK$1, 'Historic (IPEDS &amp; 2019 RTP)'!$A$1:$H$1, 'Historic (IPEDS &amp; 2019 RTP)'!$A:$H),
      IFERROR(_xlfn.XLOOKUP($AI22, 'USHE Historic'!$A$3:$A$13, _xlfn.XLOOKUP(AK$1, 'USHE Historic'!$A$2:$E$2, 'USHE Historic'!$A$3:$E$13)),
        _xlfn.IFS(
          AK$1="BYU", IFERROR(_xlfn.XLOOKUP($AI22, 'MAG College Enrollment Forecast'!$A:$A, 'MAG College Enrollment Forecast'!$B:$B), (AK$72-AK21)/($AI$72-$AI21)*($AI22-$AI21)+AK21),
          AK$1="UVU", IFERROR(_xlfn.XLOOKUP($AI22, 'MAG College Enrollment Forecast'!$A:$A, 'MAG College Enrollment Forecast'!$C:$C+'MAG College Enrollment Forecast'!$D:$D+'MAG College Enrollment Forecast'!$E:$E+'MAG College Enrollment Forecast'!$F:$F+'MAG College Enrollment Forecast'!$G:$G+'MAG College Enrollment Forecast'!$H:$H), (AK$72-AK21)/($AI$72-$AI21)*($AI22-$AI21)+AK21),
          TRUE, IFERROR(_xlfn.XLOOKUP($AI22, 'USHE Projections'!$A:$A, IFERROR(_xlfn.XLOOKUP(AK$1, 'USHE Projections'!$A$1:$E$1, 'USHE Projections'!$A:$E), "NONE"), (AK$72-AK21)/($AI$72-$AI21)*($AI22-$AI21)+AK21), (AK$72-AK21)/($AI$72-$AI21)*($AI22-$AI21)+AK21)
        )
      )
    )
  ), 0)</f>
        <v>24048</v>
      </c>
      <c r="AL22" s="20" cm="1">
        <f t="array" ref="AL22">ROUND(
  IF(AND(AL$1="Ensign", $AI22&gt;=2021, $AI22&lt;=2024),
    _xlfn.XLOOKUP($AI22, Ensign!$A$2:$A$12, Ensign!$B$2:$B$12),
    _xlfn.XLOOKUP($AI22, 'Historic (IPEDS &amp; 2019 RTP)'!$A:$A, _xlfn.XLOOKUP(AL$1, 'Historic (IPEDS &amp; 2019 RTP)'!$A$1:$H$1, 'Historic (IPEDS &amp; 2019 RTP)'!$A:$H),
      IFERROR(_xlfn.XLOOKUP($AI22, 'USHE Historic'!$A$3:$A$13, _xlfn.XLOOKUP(AL$1, 'USHE Historic'!$A$2:$E$2, 'USHE Historic'!$A$3:$E$13)),
        _xlfn.IFS(
          AL$1="BYU", IFERROR(_xlfn.XLOOKUP($AI22, 'MAG College Enrollment Forecast'!$A:$A, 'MAG College Enrollment Forecast'!$B:$B), (AL$72-AL21)/($AI$72-$AI21)*($AI22-$AI21)+AL21),
          AL$1="UVU", IFERROR(_xlfn.XLOOKUP($AI22, 'MAG College Enrollment Forecast'!$A:$A, 'MAG College Enrollment Forecast'!$C:$C+'MAG College Enrollment Forecast'!$D:$D+'MAG College Enrollment Forecast'!$E:$E+'MAG College Enrollment Forecast'!$F:$F+'MAG College Enrollment Forecast'!$G:$G+'MAG College Enrollment Forecast'!$H:$H), (AL$72-AL21)/($AI$72-$AI21)*($AI22-$AI21)+AL21),
          TRUE, IFERROR(_xlfn.XLOOKUP($AI22, 'USHE Projections'!$A:$A, IFERROR(_xlfn.XLOOKUP(AL$1, 'USHE Projections'!$A$1:$E$1, 'USHE Projections'!$A:$E), "NONE"), (AL$72-AL21)/($AI$72-$AI21)*($AI22-$AI21)+AL21), (AL$72-AL21)/($AI$72-$AI21)*($AI22-$AI21)+AL21)
        )
      )
    )
  ), 0)</f>
        <v>32670</v>
      </c>
      <c r="AM22" s="20" cm="1">
        <f t="array" ref="AM22">ROUND(
  IF(AND(AM$1="Ensign", $AI22&gt;=2021, $AI22&lt;=2024),
    _xlfn.XLOOKUP($AI22, Ensign!$A$2:$A$12, Ensign!$B$2:$B$12),
    _xlfn.XLOOKUP($AI22, 'Historic (IPEDS &amp; 2019 RTP)'!$A:$A, _xlfn.XLOOKUP(AM$1, 'Historic (IPEDS &amp; 2019 RTP)'!$A$1:$H$1, 'Historic (IPEDS &amp; 2019 RTP)'!$A:$H),
      IFERROR(_xlfn.XLOOKUP($AI22, 'USHE Historic'!$A$3:$A$13, _xlfn.XLOOKUP(AM$1, 'USHE Historic'!$A$2:$E$2, 'USHE Historic'!$A$3:$E$13)),
        _xlfn.IFS(
          AM$1="BYU", IFERROR(_xlfn.XLOOKUP($AI22, 'MAG College Enrollment Forecast'!$A:$A, 'MAG College Enrollment Forecast'!$B:$B), (AM$72-AM21)/($AI$72-$AI21)*($AI22-$AI21)+AM21),
          AM$1="UVU", IFERROR(_xlfn.XLOOKUP($AI22, 'MAG College Enrollment Forecast'!$A:$A, 'MAG College Enrollment Forecast'!$C:$C+'MAG College Enrollment Forecast'!$D:$D+'MAG College Enrollment Forecast'!$E:$E+'MAG College Enrollment Forecast'!$F:$F+'MAG College Enrollment Forecast'!$G:$G+'MAG College Enrollment Forecast'!$H:$H), (AM$72-AM21)/($AI$72-$AI21)*($AI22-$AI21)+AM21),
          TRUE, IFERROR(_xlfn.XLOOKUP($AI22, 'USHE Projections'!$A:$A, IFERROR(_xlfn.XLOOKUP(AM$1, 'USHE Projections'!$A$1:$E$1, 'USHE Projections'!$A:$E), "NONE"), (AM$72-AM21)/($AI$72-$AI21)*($AI22-$AI21)+AM21), (AM$72-AM21)/($AI$72-$AI21)*($AI22-$AI21)+AM21)
        )
      )
    )
  ), 0)</f>
        <v>34654</v>
      </c>
      <c r="AN22" s="20" cm="1">
        <f t="array" ref="AN22">ROUND(
  IF(AND(AN$1="Ensign", $AI22&gt;=2021, $AI22&lt;=2024),
    _xlfn.XLOOKUP($AI22, Ensign!$A$2:$A$12, Ensign!$B$2:$B$12),
    _xlfn.XLOOKUP($AI22, 'Historic (IPEDS &amp; 2019 RTP)'!$A:$A, _xlfn.XLOOKUP(AN$1, 'Historic (IPEDS &amp; 2019 RTP)'!$A$1:$H$1, 'Historic (IPEDS &amp; 2019 RTP)'!$A:$H),
      IFERROR(_xlfn.XLOOKUP($AI22, 'USHE Historic'!$A$3:$A$13, _xlfn.XLOOKUP(AN$1, 'USHE Historic'!$A$2:$E$2, 'USHE Historic'!$A$3:$E$13)),
        _xlfn.IFS(
          AN$1="BYU", IFERROR(_xlfn.XLOOKUP($AI22, 'MAG College Enrollment Forecast'!$A:$A, 'MAG College Enrollment Forecast'!$B:$B), (AN$72-AN21)/($AI$72-$AI21)*($AI22-$AI21)+AN21),
          AN$1="UVU", IFERROR(_xlfn.XLOOKUP($AI22, 'MAG College Enrollment Forecast'!$A:$A, 'MAG College Enrollment Forecast'!$C:$C+'MAG College Enrollment Forecast'!$D:$D+'MAG College Enrollment Forecast'!$E:$E+'MAG College Enrollment Forecast'!$F:$F+'MAG College Enrollment Forecast'!$G:$G+'MAG College Enrollment Forecast'!$H:$H), (AN$72-AN21)/($AI$72-$AI21)*($AI22-$AI21)+AN21),
          TRUE, IFERROR(_xlfn.XLOOKUP($AI22, 'USHE Projections'!$A:$A, IFERROR(_xlfn.XLOOKUP(AN$1, 'USHE Projections'!$A$1:$E$1, 'USHE Projections'!$A:$E), "NONE"), (AN$72-AN21)/($AI$72-$AI21)*($AI22-$AI21)+AN21), (AN$72-AN21)/($AI$72-$AI21)*($AI22-$AI21)+AN21)
        )
      )
    )
  ), 0)</f>
        <v>33841</v>
      </c>
      <c r="AO22" s="20" cm="1">
        <f t="array" ref="AO22">ROUND(
  IF(AND(AO$1="Ensign", $AI22&gt;=2021, $AI22&lt;=2024),
    _xlfn.XLOOKUP($AI22, Ensign!$A$2:$A$12, Ensign!$B$2:$B$12),
    _xlfn.XLOOKUP($AI22, 'Historic (IPEDS &amp; 2019 RTP)'!$A:$A, _xlfn.XLOOKUP(AO$1, 'Historic (IPEDS &amp; 2019 RTP)'!$A$1:$H$1, 'Historic (IPEDS &amp; 2019 RTP)'!$A:$H),
      IFERROR(_xlfn.XLOOKUP($AI22, 'USHE Historic'!$A$3:$A$13, _xlfn.XLOOKUP(AO$1, 'USHE Historic'!$A$2:$E$2, 'USHE Historic'!$A$3:$E$13)),
        _xlfn.IFS(
          AO$1="BYU", IFERROR(_xlfn.XLOOKUP($AI22, 'MAG College Enrollment Forecast'!$A:$A, 'MAG College Enrollment Forecast'!$B:$B), (AO$72-AO21)/($AI$72-$AI21)*($AI22-$AI21)+AO21),
          AO$1="UVU", IFERROR(_xlfn.XLOOKUP($AI22, 'MAG College Enrollment Forecast'!$A:$A, 'MAG College Enrollment Forecast'!$C:$C+'MAG College Enrollment Forecast'!$D:$D+'MAG College Enrollment Forecast'!$E:$E+'MAG College Enrollment Forecast'!$F:$F+'MAG College Enrollment Forecast'!$G:$G+'MAG College Enrollment Forecast'!$H:$H), (AO$72-AO21)/($AI$72-$AI21)*($AI22-$AI21)+AO21),
          TRUE, IFERROR(_xlfn.XLOOKUP($AI22, 'USHE Projections'!$A:$A, IFERROR(_xlfn.XLOOKUP(AO$1, 'USHE Projections'!$A$1:$E$1, 'USHE Projections'!$A:$E), "NONE"), (AO$72-AO21)/($AI$72-$AI21)*($AI22-$AI21)+AO21), (AO$72-AO21)/($AI$72-$AI21)*($AI22-$AI21)+AO21)
        )
      )
    )
  ), 0)</f>
        <v>1809</v>
      </c>
      <c r="AP22" s="20" cm="1">
        <f t="array" ref="AP22">ROUND(
  IF(AND(AP$1="Ensign", $AI22&gt;=2021, $AI22&lt;=2024),
    _xlfn.XLOOKUP($AI22, Ensign!$A$2:$A$12, Ensign!$B$2:$B$12),
    _xlfn.XLOOKUP($AI22, 'Historic (IPEDS &amp; 2019 RTP)'!$A:$A, _xlfn.XLOOKUP(AP$1, 'Historic (IPEDS &amp; 2019 RTP)'!$A$1:$H$1, 'Historic (IPEDS &amp; 2019 RTP)'!$A:$H),
      IFERROR(_xlfn.XLOOKUP($AI22, 'USHE Historic'!$A$3:$A$13, _xlfn.XLOOKUP(AP$1, 'USHE Historic'!$A$2:$E$2, 'USHE Historic'!$A$3:$E$13)),
        _xlfn.IFS(
          AP$1="BYU", IFERROR(_xlfn.XLOOKUP($AI22, 'MAG College Enrollment Forecast'!$A:$A, 'MAG College Enrollment Forecast'!$B:$B), (AP$72-AP21)/($AI$72-$AI21)*($AI22-$AI21)+AP21),
          AP$1="UVU", IFERROR(_xlfn.XLOOKUP($AI22, 'MAG College Enrollment Forecast'!$A:$A, 'MAG College Enrollment Forecast'!$C:$C+'MAG College Enrollment Forecast'!$D:$D+'MAG College Enrollment Forecast'!$E:$E+'MAG College Enrollment Forecast'!$F:$F+'MAG College Enrollment Forecast'!$G:$G+'MAG College Enrollment Forecast'!$H:$H), (AP$72-AP21)/($AI$72-$AI21)*($AI22-$AI21)+AP21),
          TRUE, IFERROR(_xlfn.XLOOKUP($AI22, 'USHE Projections'!$A:$A, IFERROR(_xlfn.XLOOKUP(AP$1, 'USHE Projections'!$A$1:$E$1, 'USHE Projections'!$A:$E), "NONE"), (AP$72-AP21)/($AI$72-$AI21)*($AI22-$AI21)+AP21), (AP$72-AP21)/($AI$72-$AI21)*($AI22-$AI21)+AP21)
        )
      )
    )
  ), 0)</f>
        <v>3163</v>
      </c>
      <c r="AQ22" s="7"/>
    </row>
    <row r="23" spans="1:43">
      <c r="C23" s="2" t="s">
        <v>101</v>
      </c>
      <c r="AI23" s="3">
        <v>2011</v>
      </c>
      <c r="AJ23" s="20" cm="1">
        <f t="array" ref="AJ23">ROUND(
  IF(AND(AJ$1="Ensign", $AI23&gt;=2021, $AI23&lt;=2024),
    _xlfn.XLOOKUP($AI23, Ensign!$A$2:$A$12, Ensign!$B$2:$B$12),
    _xlfn.XLOOKUP($AI23, 'Historic (IPEDS &amp; 2019 RTP)'!$A:$A, _xlfn.XLOOKUP(AJ$1, 'Historic (IPEDS &amp; 2019 RTP)'!$A$1:$H$1, 'Historic (IPEDS &amp; 2019 RTP)'!$A:$H),
      IFERROR(_xlfn.XLOOKUP($AI23, 'USHE Historic'!$A$3:$A$13, _xlfn.XLOOKUP(AJ$1, 'USHE Historic'!$A$2:$E$2, 'USHE Historic'!$A$3:$E$13)),
        _xlfn.IFS(
          AJ$1="BYU", IFERROR(_xlfn.XLOOKUP($AI23, 'MAG College Enrollment Forecast'!$A:$A, 'MAG College Enrollment Forecast'!$B:$B), (AJ$72-AJ22)/($AI$72-$AI22)*($AI23-$AI22)+AJ22),
          AJ$1="UVU", IFERROR(_xlfn.XLOOKUP($AI23, 'MAG College Enrollment Forecast'!$A:$A, 'MAG College Enrollment Forecast'!$C:$C+'MAG College Enrollment Forecast'!$D:$D+'MAG College Enrollment Forecast'!$E:$E+'MAG College Enrollment Forecast'!$F:$F+'MAG College Enrollment Forecast'!$G:$G+'MAG College Enrollment Forecast'!$H:$H), (AJ$72-AJ22)/($AI$72-$AI22)*($AI23-$AI22)+AJ22),
          TRUE, IFERROR(_xlfn.XLOOKUP($AI23, 'USHE Projections'!$A:$A, IFERROR(_xlfn.XLOOKUP(AJ$1, 'USHE Projections'!$A$1:$E$1, 'USHE Projections'!$A:$E), "NONE"), (AJ$72-AJ22)/($AI$72-$AI22)*($AI23-$AI22)+AJ22), (AJ$72-AJ22)/($AI$72-$AI22)*($AI23-$AI22)+AJ22)
        )
      )
    )
  ), 0)</f>
        <v>31660</v>
      </c>
      <c r="AK23" s="20" cm="1">
        <f t="array" ref="AK23">ROUND(
  IF(AND(AK$1="Ensign", $AI23&gt;=2021, $AI23&lt;=2024),
    _xlfn.XLOOKUP($AI23, Ensign!$A$2:$A$12, Ensign!$B$2:$B$12),
    _xlfn.XLOOKUP($AI23, 'Historic (IPEDS &amp; 2019 RTP)'!$A:$A, _xlfn.XLOOKUP(AK$1, 'Historic (IPEDS &amp; 2019 RTP)'!$A$1:$H$1, 'Historic (IPEDS &amp; 2019 RTP)'!$A:$H),
      IFERROR(_xlfn.XLOOKUP($AI23, 'USHE Historic'!$A$3:$A$13, _xlfn.XLOOKUP(AK$1, 'USHE Historic'!$A$2:$E$2, 'USHE Historic'!$A$3:$E$13)),
        _xlfn.IFS(
          AK$1="BYU", IFERROR(_xlfn.XLOOKUP($AI23, 'MAG College Enrollment Forecast'!$A:$A, 'MAG College Enrollment Forecast'!$B:$B), (AK$72-AK22)/($AI$72-$AI22)*($AI23-$AI22)+AK22),
          AK$1="UVU", IFERROR(_xlfn.XLOOKUP($AI23, 'MAG College Enrollment Forecast'!$A:$A, 'MAG College Enrollment Forecast'!$C:$C+'MAG College Enrollment Forecast'!$D:$D+'MAG College Enrollment Forecast'!$E:$E+'MAG College Enrollment Forecast'!$F:$F+'MAG College Enrollment Forecast'!$G:$G+'MAG College Enrollment Forecast'!$H:$H), (AK$72-AK22)/($AI$72-$AI22)*($AI23-$AI22)+AK22),
          TRUE, IFERROR(_xlfn.XLOOKUP($AI23, 'USHE Projections'!$A:$A, IFERROR(_xlfn.XLOOKUP(AK$1, 'USHE Projections'!$A$1:$E$1, 'USHE Projections'!$A:$E), "NONE"), (AK$72-AK22)/($AI$72-$AI22)*($AI23-$AI22)+AK22), (AK$72-AK22)/($AI$72-$AI22)*($AI23-$AI22)+AK22)
        )
      )
    )
  ), 0)</f>
        <v>25301</v>
      </c>
      <c r="AL23" s="20" cm="1">
        <f t="array" ref="AL23">ROUND(
  IF(AND(AL$1="Ensign", $AI23&gt;=2021, $AI23&lt;=2024),
    _xlfn.XLOOKUP($AI23, Ensign!$A$2:$A$12, Ensign!$B$2:$B$12),
    _xlfn.XLOOKUP($AI23, 'Historic (IPEDS &amp; 2019 RTP)'!$A:$A, _xlfn.XLOOKUP(AL$1, 'Historic (IPEDS &amp; 2019 RTP)'!$A$1:$H$1, 'Historic (IPEDS &amp; 2019 RTP)'!$A:$H),
      IFERROR(_xlfn.XLOOKUP($AI23, 'USHE Historic'!$A$3:$A$13, _xlfn.XLOOKUP(AL$1, 'USHE Historic'!$A$2:$E$2, 'USHE Historic'!$A$3:$E$13)),
        _xlfn.IFS(
          AL$1="BYU", IFERROR(_xlfn.XLOOKUP($AI23, 'MAG College Enrollment Forecast'!$A:$A, 'MAG College Enrollment Forecast'!$B:$B), (AL$72-AL22)/($AI$72-$AI22)*($AI23-$AI22)+AL22),
          AL$1="UVU", IFERROR(_xlfn.XLOOKUP($AI23, 'MAG College Enrollment Forecast'!$A:$A, 'MAG College Enrollment Forecast'!$C:$C+'MAG College Enrollment Forecast'!$D:$D+'MAG College Enrollment Forecast'!$E:$E+'MAG College Enrollment Forecast'!$F:$F+'MAG College Enrollment Forecast'!$G:$G+'MAG College Enrollment Forecast'!$H:$H), (AL$72-AL22)/($AI$72-$AI22)*($AI23-$AI22)+AL22),
          TRUE, IFERROR(_xlfn.XLOOKUP($AI23, 'USHE Projections'!$A:$A, IFERROR(_xlfn.XLOOKUP(AL$1, 'USHE Projections'!$A$1:$E$1, 'USHE Projections'!$A:$E), "NONE"), (AL$72-AL22)/($AI$72-$AI22)*($AI23-$AI22)+AL22), (AL$72-AL22)/($AI$72-$AI22)*($AI23-$AI22)+AL22)
        )
      )
    )
  ), 0)</f>
        <v>33395</v>
      </c>
      <c r="AM23" s="20" cm="1">
        <f t="array" ref="AM23">ROUND(
  IF(AND(AM$1="Ensign", $AI23&gt;=2021, $AI23&lt;=2024),
    _xlfn.XLOOKUP($AI23, Ensign!$A$2:$A$12, Ensign!$B$2:$B$12),
    _xlfn.XLOOKUP($AI23, 'Historic (IPEDS &amp; 2019 RTP)'!$A:$A, _xlfn.XLOOKUP(AM$1, 'Historic (IPEDS &amp; 2019 RTP)'!$A$1:$H$1, 'Historic (IPEDS &amp; 2019 RTP)'!$A:$H),
      IFERROR(_xlfn.XLOOKUP($AI23, 'USHE Historic'!$A$3:$A$13, _xlfn.XLOOKUP(AM$1, 'USHE Historic'!$A$2:$E$2, 'USHE Historic'!$A$3:$E$13)),
        _xlfn.IFS(
          AM$1="BYU", IFERROR(_xlfn.XLOOKUP($AI23, 'MAG College Enrollment Forecast'!$A:$A, 'MAG College Enrollment Forecast'!$B:$B), (AM$72-AM22)/($AI$72-$AI22)*($AI23-$AI22)+AM22),
          AM$1="UVU", IFERROR(_xlfn.XLOOKUP($AI23, 'MAG College Enrollment Forecast'!$A:$A, 'MAG College Enrollment Forecast'!$C:$C+'MAG College Enrollment Forecast'!$D:$D+'MAG College Enrollment Forecast'!$E:$E+'MAG College Enrollment Forecast'!$F:$F+'MAG College Enrollment Forecast'!$G:$G+'MAG College Enrollment Forecast'!$H:$H), (AM$72-AM22)/($AI$72-$AI22)*($AI23-$AI22)+AM22),
          TRUE, IFERROR(_xlfn.XLOOKUP($AI23, 'USHE Projections'!$A:$A, IFERROR(_xlfn.XLOOKUP(AM$1, 'USHE Projections'!$A$1:$E$1, 'USHE Projections'!$A:$E), "NONE"), (AM$72-AM22)/($AI$72-$AI22)*($AI23-$AI22)+AM22), (AM$72-AM22)/($AI$72-$AI22)*($AI23-$AI22)+AM22)
        )
      )
    )
  ), 0)</f>
        <v>33420</v>
      </c>
      <c r="AN23" s="20" cm="1">
        <f t="array" ref="AN23">ROUND(
  IF(AND(AN$1="Ensign", $AI23&gt;=2021, $AI23&lt;=2024),
    _xlfn.XLOOKUP($AI23, Ensign!$A$2:$A$12, Ensign!$B$2:$B$12),
    _xlfn.XLOOKUP($AI23, 'Historic (IPEDS &amp; 2019 RTP)'!$A:$A, _xlfn.XLOOKUP(AN$1, 'Historic (IPEDS &amp; 2019 RTP)'!$A$1:$H$1, 'Historic (IPEDS &amp; 2019 RTP)'!$A:$H),
      IFERROR(_xlfn.XLOOKUP($AI23, 'USHE Historic'!$A$3:$A$13, _xlfn.XLOOKUP(AN$1, 'USHE Historic'!$A$2:$E$2, 'USHE Historic'!$A$3:$E$13)),
        _xlfn.IFS(
          AN$1="BYU", IFERROR(_xlfn.XLOOKUP($AI23, 'MAG College Enrollment Forecast'!$A:$A, 'MAG College Enrollment Forecast'!$B:$B), (AN$72-AN22)/($AI$72-$AI22)*($AI23-$AI22)+AN22),
          AN$1="UVU", IFERROR(_xlfn.XLOOKUP($AI23, 'MAG College Enrollment Forecast'!$A:$A, 'MAG College Enrollment Forecast'!$C:$C+'MAG College Enrollment Forecast'!$D:$D+'MAG College Enrollment Forecast'!$E:$E+'MAG College Enrollment Forecast'!$F:$F+'MAG College Enrollment Forecast'!$G:$G+'MAG College Enrollment Forecast'!$H:$H), (AN$72-AN22)/($AI$72-$AI22)*($AI23-$AI22)+AN22),
          TRUE, IFERROR(_xlfn.XLOOKUP($AI23, 'USHE Projections'!$A:$A, IFERROR(_xlfn.XLOOKUP(AN$1, 'USHE Projections'!$A$1:$E$1, 'USHE Projections'!$A:$E), "NONE"), (AN$72-AN22)/($AI$72-$AI22)*($AI23-$AI22)+AN22), (AN$72-AN22)/($AI$72-$AI22)*($AI23-$AI22)+AN22)
        )
      )
    )
  ), 0)</f>
        <v>34101</v>
      </c>
      <c r="AO23" s="20" cm="1">
        <f t="array" ref="AO23">ROUND(
  IF(AND(AO$1="Ensign", $AI23&gt;=2021, $AI23&lt;=2024),
    _xlfn.XLOOKUP($AI23, Ensign!$A$2:$A$12, Ensign!$B$2:$B$12),
    _xlfn.XLOOKUP($AI23, 'Historic (IPEDS &amp; 2019 RTP)'!$A:$A, _xlfn.XLOOKUP(AO$1, 'Historic (IPEDS &amp; 2019 RTP)'!$A$1:$H$1, 'Historic (IPEDS &amp; 2019 RTP)'!$A:$H),
      IFERROR(_xlfn.XLOOKUP($AI23, 'USHE Historic'!$A$3:$A$13, _xlfn.XLOOKUP(AO$1, 'USHE Historic'!$A$2:$E$2, 'USHE Historic'!$A$3:$E$13)),
        _xlfn.IFS(
          AO$1="BYU", IFERROR(_xlfn.XLOOKUP($AI23, 'MAG College Enrollment Forecast'!$A:$A, 'MAG College Enrollment Forecast'!$B:$B), (AO$72-AO22)/($AI$72-$AI22)*($AI23-$AI22)+AO22),
          AO$1="UVU", IFERROR(_xlfn.XLOOKUP($AI23, 'MAG College Enrollment Forecast'!$A:$A, 'MAG College Enrollment Forecast'!$C:$C+'MAG College Enrollment Forecast'!$D:$D+'MAG College Enrollment Forecast'!$E:$E+'MAG College Enrollment Forecast'!$F:$F+'MAG College Enrollment Forecast'!$G:$G+'MAG College Enrollment Forecast'!$H:$H), (AO$72-AO22)/($AI$72-$AI22)*($AI23-$AI22)+AO22),
          TRUE, IFERROR(_xlfn.XLOOKUP($AI23, 'USHE Projections'!$A:$A, IFERROR(_xlfn.XLOOKUP(AO$1, 'USHE Projections'!$A$1:$E$1, 'USHE Projections'!$A:$E), "NONE"), (AO$72-AO22)/($AI$72-$AI22)*($AI23-$AI22)+AO22), (AO$72-AO22)/($AI$72-$AI22)*($AI23-$AI22)+AO22)
        )
      )
    )
  ), 0)</f>
        <v>1987</v>
      </c>
      <c r="AP23" s="20" cm="1">
        <f t="array" ref="AP23">ROUND(
  IF(AND(AP$1="Ensign", $AI23&gt;=2021, $AI23&lt;=2024),
    _xlfn.XLOOKUP($AI23, Ensign!$A$2:$A$12, Ensign!$B$2:$B$12),
    _xlfn.XLOOKUP($AI23, 'Historic (IPEDS &amp; 2019 RTP)'!$A:$A, _xlfn.XLOOKUP(AP$1, 'Historic (IPEDS &amp; 2019 RTP)'!$A$1:$H$1, 'Historic (IPEDS &amp; 2019 RTP)'!$A:$H),
      IFERROR(_xlfn.XLOOKUP($AI23, 'USHE Historic'!$A$3:$A$13, _xlfn.XLOOKUP(AP$1, 'USHE Historic'!$A$2:$E$2, 'USHE Historic'!$A$3:$E$13)),
        _xlfn.IFS(
          AP$1="BYU", IFERROR(_xlfn.XLOOKUP($AI23, 'MAG College Enrollment Forecast'!$A:$A, 'MAG College Enrollment Forecast'!$B:$B), (AP$72-AP22)/($AI$72-$AI22)*($AI23-$AI22)+AP22),
          AP$1="UVU", IFERROR(_xlfn.XLOOKUP($AI23, 'MAG College Enrollment Forecast'!$A:$A, 'MAG College Enrollment Forecast'!$C:$C+'MAG College Enrollment Forecast'!$D:$D+'MAG College Enrollment Forecast'!$E:$E+'MAG College Enrollment Forecast'!$F:$F+'MAG College Enrollment Forecast'!$G:$G+'MAG College Enrollment Forecast'!$H:$H), (AP$72-AP22)/($AI$72-$AI22)*($AI23-$AI22)+AP22),
          TRUE, IFERROR(_xlfn.XLOOKUP($AI23, 'USHE Projections'!$A:$A, IFERROR(_xlfn.XLOOKUP(AP$1, 'USHE Projections'!$A$1:$E$1, 'USHE Projections'!$A:$E), "NONE"), (AP$72-AP22)/($AI$72-$AI22)*($AI23-$AI22)+AP22), (AP$72-AP22)/($AI$72-$AI22)*($AI23-$AI22)+AP22)
        )
      )
    )
  ), 0)</f>
        <v>3358</v>
      </c>
      <c r="AQ23" s="7"/>
    </row>
    <row r="24" spans="1:43">
      <c r="AI24" s="3">
        <v>2012</v>
      </c>
      <c r="AJ24" s="20" cm="1">
        <f t="array" ref="AJ24">ROUND(
  IF(AND(AJ$1="Ensign", $AI24&gt;=2021, $AI24&lt;=2024),
    _xlfn.XLOOKUP($AI24, Ensign!$A$2:$A$12, Ensign!$B$2:$B$12),
    _xlfn.XLOOKUP($AI24, 'Historic (IPEDS &amp; 2019 RTP)'!$A:$A, _xlfn.XLOOKUP(AJ$1, 'Historic (IPEDS &amp; 2019 RTP)'!$A$1:$H$1, 'Historic (IPEDS &amp; 2019 RTP)'!$A:$H),
      IFERROR(_xlfn.XLOOKUP($AI24, 'USHE Historic'!$A$3:$A$13, _xlfn.XLOOKUP(AJ$1, 'USHE Historic'!$A$2:$E$2, 'USHE Historic'!$A$3:$E$13)),
        _xlfn.IFS(
          AJ$1="BYU", IFERROR(_xlfn.XLOOKUP($AI24, 'MAG College Enrollment Forecast'!$A:$A, 'MAG College Enrollment Forecast'!$B:$B), (AJ$72-AJ23)/($AI$72-$AI23)*($AI24-$AI23)+AJ23),
          AJ$1="UVU", IFERROR(_xlfn.XLOOKUP($AI24, 'MAG College Enrollment Forecast'!$A:$A, 'MAG College Enrollment Forecast'!$C:$C+'MAG College Enrollment Forecast'!$D:$D+'MAG College Enrollment Forecast'!$E:$E+'MAG College Enrollment Forecast'!$F:$F+'MAG College Enrollment Forecast'!$G:$G+'MAG College Enrollment Forecast'!$H:$H), (AJ$72-AJ23)/($AI$72-$AI23)*($AI24-$AI23)+AJ23),
          TRUE, IFERROR(_xlfn.XLOOKUP($AI24, 'USHE Projections'!$A:$A, IFERROR(_xlfn.XLOOKUP(AJ$1, 'USHE Projections'!$A$1:$E$1, 'USHE Projections'!$A:$E), "NONE"), (AJ$72-AJ23)/($AI$72-$AI23)*($AI24-$AI23)+AJ23), (AJ$72-AJ23)/($AI$72-$AI23)*($AI24-$AI23)+AJ23)
        )
      )
    )
  ), 0)</f>
        <v>32388</v>
      </c>
      <c r="AK24" s="20" cm="1">
        <f t="array" ref="AK24">ROUND(
  IF(AND(AK$1="Ensign", $AI24&gt;=2021, $AI24&lt;=2024),
    _xlfn.XLOOKUP($AI24, Ensign!$A$2:$A$12, Ensign!$B$2:$B$12),
    _xlfn.XLOOKUP($AI24, 'Historic (IPEDS &amp; 2019 RTP)'!$A:$A, _xlfn.XLOOKUP(AK$1, 'Historic (IPEDS &amp; 2019 RTP)'!$A$1:$H$1, 'Historic (IPEDS &amp; 2019 RTP)'!$A:$H),
      IFERROR(_xlfn.XLOOKUP($AI24, 'USHE Historic'!$A$3:$A$13, _xlfn.XLOOKUP(AK$1, 'USHE Historic'!$A$2:$E$2, 'USHE Historic'!$A$3:$E$13)),
        _xlfn.IFS(
          AK$1="BYU", IFERROR(_xlfn.XLOOKUP($AI24, 'MAG College Enrollment Forecast'!$A:$A, 'MAG College Enrollment Forecast'!$B:$B), (AK$72-AK23)/($AI$72-$AI23)*($AI24-$AI23)+AK23),
          AK$1="UVU", IFERROR(_xlfn.XLOOKUP($AI24, 'MAG College Enrollment Forecast'!$A:$A, 'MAG College Enrollment Forecast'!$C:$C+'MAG College Enrollment Forecast'!$D:$D+'MAG College Enrollment Forecast'!$E:$E+'MAG College Enrollment Forecast'!$F:$F+'MAG College Enrollment Forecast'!$G:$G+'MAG College Enrollment Forecast'!$H:$H), (AK$72-AK23)/($AI$72-$AI23)*($AI24-$AI23)+AK23),
          TRUE, IFERROR(_xlfn.XLOOKUP($AI24, 'USHE Projections'!$A:$A, IFERROR(_xlfn.XLOOKUP(AK$1, 'USHE Projections'!$A$1:$E$1, 'USHE Projections'!$A:$E), "NONE"), (AK$72-AK23)/($AI$72-$AI23)*($AI24-$AI23)+AK23), (AK$72-AK23)/($AI$72-$AI23)*($AI24-$AI23)+AK23)
        )
      )
    )
  ), 0)</f>
        <v>26532</v>
      </c>
      <c r="AL24" s="20" cm="1">
        <f t="array" ref="AL24">ROUND(
  IF(AND(AL$1="Ensign", $AI24&gt;=2021, $AI24&lt;=2024),
    _xlfn.XLOOKUP($AI24, Ensign!$A$2:$A$12, Ensign!$B$2:$B$12),
    _xlfn.XLOOKUP($AI24, 'Historic (IPEDS &amp; 2019 RTP)'!$A:$A, _xlfn.XLOOKUP(AL$1, 'Historic (IPEDS &amp; 2019 RTP)'!$A$1:$H$1, 'Historic (IPEDS &amp; 2019 RTP)'!$A:$H),
      IFERROR(_xlfn.XLOOKUP($AI24, 'USHE Historic'!$A$3:$A$13, _xlfn.XLOOKUP(AL$1, 'USHE Historic'!$A$2:$E$2, 'USHE Historic'!$A$3:$E$13)),
        _xlfn.IFS(
          AL$1="BYU", IFERROR(_xlfn.XLOOKUP($AI24, 'MAG College Enrollment Forecast'!$A:$A, 'MAG College Enrollment Forecast'!$B:$B), (AL$72-AL23)/($AI$72-$AI23)*($AI24-$AI23)+AL23),
          AL$1="UVU", IFERROR(_xlfn.XLOOKUP($AI24, 'MAG College Enrollment Forecast'!$A:$A, 'MAG College Enrollment Forecast'!$C:$C+'MAG College Enrollment Forecast'!$D:$D+'MAG College Enrollment Forecast'!$E:$E+'MAG College Enrollment Forecast'!$F:$F+'MAG College Enrollment Forecast'!$G:$G+'MAG College Enrollment Forecast'!$H:$H), (AL$72-AL23)/($AI$72-$AI23)*($AI24-$AI23)+AL23),
          TRUE, IFERROR(_xlfn.XLOOKUP($AI24, 'USHE Projections'!$A:$A, IFERROR(_xlfn.XLOOKUP(AL$1, 'USHE Projections'!$A$1:$E$1, 'USHE Projections'!$A:$E), "NONE"), (AL$72-AL23)/($AI$72-$AI23)*($AI24-$AI23)+AL23), (AL$72-AL23)/($AI$72-$AI23)*($AI24-$AI23)+AL23)
        )
      )
    )
  ), 0)</f>
        <v>31562</v>
      </c>
      <c r="AM24" s="20" cm="1">
        <f t="array" ref="AM24">ROUND(
  IF(AND(AM$1="Ensign", $AI24&gt;=2021, $AI24&lt;=2024),
    _xlfn.XLOOKUP($AI24, Ensign!$A$2:$A$12, Ensign!$B$2:$B$12),
    _xlfn.XLOOKUP($AI24, 'Historic (IPEDS &amp; 2019 RTP)'!$A:$A, _xlfn.XLOOKUP(AM$1, 'Historic (IPEDS &amp; 2019 RTP)'!$A$1:$H$1, 'Historic (IPEDS &amp; 2019 RTP)'!$A:$H),
      IFERROR(_xlfn.XLOOKUP($AI24, 'USHE Historic'!$A$3:$A$13, _xlfn.XLOOKUP(AM$1, 'USHE Historic'!$A$2:$E$2, 'USHE Historic'!$A$3:$E$13)),
        _xlfn.IFS(
          AM$1="BYU", IFERROR(_xlfn.XLOOKUP($AI24, 'MAG College Enrollment Forecast'!$A:$A, 'MAG College Enrollment Forecast'!$B:$B), (AM$72-AM23)/($AI$72-$AI23)*($AI24-$AI23)+AM23),
          AM$1="UVU", IFERROR(_xlfn.XLOOKUP($AI24, 'MAG College Enrollment Forecast'!$A:$A, 'MAG College Enrollment Forecast'!$C:$C+'MAG College Enrollment Forecast'!$D:$D+'MAG College Enrollment Forecast'!$E:$E+'MAG College Enrollment Forecast'!$F:$F+'MAG College Enrollment Forecast'!$G:$G+'MAG College Enrollment Forecast'!$H:$H), (AM$72-AM23)/($AI$72-$AI23)*($AI24-$AI23)+AM23),
          TRUE, IFERROR(_xlfn.XLOOKUP($AI24, 'USHE Projections'!$A:$A, IFERROR(_xlfn.XLOOKUP(AM$1, 'USHE Projections'!$A$1:$E$1, 'USHE Projections'!$A:$E), "NONE"), (AM$72-AM23)/($AI$72-$AI23)*($AI24-$AI23)+AM23), (AM$72-AM23)/($AI$72-$AI23)*($AI24-$AI23)+AM23)
        )
      )
    )
  ), 0)</f>
        <v>29997</v>
      </c>
      <c r="AN24" s="20" cm="1">
        <f t="array" ref="AN24">ROUND(
  IF(AND(AN$1="Ensign", $AI24&gt;=2021, $AI24&lt;=2024),
    _xlfn.XLOOKUP($AI24, Ensign!$A$2:$A$12, Ensign!$B$2:$B$12),
    _xlfn.XLOOKUP($AI24, 'Historic (IPEDS &amp; 2019 RTP)'!$A:$A, _xlfn.XLOOKUP(AN$1, 'Historic (IPEDS &amp; 2019 RTP)'!$A$1:$H$1, 'Historic (IPEDS &amp; 2019 RTP)'!$A:$H),
      IFERROR(_xlfn.XLOOKUP($AI24, 'USHE Historic'!$A$3:$A$13, _xlfn.XLOOKUP(AN$1, 'USHE Historic'!$A$2:$E$2, 'USHE Historic'!$A$3:$E$13)),
        _xlfn.IFS(
          AN$1="BYU", IFERROR(_xlfn.XLOOKUP($AI24, 'MAG College Enrollment Forecast'!$A:$A, 'MAG College Enrollment Forecast'!$B:$B), (AN$72-AN23)/($AI$72-$AI23)*($AI24-$AI23)+AN23),
          AN$1="UVU", IFERROR(_xlfn.XLOOKUP($AI24, 'MAG College Enrollment Forecast'!$A:$A, 'MAG College Enrollment Forecast'!$C:$C+'MAG College Enrollment Forecast'!$D:$D+'MAG College Enrollment Forecast'!$E:$E+'MAG College Enrollment Forecast'!$F:$F+'MAG College Enrollment Forecast'!$G:$G+'MAG College Enrollment Forecast'!$H:$H), (AN$72-AN23)/($AI$72-$AI23)*($AI24-$AI23)+AN23),
          TRUE, IFERROR(_xlfn.XLOOKUP($AI24, 'USHE Projections'!$A:$A, IFERROR(_xlfn.XLOOKUP(AN$1, 'USHE Projections'!$A$1:$E$1, 'USHE Projections'!$A:$E), "NONE"), (AN$72-AN23)/($AI$72-$AI23)*($AI24-$AI23)+AN23), (AN$72-AN23)/($AI$72-$AI23)*($AI24-$AI23)+AN23)
        )
      )
    )
  ), 0)</f>
        <v>34409</v>
      </c>
      <c r="AO24" s="20" cm="1">
        <f t="array" ref="AO24">ROUND(
  IF(AND(AO$1="Ensign", $AI24&gt;=2021, $AI24&lt;=2024),
    _xlfn.XLOOKUP($AI24, Ensign!$A$2:$A$12, Ensign!$B$2:$B$12),
    _xlfn.XLOOKUP($AI24, 'Historic (IPEDS &amp; 2019 RTP)'!$A:$A, _xlfn.XLOOKUP(AO$1, 'Historic (IPEDS &amp; 2019 RTP)'!$A$1:$H$1, 'Historic (IPEDS &amp; 2019 RTP)'!$A:$H),
      IFERROR(_xlfn.XLOOKUP($AI24, 'USHE Historic'!$A$3:$A$13, _xlfn.XLOOKUP(AO$1, 'USHE Historic'!$A$2:$E$2, 'USHE Historic'!$A$3:$E$13)),
        _xlfn.IFS(
          AO$1="BYU", IFERROR(_xlfn.XLOOKUP($AI24, 'MAG College Enrollment Forecast'!$A:$A, 'MAG College Enrollment Forecast'!$B:$B), (AO$72-AO23)/($AI$72-$AI23)*($AI24-$AI23)+AO23),
          AO$1="UVU", IFERROR(_xlfn.XLOOKUP($AI24, 'MAG College Enrollment Forecast'!$A:$A, 'MAG College Enrollment Forecast'!$C:$C+'MAG College Enrollment Forecast'!$D:$D+'MAG College Enrollment Forecast'!$E:$E+'MAG College Enrollment Forecast'!$F:$F+'MAG College Enrollment Forecast'!$G:$G+'MAG College Enrollment Forecast'!$H:$H), (AO$72-AO23)/($AI$72-$AI23)*($AI24-$AI23)+AO23),
          TRUE, IFERROR(_xlfn.XLOOKUP($AI24, 'USHE Projections'!$A:$A, IFERROR(_xlfn.XLOOKUP(AO$1, 'USHE Projections'!$A$1:$E$1, 'USHE Projections'!$A:$E), "NONE"), (AO$72-AO23)/($AI$72-$AI23)*($AI24-$AI23)+AO23), (AO$72-AO23)/($AI$72-$AI23)*($AI24-$AI23)+AO23)
        )
      )
    )
  ), 0)</f>
        <v>2191</v>
      </c>
      <c r="AP24" s="20" cm="1">
        <f t="array" ref="AP24">ROUND(
  IF(AND(AP$1="Ensign", $AI24&gt;=2021, $AI24&lt;=2024),
    _xlfn.XLOOKUP($AI24, Ensign!$A$2:$A$12, Ensign!$B$2:$B$12),
    _xlfn.XLOOKUP($AI24, 'Historic (IPEDS &amp; 2019 RTP)'!$A:$A, _xlfn.XLOOKUP(AP$1, 'Historic (IPEDS &amp; 2019 RTP)'!$A$1:$H$1, 'Historic (IPEDS &amp; 2019 RTP)'!$A:$H),
      IFERROR(_xlfn.XLOOKUP($AI24, 'USHE Historic'!$A$3:$A$13, _xlfn.XLOOKUP(AP$1, 'USHE Historic'!$A$2:$E$2, 'USHE Historic'!$A$3:$E$13)),
        _xlfn.IFS(
          AP$1="BYU", IFERROR(_xlfn.XLOOKUP($AI24, 'MAG College Enrollment Forecast'!$A:$A, 'MAG College Enrollment Forecast'!$B:$B), (AP$72-AP23)/($AI$72-$AI23)*($AI24-$AI23)+AP23),
          AP$1="UVU", IFERROR(_xlfn.XLOOKUP($AI24, 'MAG College Enrollment Forecast'!$A:$A, 'MAG College Enrollment Forecast'!$C:$C+'MAG College Enrollment Forecast'!$D:$D+'MAG College Enrollment Forecast'!$E:$E+'MAG College Enrollment Forecast'!$F:$F+'MAG College Enrollment Forecast'!$G:$G+'MAG College Enrollment Forecast'!$H:$H), (AP$72-AP23)/($AI$72-$AI23)*($AI24-$AI23)+AP23),
          TRUE, IFERROR(_xlfn.XLOOKUP($AI24, 'USHE Projections'!$A:$A, IFERROR(_xlfn.XLOOKUP(AP$1, 'USHE Projections'!$A$1:$E$1, 'USHE Projections'!$A:$E), "NONE"), (AP$72-AP23)/($AI$72-$AI23)*($AI24-$AI23)+AP23), (AP$72-AP23)/($AI$72-$AI23)*($AI24-$AI23)+AP23)
        )
      )
    )
  ), 0)</f>
        <v>3301</v>
      </c>
      <c r="AQ24" s="7"/>
    </row>
    <row r="25" spans="1:43">
      <c r="AI25" s="3">
        <v>2013</v>
      </c>
      <c r="AJ25" s="20" cm="1">
        <f t="array" ref="AJ25">ROUND(
  IF(AND(AJ$1="Ensign", $AI25&gt;=2021, $AI25&lt;=2024),
    _xlfn.XLOOKUP($AI25, Ensign!$A$2:$A$12, Ensign!$B$2:$B$12),
    _xlfn.XLOOKUP($AI25, 'Historic (IPEDS &amp; 2019 RTP)'!$A:$A, _xlfn.XLOOKUP(AJ$1, 'Historic (IPEDS &amp; 2019 RTP)'!$A$1:$H$1, 'Historic (IPEDS &amp; 2019 RTP)'!$A:$H),
      IFERROR(_xlfn.XLOOKUP($AI25, 'USHE Historic'!$A$3:$A$13, _xlfn.XLOOKUP(AJ$1, 'USHE Historic'!$A$2:$E$2, 'USHE Historic'!$A$3:$E$13)),
        _xlfn.IFS(
          AJ$1="BYU", IFERROR(_xlfn.XLOOKUP($AI25, 'MAG College Enrollment Forecast'!$A:$A, 'MAG College Enrollment Forecast'!$B:$B), (AJ$72-AJ24)/($AI$72-$AI24)*($AI25-$AI24)+AJ24),
          AJ$1="UVU", IFERROR(_xlfn.XLOOKUP($AI25, 'MAG College Enrollment Forecast'!$A:$A, 'MAG College Enrollment Forecast'!$C:$C+'MAG College Enrollment Forecast'!$D:$D+'MAG College Enrollment Forecast'!$E:$E+'MAG College Enrollment Forecast'!$F:$F+'MAG College Enrollment Forecast'!$G:$G+'MAG College Enrollment Forecast'!$H:$H), (AJ$72-AJ24)/($AI$72-$AI24)*($AI25-$AI24)+AJ24),
          TRUE, IFERROR(_xlfn.XLOOKUP($AI25, 'USHE Projections'!$A:$A, IFERROR(_xlfn.XLOOKUP(AJ$1, 'USHE Projections'!$A$1:$E$1, 'USHE Projections'!$A:$E), "NONE"), (AJ$72-AJ24)/($AI$72-$AI24)*($AI25-$AI24)+AJ24), (AJ$72-AJ24)/($AI$72-$AI24)*($AI25-$AI24)+AJ24)
        )
      )
    )
  ), 0)</f>
        <v>32077</v>
      </c>
      <c r="AK25" s="20" cm="1">
        <f t="array" ref="AK25">ROUND(
  IF(AND(AK$1="Ensign", $AI25&gt;=2021, $AI25&lt;=2024),
    _xlfn.XLOOKUP($AI25, Ensign!$A$2:$A$12, Ensign!$B$2:$B$12),
    _xlfn.XLOOKUP($AI25, 'Historic (IPEDS &amp; 2019 RTP)'!$A:$A, _xlfn.XLOOKUP(AK$1, 'Historic (IPEDS &amp; 2019 RTP)'!$A$1:$H$1, 'Historic (IPEDS &amp; 2019 RTP)'!$A:$H),
      IFERROR(_xlfn.XLOOKUP($AI25, 'USHE Historic'!$A$3:$A$13, _xlfn.XLOOKUP(AK$1, 'USHE Historic'!$A$2:$E$2, 'USHE Historic'!$A$3:$E$13)),
        _xlfn.IFS(
          AK$1="BYU", IFERROR(_xlfn.XLOOKUP($AI25, 'MAG College Enrollment Forecast'!$A:$A, 'MAG College Enrollment Forecast'!$B:$B), (AK$72-AK24)/($AI$72-$AI24)*($AI25-$AI24)+AK24),
          AK$1="UVU", IFERROR(_xlfn.XLOOKUP($AI25, 'MAG College Enrollment Forecast'!$A:$A, 'MAG College Enrollment Forecast'!$C:$C+'MAG College Enrollment Forecast'!$D:$D+'MAG College Enrollment Forecast'!$E:$E+'MAG College Enrollment Forecast'!$F:$F+'MAG College Enrollment Forecast'!$G:$G+'MAG College Enrollment Forecast'!$H:$H), (AK$72-AK24)/($AI$72-$AI24)*($AI25-$AI24)+AK24),
          TRUE, IFERROR(_xlfn.XLOOKUP($AI25, 'USHE Projections'!$A:$A, IFERROR(_xlfn.XLOOKUP(AK$1, 'USHE Projections'!$A$1:$E$1, 'USHE Projections'!$A:$E), "NONE"), (AK$72-AK24)/($AI$72-$AI24)*($AI25-$AI24)+AK24), (AK$72-AK24)/($AI$72-$AI24)*($AI25-$AI24)+AK24)
        )
      )
    )
  ), 0)</f>
        <v>25155</v>
      </c>
      <c r="AL25" s="20" cm="1">
        <f t="array" ref="AL25">ROUND(
  IF(AND(AL$1="Ensign", $AI25&gt;=2021, $AI25&lt;=2024),
    _xlfn.XLOOKUP($AI25, Ensign!$A$2:$A$12, Ensign!$B$2:$B$12),
    _xlfn.XLOOKUP($AI25, 'Historic (IPEDS &amp; 2019 RTP)'!$A:$A, _xlfn.XLOOKUP(AL$1, 'Historic (IPEDS &amp; 2019 RTP)'!$A$1:$H$1, 'Historic (IPEDS &amp; 2019 RTP)'!$A:$H),
      IFERROR(_xlfn.XLOOKUP($AI25, 'USHE Historic'!$A$3:$A$13, _xlfn.XLOOKUP(AL$1, 'USHE Historic'!$A$2:$E$2, 'USHE Historic'!$A$3:$E$13)),
        _xlfn.IFS(
          AL$1="BYU", IFERROR(_xlfn.XLOOKUP($AI25, 'MAG College Enrollment Forecast'!$A:$A, 'MAG College Enrollment Forecast'!$B:$B), (AL$72-AL24)/($AI$72-$AI24)*($AI25-$AI24)+AL24),
          AL$1="UVU", IFERROR(_xlfn.XLOOKUP($AI25, 'MAG College Enrollment Forecast'!$A:$A, 'MAG College Enrollment Forecast'!$C:$C+'MAG College Enrollment Forecast'!$D:$D+'MAG College Enrollment Forecast'!$E:$E+'MAG College Enrollment Forecast'!$F:$F+'MAG College Enrollment Forecast'!$G:$G+'MAG College Enrollment Forecast'!$H:$H), (AL$72-AL24)/($AI$72-$AI24)*($AI25-$AI24)+AL24),
          TRUE, IFERROR(_xlfn.XLOOKUP($AI25, 'USHE Projections'!$A:$A, IFERROR(_xlfn.XLOOKUP(AL$1, 'USHE Projections'!$A$1:$E$1, 'USHE Projections'!$A:$E), "NONE"), (AL$72-AL24)/($AI$72-$AI24)*($AI25-$AI24)+AL24), (AL$72-AL24)/($AI$72-$AI24)*($AI25-$AI24)+AL24)
        )
      )
    )
  ), 0)</f>
        <v>30564</v>
      </c>
      <c r="AM25" s="20" cm="1">
        <f t="array" ref="AM25">ROUND(
  IF(AND(AM$1="Ensign", $AI25&gt;=2021, $AI25&lt;=2024),
    _xlfn.XLOOKUP($AI25, Ensign!$A$2:$A$12, Ensign!$B$2:$B$12),
    _xlfn.XLOOKUP($AI25, 'Historic (IPEDS &amp; 2019 RTP)'!$A:$A, _xlfn.XLOOKUP(AM$1, 'Historic (IPEDS &amp; 2019 RTP)'!$A$1:$H$1, 'Historic (IPEDS &amp; 2019 RTP)'!$A:$H),
      IFERROR(_xlfn.XLOOKUP($AI25, 'USHE Historic'!$A$3:$A$13, _xlfn.XLOOKUP(AM$1, 'USHE Historic'!$A$2:$E$2, 'USHE Historic'!$A$3:$E$13)),
        _xlfn.IFS(
          AM$1="BYU", IFERROR(_xlfn.XLOOKUP($AI25, 'MAG College Enrollment Forecast'!$A:$A, 'MAG College Enrollment Forecast'!$B:$B), (AM$72-AM24)/($AI$72-$AI24)*($AI25-$AI24)+AM24),
          AM$1="UVU", IFERROR(_xlfn.XLOOKUP($AI25, 'MAG College Enrollment Forecast'!$A:$A, 'MAG College Enrollment Forecast'!$C:$C+'MAG College Enrollment Forecast'!$D:$D+'MAG College Enrollment Forecast'!$E:$E+'MAG College Enrollment Forecast'!$F:$F+'MAG College Enrollment Forecast'!$G:$G+'MAG College Enrollment Forecast'!$H:$H), (AM$72-AM24)/($AI$72-$AI24)*($AI25-$AI24)+AM24),
          TRUE, IFERROR(_xlfn.XLOOKUP($AI25, 'USHE Projections'!$A:$A, IFERROR(_xlfn.XLOOKUP(AM$1, 'USHE Projections'!$A$1:$E$1, 'USHE Projections'!$A:$E), "NONE"), (AM$72-AM24)/($AI$72-$AI24)*($AI25-$AI24)+AM24), (AM$72-AM24)/($AI$72-$AI24)*($AI25-$AI24)+AM24)
        )
      )
    )
  ), 0)</f>
        <v>32003</v>
      </c>
      <c r="AN25" s="20" cm="1">
        <f t="array" ref="AN25">ROUND(
  IF(AND(AN$1="Ensign", $AI25&gt;=2021, $AI25&lt;=2024),
    _xlfn.XLOOKUP($AI25, Ensign!$A$2:$A$12, Ensign!$B$2:$B$12),
    _xlfn.XLOOKUP($AI25, 'Historic (IPEDS &amp; 2019 RTP)'!$A:$A, _xlfn.XLOOKUP(AN$1, 'Historic (IPEDS &amp; 2019 RTP)'!$A$1:$H$1, 'Historic (IPEDS &amp; 2019 RTP)'!$A:$H),
      IFERROR(_xlfn.XLOOKUP($AI25, 'USHE Historic'!$A$3:$A$13, _xlfn.XLOOKUP(AN$1, 'USHE Historic'!$A$2:$E$2, 'USHE Historic'!$A$3:$E$13)),
        _xlfn.IFS(
          AN$1="BYU", IFERROR(_xlfn.XLOOKUP($AI25, 'MAG College Enrollment Forecast'!$A:$A, 'MAG College Enrollment Forecast'!$B:$B), (AN$72-AN24)/($AI$72-$AI24)*($AI25-$AI24)+AN24),
          AN$1="UVU", IFERROR(_xlfn.XLOOKUP($AI25, 'MAG College Enrollment Forecast'!$A:$A, 'MAG College Enrollment Forecast'!$C:$C+'MAG College Enrollment Forecast'!$D:$D+'MAG College Enrollment Forecast'!$E:$E+'MAG College Enrollment Forecast'!$F:$F+'MAG College Enrollment Forecast'!$G:$G+'MAG College Enrollment Forecast'!$H:$H), (AN$72-AN24)/($AI$72-$AI24)*($AI25-$AI24)+AN24),
          TRUE, IFERROR(_xlfn.XLOOKUP($AI25, 'USHE Projections'!$A:$A, IFERROR(_xlfn.XLOOKUP(AN$1, 'USHE Projections'!$A$1:$E$1, 'USHE Projections'!$A:$E), "NONE"), (AN$72-AN24)/($AI$72-$AI24)*($AI25-$AI24)+AN24), (AN$72-AN24)/($AI$72-$AI24)*($AI25-$AI24)+AN24)
        )
      )
    )
  ), 0)</f>
        <v>31123</v>
      </c>
      <c r="AO25" s="20" cm="1">
        <f t="array" ref="AO25">ROUND(
  IF(AND(AO$1="Ensign", $AI25&gt;=2021, $AI25&lt;=2024),
    _xlfn.XLOOKUP($AI25, Ensign!$A$2:$A$12, Ensign!$B$2:$B$12),
    _xlfn.XLOOKUP($AI25, 'Historic (IPEDS &amp; 2019 RTP)'!$A:$A, _xlfn.XLOOKUP(AO$1, 'Historic (IPEDS &amp; 2019 RTP)'!$A$1:$H$1, 'Historic (IPEDS &amp; 2019 RTP)'!$A:$H),
      IFERROR(_xlfn.XLOOKUP($AI25, 'USHE Historic'!$A$3:$A$13, _xlfn.XLOOKUP(AO$1, 'USHE Historic'!$A$2:$E$2, 'USHE Historic'!$A$3:$E$13)),
        _xlfn.IFS(
          AO$1="BYU", IFERROR(_xlfn.XLOOKUP($AI25, 'MAG College Enrollment Forecast'!$A:$A, 'MAG College Enrollment Forecast'!$B:$B), (AO$72-AO24)/($AI$72-$AI24)*($AI25-$AI24)+AO24),
          AO$1="UVU", IFERROR(_xlfn.XLOOKUP($AI25, 'MAG College Enrollment Forecast'!$A:$A, 'MAG College Enrollment Forecast'!$C:$C+'MAG College Enrollment Forecast'!$D:$D+'MAG College Enrollment Forecast'!$E:$E+'MAG College Enrollment Forecast'!$F:$F+'MAG College Enrollment Forecast'!$G:$G+'MAG College Enrollment Forecast'!$H:$H), (AO$72-AO24)/($AI$72-$AI24)*($AI25-$AI24)+AO24),
          TRUE, IFERROR(_xlfn.XLOOKUP($AI25, 'USHE Projections'!$A:$A, IFERROR(_xlfn.XLOOKUP(AO$1, 'USHE Projections'!$A$1:$E$1, 'USHE Projections'!$A:$E), "NONE"), (AO$72-AO24)/($AI$72-$AI24)*($AI25-$AI24)+AO24), (AO$72-AO24)/($AI$72-$AI24)*($AI25-$AI24)+AO24)
        )
      )
    )
  ), 0)</f>
        <v>2036</v>
      </c>
      <c r="AP25" s="20" cm="1">
        <f t="array" ref="AP25">ROUND(
  IF(AND(AP$1="Ensign", $AI25&gt;=2021, $AI25&lt;=2024),
    _xlfn.XLOOKUP($AI25, Ensign!$A$2:$A$12, Ensign!$B$2:$B$12),
    _xlfn.XLOOKUP($AI25, 'Historic (IPEDS &amp; 2019 RTP)'!$A:$A, _xlfn.XLOOKUP(AP$1, 'Historic (IPEDS &amp; 2019 RTP)'!$A$1:$H$1, 'Historic (IPEDS &amp; 2019 RTP)'!$A:$H),
      IFERROR(_xlfn.XLOOKUP($AI25, 'USHE Historic'!$A$3:$A$13, _xlfn.XLOOKUP(AP$1, 'USHE Historic'!$A$2:$E$2, 'USHE Historic'!$A$3:$E$13)),
        _xlfn.IFS(
          AP$1="BYU", IFERROR(_xlfn.XLOOKUP($AI25, 'MAG College Enrollment Forecast'!$A:$A, 'MAG College Enrollment Forecast'!$B:$B), (AP$72-AP24)/($AI$72-$AI24)*($AI25-$AI24)+AP24),
          AP$1="UVU", IFERROR(_xlfn.XLOOKUP($AI25, 'MAG College Enrollment Forecast'!$A:$A, 'MAG College Enrollment Forecast'!$C:$C+'MAG College Enrollment Forecast'!$D:$D+'MAG College Enrollment Forecast'!$E:$E+'MAG College Enrollment Forecast'!$F:$F+'MAG College Enrollment Forecast'!$G:$G+'MAG College Enrollment Forecast'!$H:$H), (AP$72-AP24)/($AI$72-$AI24)*($AI25-$AI24)+AP24),
          TRUE, IFERROR(_xlfn.XLOOKUP($AI25, 'USHE Projections'!$A:$A, IFERROR(_xlfn.XLOOKUP(AP$1, 'USHE Projections'!$A$1:$E$1, 'USHE Projections'!$A:$E), "NONE"), (AP$72-AP24)/($AI$72-$AI24)*($AI25-$AI24)+AP24), (AP$72-AP24)/($AI$72-$AI24)*($AI25-$AI24)+AP24)
        )
      )
    )
  ), 0)</f>
        <v>3108</v>
      </c>
      <c r="AQ25" s="7"/>
    </row>
    <row r="26" spans="1:43">
      <c r="AI26" s="3">
        <v>2014</v>
      </c>
      <c r="AJ26" s="20" cm="1">
        <f t="array" ref="AJ26">ROUND(
  IF(AND(AJ$1="Ensign", $AI26&gt;=2021, $AI26&lt;=2024),
    _xlfn.XLOOKUP($AI26, Ensign!$A$2:$A$12, Ensign!$B$2:$B$12),
    _xlfn.XLOOKUP($AI26, 'Historic (IPEDS &amp; 2019 RTP)'!$A:$A, _xlfn.XLOOKUP(AJ$1, 'Historic (IPEDS &amp; 2019 RTP)'!$A$1:$H$1, 'Historic (IPEDS &amp; 2019 RTP)'!$A:$H),
      IFERROR(_xlfn.XLOOKUP($AI26, 'USHE Historic'!$A$3:$A$13, _xlfn.XLOOKUP(AJ$1, 'USHE Historic'!$A$2:$E$2, 'USHE Historic'!$A$3:$E$13)),
        _xlfn.IFS(
          AJ$1="BYU", IFERROR(_xlfn.XLOOKUP($AI26, 'MAG College Enrollment Forecast'!$A:$A, 'MAG College Enrollment Forecast'!$B:$B), (AJ$72-AJ25)/($AI$72-$AI25)*($AI26-$AI25)+AJ25),
          AJ$1="UVU", IFERROR(_xlfn.XLOOKUP($AI26, 'MAG College Enrollment Forecast'!$A:$A, 'MAG College Enrollment Forecast'!$C:$C+'MAG College Enrollment Forecast'!$D:$D+'MAG College Enrollment Forecast'!$E:$E+'MAG College Enrollment Forecast'!$F:$F+'MAG College Enrollment Forecast'!$G:$G+'MAG College Enrollment Forecast'!$H:$H), (AJ$72-AJ25)/($AI$72-$AI25)*($AI26-$AI25)+AJ25),
          TRUE, IFERROR(_xlfn.XLOOKUP($AI26, 'USHE Projections'!$A:$A, IFERROR(_xlfn.XLOOKUP(AJ$1, 'USHE Projections'!$A$1:$E$1, 'USHE Projections'!$A:$E), "NONE"), (AJ$72-AJ25)/($AI$72-$AI25)*($AI26-$AI25)+AJ25), (AJ$72-AJ25)/($AI$72-$AI25)*($AI26-$AI25)+AJ25)
        )
      )
    )
  ), 0)</f>
        <v>31515</v>
      </c>
      <c r="AK26" s="20" cm="1">
        <f t="array" ref="AK26">ROUND(
  IF(AND(AK$1="Ensign", $AI26&gt;=2021, $AI26&lt;=2024),
    _xlfn.XLOOKUP($AI26, Ensign!$A$2:$A$12, Ensign!$B$2:$B$12),
    _xlfn.XLOOKUP($AI26, 'Historic (IPEDS &amp; 2019 RTP)'!$A:$A, _xlfn.XLOOKUP(AK$1, 'Historic (IPEDS &amp; 2019 RTP)'!$A$1:$H$1, 'Historic (IPEDS &amp; 2019 RTP)'!$A:$H),
      IFERROR(_xlfn.XLOOKUP($AI26, 'USHE Historic'!$A$3:$A$13, _xlfn.XLOOKUP(AK$1, 'USHE Historic'!$A$2:$E$2, 'USHE Historic'!$A$3:$E$13)),
        _xlfn.IFS(
          AK$1="BYU", IFERROR(_xlfn.XLOOKUP($AI26, 'MAG College Enrollment Forecast'!$A:$A, 'MAG College Enrollment Forecast'!$B:$B), (AK$72-AK25)/($AI$72-$AI25)*($AI26-$AI25)+AK25),
          AK$1="UVU", IFERROR(_xlfn.XLOOKUP($AI26, 'MAG College Enrollment Forecast'!$A:$A, 'MAG College Enrollment Forecast'!$C:$C+'MAG College Enrollment Forecast'!$D:$D+'MAG College Enrollment Forecast'!$E:$E+'MAG College Enrollment Forecast'!$F:$F+'MAG College Enrollment Forecast'!$G:$G+'MAG College Enrollment Forecast'!$H:$H), (AK$72-AK25)/($AI$72-$AI25)*($AI26-$AI25)+AK25),
          TRUE, IFERROR(_xlfn.XLOOKUP($AI26, 'USHE Projections'!$A:$A, IFERROR(_xlfn.XLOOKUP(AK$1, 'USHE Projections'!$A$1:$E$1, 'USHE Projections'!$A:$E), "NONE"), (AK$72-AK25)/($AI$72-$AI25)*($AI26-$AI25)+AK25), (AK$72-AK25)/($AI$72-$AI25)*($AI26-$AI25)+AK25)
        )
      )
    )
  ), 0)</f>
        <v>25954</v>
      </c>
      <c r="AL26" s="20" cm="1">
        <f t="array" ref="AL26">ROUND(
  IF(AND(AL$1="Ensign", $AI26&gt;=2021, $AI26&lt;=2024),
    _xlfn.XLOOKUP($AI26, Ensign!$A$2:$A$12, Ensign!$B$2:$B$12),
    _xlfn.XLOOKUP($AI26, 'Historic (IPEDS &amp; 2019 RTP)'!$A:$A, _xlfn.XLOOKUP(AL$1, 'Historic (IPEDS &amp; 2019 RTP)'!$A$1:$H$1, 'Historic (IPEDS &amp; 2019 RTP)'!$A:$H),
      IFERROR(_xlfn.XLOOKUP($AI26, 'USHE Historic'!$A$3:$A$13, _xlfn.XLOOKUP(AL$1, 'USHE Historic'!$A$2:$E$2, 'USHE Historic'!$A$3:$E$13)),
        _xlfn.IFS(
          AL$1="BYU", IFERROR(_xlfn.XLOOKUP($AI26, 'MAG College Enrollment Forecast'!$A:$A, 'MAG College Enrollment Forecast'!$B:$B), (AL$72-AL25)/($AI$72-$AI25)*($AI26-$AI25)+AL25),
          AL$1="UVU", IFERROR(_xlfn.XLOOKUP($AI26, 'MAG College Enrollment Forecast'!$A:$A, 'MAG College Enrollment Forecast'!$C:$C+'MAG College Enrollment Forecast'!$D:$D+'MAG College Enrollment Forecast'!$E:$E+'MAG College Enrollment Forecast'!$F:$F+'MAG College Enrollment Forecast'!$G:$G+'MAG College Enrollment Forecast'!$H:$H), (AL$72-AL25)/($AI$72-$AI25)*($AI26-$AI25)+AL25),
          TRUE, IFERROR(_xlfn.XLOOKUP($AI26, 'USHE Projections'!$A:$A, IFERROR(_xlfn.XLOOKUP(AL$1, 'USHE Projections'!$A$1:$E$1, 'USHE Projections'!$A:$E), "NONE"), (AL$72-AL25)/($AI$72-$AI25)*($AI26-$AI25)+AL25), (AL$72-AL25)/($AI$72-$AI25)*($AI26-$AI25)+AL25)
        )
      )
    )
  ), 0)</f>
        <v>31332</v>
      </c>
      <c r="AM26" s="20" cm="1">
        <f t="array" ref="AM26">ROUND(
  IF(AND(AM$1="Ensign", $AI26&gt;=2021, $AI26&lt;=2024),
    _xlfn.XLOOKUP($AI26, Ensign!$A$2:$A$12, Ensign!$B$2:$B$12),
    _xlfn.XLOOKUP($AI26, 'Historic (IPEDS &amp; 2019 RTP)'!$A:$A, _xlfn.XLOOKUP(AM$1, 'Historic (IPEDS &amp; 2019 RTP)'!$A$1:$H$1, 'Historic (IPEDS &amp; 2019 RTP)'!$A:$H),
      IFERROR(_xlfn.XLOOKUP($AI26, 'USHE Historic'!$A$3:$A$13, _xlfn.XLOOKUP(AM$1, 'USHE Historic'!$A$2:$E$2, 'USHE Historic'!$A$3:$E$13)),
        _xlfn.IFS(
          AM$1="BYU", IFERROR(_xlfn.XLOOKUP($AI26, 'MAG College Enrollment Forecast'!$A:$A, 'MAG College Enrollment Forecast'!$B:$B), (AM$72-AM25)/($AI$72-$AI25)*($AI26-$AI25)+AM25),
          AM$1="UVU", IFERROR(_xlfn.XLOOKUP($AI26, 'MAG College Enrollment Forecast'!$A:$A, 'MAG College Enrollment Forecast'!$C:$C+'MAG College Enrollment Forecast'!$D:$D+'MAG College Enrollment Forecast'!$E:$E+'MAG College Enrollment Forecast'!$F:$F+'MAG College Enrollment Forecast'!$G:$G+'MAG College Enrollment Forecast'!$H:$H), (AM$72-AM25)/($AI$72-$AI25)*($AI26-$AI25)+AM25),
          TRUE, IFERROR(_xlfn.XLOOKUP($AI26, 'USHE Projections'!$A:$A, IFERROR(_xlfn.XLOOKUP(AM$1, 'USHE Projections'!$A$1:$E$1, 'USHE Projections'!$A:$E), "NONE"), (AM$72-AM25)/($AI$72-$AI25)*($AI26-$AI25)+AM25), (AM$72-AM25)/($AI$72-$AI25)*($AI26-$AI25)+AM25)
        )
      )
    )
  ), 0)</f>
        <v>30248</v>
      </c>
      <c r="AN26" s="20" cm="1">
        <f t="array" ref="AN26">ROUND(
  IF(AND(AN$1="Ensign", $AI26&gt;=2021, $AI26&lt;=2024),
    _xlfn.XLOOKUP($AI26, Ensign!$A$2:$A$12, Ensign!$B$2:$B$12),
    _xlfn.XLOOKUP($AI26, 'Historic (IPEDS &amp; 2019 RTP)'!$A:$A, _xlfn.XLOOKUP(AN$1, 'Historic (IPEDS &amp; 2019 RTP)'!$A$1:$H$1, 'Historic (IPEDS &amp; 2019 RTP)'!$A:$H),
      IFERROR(_xlfn.XLOOKUP($AI26, 'USHE Historic'!$A$3:$A$13, _xlfn.XLOOKUP(AN$1, 'USHE Historic'!$A$2:$E$2, 'USHE Historic'!$A$3:$E$13)),
        _xlfn.IFS(
          AN$1="BYU", IFERROR(_xlfn.XLOOKUP($AI26, 'MAG College Enrollment Forecast'!$A:$A, 'MAG College Enrollment Forecast'!$B:$B), (AN$72-AN25)/($AI$72-$AI25)*($AI26-$AI25)+AN25),
          AN$1="UVU", IFERROR(_xlfn.XLOOKUP($AI26, 'MAG College Enrollment Forecast'!$A:$A, 'MAG College Enrollment Forecast'!$C:$C+'MAG College Enrollment Forecast'!$D:$D+'MAG College Enrollment Forecast'!$E:$E+'MAG College Enrollment Forecast'!$F:$F+'MAG College Enrollment Forecast'!$G:$G+'MAG College Enrollment Forecast'!$H:$H), (AN$72-AN25)/($AI$72-$AI25)*($AI26-$AI25)+AN25),
          TRUE, IFERROR(_xlfn.XLOOKUP($AI26, 'USHE Projections'!$A:$A, IFERROR(_xlfn.XLOOKUP(AN$1, 'USHE Projections'!$A$1:$E$1, 'USHE Projections'!$A:$E), "NONE"), (AN$72-AN25)/($AI$72-$AI25)*($AI26-$AI25)+AN25), (AN$72-AN25)/($AI$72-$AI25)*($AI26-$AI25)+AN25)
        )
      )
    )
  ), 0)</f>
        <v>30484</v>
      </c>
      <c r="AO26" s="20" cm="1">
        <f t="array" ref="AO26">ROUND(
  IF(AND(AO$1="Ensign", $AI26&gt;=2021, $AI26&lt;=2024),
    _xlfn.XLOOKUP($AI26, Ensign!$A$2:$A$12, Ensign!$B$2:$B$12),
    _xlfn.XLOOKUP($AI26, 'Historic (IPEDS &amp; 2019 RTP)'!$A:$A, _xlfn.XLOOKUP(AO$1, 'Historic (IPEDS &amp; 2019 RTP)'!$A$1:$H$1, 'Historic (IPEDS &amp; 2019 RTP)'!$A:$H),
      IFERROR(_xlfn.XLOOKUP($AI26, 'USHE Historic'!$A$3:$A$13, _xlfn.XLOOKUP(AO$1, 'USHE Historic'!$A$2:$E$2, 'USHE Historic'!$A$3:$E$13)),
        _xlfn.IFS(
          AO$1="BYU", IFERROR(_xlfn.XLOOKUP($AI26, 'MAG College Enrollment Forecast'!$A:$A, 'MAG College Enrollment Forecast'!$B:$B), (AO$72-AO25)/($AI$72-$AI25)*($AI26-$AI25)+AO25),
          AO$1="UVU", IFERROR(_xlfn.XLOOKUP($AI26, 'MAG College Enrollment Forecast'!$A:$A, 'MAG College Enrollment Forecast'!$C:$C+'MAG College Enrollment Forecast'!$D:$D+'MAG College Enrollment Forecast'!$E:$E+'MAG College Enrollment Forecast'!$F:$F+'MAG College Enrollment Forecast'!$G:$G+'MAG College Enrollment Forecast'!$H:$H), (AO$72-AO25)/($AI$72-$AI25)*($AI26-$AI25)+AO25),
          TRUE, IFERROR(_xlfn.XLOOKUP($AI26, 'USHE Projections'!$A:$A, IFERROR(_xlfn.XLOOKUP(AO$1, 'USHE Projections'!$A$1:$E$1, 'USHE Projections'!$A:$E), "NONE"), (AO$72-AO25)/($AI$72-$AI25)*($AI26-$AI25)+AO25), (AO$72-AO25)/($AI$72-$AI25)*($AI26-$AI25)+AO25)
        )
      )
    )
  ), 0)</f>
        <v>2006</v>
      </c>
      <c r="AP26" s="20" cm="1">
        <f t="array" ref="AP26">ROUND(
  IF(AND(AP$1="Ensign", $AI26&gt;=2021, $AI26&lt;=2024),
    _xlfn.XLOOKUP($AI26, Ensign!$A$2:$A$12, Ensign!$B$2:$B$12),
    _xlfn.XLOOKUP($AI26, 'Historic (IPEDS &amp; 2019 RTP)'!$A:$A, _xlfn.XLOOKUP(AP$1, 'Historic (IPEDS &amp; 2019 RTP)'!$A$1:$H$1, 'Historic (IPEDS &amp; 2019 RTP)'!$A:$H),
      IFERROR(_xlfn.XLOOKUP($AI26, 'USHE Historic'!$A$3:$A$13, _xlfn.XLOOKUP(AP$1, 'USHE Historic'!$A$2:$E$2, 'USHE Historic'!$A$3:$E$13)),
        _xlfn.IFS(
          AP$1="BYU", IFERROR(_xlfn.XLOOKUP($AI26, 'MAG College Enrollment Forecast'!$A:$A, 'MAG College Enrollment Forecast'!$B:$B), (AP$72-AP25)/($AI$72-$AI25)*($AI26-$AI25)+AP25),
          AP$1="UVU", IFERROR(_xlfn.XLOOKUP($AI26, 'MAG College Enrollment Forecast'!$A:$A, 'MAG College Enrollment Forecast'!$C:$C+'MAG College Enrollment Forecast'!$D:$D+'MAG College Enrollment Forecast'!$E:$E+'MAG College Enrollment Forecast'!$F:$F+'MAG College Enrollment Forecast'!$G:$G+'MAG College Enrollment Forecast'!$H:$H), (AP$72-AP25)/($AI$72-$AI25)*($AI26-$AI25)+AP25),
          TRUE, IFERROR(_xlfn.XLOOKUP($AI26, 'USHE Projections'!$A:$A, IFERROR(_xlfn.XLOOKUP(AP$1, 'USHE Projections'!$A$1:$E$1, 'USHE Projections'!$A:$E), "NONE"), (AP$72-AP25)/($AI$72-$AI25)*($AI26-$AI25)+AP25), (AP$72-AP25)/($AI$72-$AI25)*($AI26-$AI25)+AP25)
        )
      )
    )
  ), 0)</f>
        <v>2991</v>
      </c>
      <c r="AQ26" s="7"/>
    </row>
    <row r="27" spans="1:43">
      <c r="AI27" s="3">
        <v>2015</v>
      </c>
      <c r="AJ27" s="20" cm="1">
        <f t="array" ref="AJ27">ROUND(
  IF(AND(AJ$1="Ensign", $AI27&gt;=2021, $AI27&lt;=2024),
    _xlfn.XLOOKUP($AI27, Ensign!$A$2:$A$12, Ensign!$B$2:$B$12),
    _xlfn.XLOOKUP($AI27, 'Historic (IPEDS &amp; 2019 RTP)'!$A:$A, _xlfn.XLOOKUP(AJ$1, 'Historic (IPEDS &amp; 2019 RTP)'!$A$1:$H$1, 'Historic (IPEDS &amp; 2019 RTP)'!$A:$H),
      IFERROR(_xlfn.XLOOKUP($AI27, 'USHE Historic'!$A$3:$A$13, _xlfn.XLOOKUP(AJ$1, 'USHE Historic'!$A$2:$E$2, 'USHE Historic'!$A$3:$E$13)),
        _xlfn.IFS(
          AJ$1="BYU", IFERROR(_xlfn.XLOOKUP($AI27, 'MAG College Enrollment Forecast'!$A:$A, 'MAG College Enrollment Forecast'!$B:$B), (AJ$72-AJ26)/($AI$72-$AI26)*($AI27-$AI26)+AJ26),
          AJ$1="UVU", IFERROR(_xlfn.XLOOKUP($AI27, 'MAG College Enrollment Forecast'!$A:$A, 'MAG College Enrollment Forecast'!$C:$C+'MAG College Enrollment Forecast'!$D:$D+'MAG College Enrollment Forecast'!$E:$E+'MAG College Enrollment Forecast'!$F:$F+'MAG College Enrollment Forecast'!$G:$G+'MAG College Enrollment Forecast'!$H:$H), (AJ$72-AJ26)/($AI$72-$AI26)*($AI27-$AI26)+AJ26),
          TRUE, IFERROR(_xlfn.XLOOKUP($AI27, 'USHE Projections'!$A:$A, IFERROR(_xlfn.XLOOKUP(AJ$1, 'USHE Projections'!$A$1:$E$1, 'USHE Projections'!$A:$E), "NONE"), (AJ$72-AJ26)/($AI$72-$AI26)*($AI27-$AI26)+AJ26), (AJ$72-AJ26)/($AI$72-$AI26)*($AI27-$AI26)+AJ26)
        )
      )
    )
  ), 0)</f>
        <v>31592</v>
      </c>
      <c r="AK27" s="20" cm="1">
        <f t="array" ref="AK27">ROUND(
  IF(AND(AK$1="Ensign", $AI27&gt;=2021, $AI27&lt;=2024),
    _xlfn.XLOOKUP($AI27, Ensign!$A$2:$A$12, Ensign!$B$2:$B$12),
    _xlfn.XLOOKUP($AI27, 'Historic (IPEDS &amp; 2019 RTP)'!$A:$A, _xlfn.XLOOKUP(AK$1, 'Historic (IPEDS &amp; 2019 RTP)'!$A$1:$H$1, 'Historic (IPEDS &amp; 2019 RTP)'!$A:$H),
      IFERROR(_xlfn.XLOOKUP($AI27, 'USHE Historic'!$A$3:$A$13, _xlfn.XLOOKUP(AK$1, 'USHE Historic'!$A$2:$E$2, 'USHE Historic'!$A$3:$E$13)),
        _xlfn.IFS(
          AK$1="BYU", IFERROR(_xlfn.XLOOKUP($AI27, 'MAG College Enrollment Forecast'!$A:$A, 'MAG College Enrollment Forecast'!$B:$B), (AK$72-AK26)/($AI$72-$AI26)*($AI27-$AI26)+AK26),
          AK$1="UVU", IFERROR(_xlfn.XLOOKUP($AI27, 'MAG College Enrollment Forecast'!$A:$A, 'MAG College Enrollment Forecast'!$C:$C+'MAG College Enrollment Forecast'!$D:$D+'MAG College Enrollment Forecast'!$E:$E+'MAG College Enrollment Forecast'!$F:$F+'MAG College Enrollment Forecast'!$G:$G+'MAG College Enrollment Forecast'!$H:$H), (AK$72-AK26)/($AI$72-$AI26)*($AI27-$AI26)+AK26),
          TRUE, IFERROR(_xlfn.XLOOKUP($AI27, 'USHE Projections'!$A:$A, IFERROR(_xlfn.XLOOKUP(AK$1, 'USHE Projections'!$A$1:$E$1, 'USHE Projections'!$A:$E), "NONE"), (AK$72-AK26)/($AI$72-$AI26)*($AI27-$AI26)+AK26), (AK$72-AK26)/($AI$72-$AI26)*($AI27-$AI26)+AK26)
        )
      )
    )
  ), 0)</f>
        <v>25955</v>
      </c>
      <c r="AL27" s="20" cm="1">
        <f t="array" ref="AL27">ROUND(
  IF(AND(AL$1="Ensign", $AI27&gt;=2021, $AI27&lt;=2024),
    _xlfn.XLOOKUP($AI27, Ensign!$A$2:$A$12, Ensign!$B$2:$B$12),
    _xlfn.XLOOKUP($AI27, 'Historic (IPEDS &amp; 2019 RTP)'!$A:$A, _xlfn.XLOOKUP(AL$1, 'Historic (IPEDS &amp; 2019 RTP)'!$A$1:$H$1, 'Historic (IPEDS &amp; 2019 RTP)'!$A:$H),
      IFERROR(_xlfn.XLOOKUP($AI27, 'USHE Historic'!$A$3:$A$13, _xlfn.XLOOKUP(AL$1, 'USHE Historic'!$A$2:$E$2, 'USHE Historic'!$A$3:$E$13)),
        _xlfn.IFS(
          AL$1="BYU", IFERROR(_xlfn.XLOOKUP($AI27, 'MAG College Enrollment Forecast'!$A:$A, 'MAG College Enrollment Forecast'!$B:$B), (AL$72-AL26)/($AI$72-$AI26)*($AI27-$AI26)+AL26),
          AL$1="UVU", IFERROR(_xlfn.XLOOKUP($AI27, 'MAG College Enrollment Forecast'!$A:$A, 'MAG College Enrollment Forecast'!$C:$C+'MAG College Enrollment Forecast'!$D:$D+'MAG College Enrollment Forecast'!$E:$E+'MAG College Enrollment Forecast'!$F:$F+'MAG College Enrollment Forecast'!$G:$G+'MAG College Enrollment Forecast'!$H:$H), (AL$72-AL26)/($AI$72-$AI26)*($AI27-$AI26)+AL26),
          TRUE, IFERROR(_xlfn.XLOOKUP($AI27, 'USHE Projections'!$A:$A, IFERROR(_xlfn.XLOOKUP(AL$1, 'USHE Projections'!$A$1:$E$1, 'USHE Projections'!$A:$E), "NONE"), (AL$72-AL26)/($AI$72-$AI26)*($AI27-$AI26)+AL26), (AL$72-AL26)/($AI$72-$AI26)*($AI27-$AI26)+AL26)
        )
      )
    )
  ), 0)</f>
        <v>33211</v>
      </c>
      <c r="AM27" s="20" cm="1">
        <f t="array" ref="AM27">ROUND(
  IF(AND(AM$1="Ensign", $AI27&gt;=2021, $AI27&lt;=2024),
    _xlfn.XLOOKUP($AI27, Ensign!$A$2:$A$12, Ensign!$B$2:$B$12),
    _xlfn.XLOOKUP($AI27, 'Historic (IPEDS &amp; 2019 RTP)'!$A:$A, _xlfn.XLOOKUP(AM$1, 'Historic (IPEDS &amp; 2019 RTP)'!$A$1:$H$1, 'Historic (IPEDS &amp; 2019 RTP)'!$A:$H),
      IFERROR(_xlfn.XLOOKUP($AI27, 'USHE Historic'!$A$3:$A$13, _xlfn.XLOOKUP(AM$1, 'USHE Historic'!$A$2:$E$2, 'USHE Historic'!$A$3:$E$13)),
        _xlfn.IFS(
          AM$1="BYU", IFERROR(_xlfn.XLOOKUP($AI27, 'MAG College Enrollment Forecast'!$A:$A, 'MAG College Enrollment Forecast'!$B:$B), (AM$72-AM26)/($AI$72-$AI26)*($AI27-$AI26)+AM26),
          AM$1="UVU", IFERROR(_xlfn.XLOOKUP($AI27, 'MAG College Enrollment Forecast'!$A:$A, 'MAG College Enrollment Forecast'!$C:$C+'MAG College Enrollment Forecast'!$D:$D+'MAG College Enrollment Forecast'!$E:$E+'MAG College Enrollment Forecast'!$F:$F+'MAG College Enrollment Forecast'!$G:$G+'MAG College Enrollment Forecast'!$H:$H), (AM$72-AM26)/($AI$72-$AI26)*($AI27-$AI26)+AM26),
          TRUE, IFERROR(_xlfn.XLOOKUP($AI27, 'USHE Projections'!$A:$A, IFERROR(_xlfn.XLOOKUP(AM$1, 'USHE Projections'!$A$1:$E$1, 'USHE Projections'!$A:$E), "NONE"), (AM$72-AM26)/($AI$72-$AI26)*($AI27-$AI26)+AM26), (AM$72-AM26)/($AI$72-$AI26)*($AI27-$AI26)+AM26)
        )
      )
    )
  ), 0)</f>
        <v>29350</v>
      </c>
      <c r="AN27" s="20" cm="1">
        <f t="array" ref="AN27">ROUND(
  IF(AND(AN$1="Ensign", $AI27&gt;=2021, $AI27&lt;=2024),
    _xlfn.XLOOKUP($AI27, Ensign!$A$2:$A$12, Ensign!$B$2:$B$12),
    _xlfn.XLOOKUP($AI27, 'Historic (IPEDS &amp; 2019 RTP)'!$A:$A, _xlfn.XLOOKUP(AN$1, 'Historic (IPEDS &amp; 2019 RTP)'!$A$1:$H$1, 'Historic (IPEDS &amp; 2019 RTP)'!$A:$H),
      IFERROR(_xlfn.XLOOKUP($AI27, 'USHE Historic'!$A$3:$A$13, _xlfn.XLOOKUP(AN$1, 'USHE Historic'!$A$2:$E$2, 'USHE Historic'!$A$3:$E$13)),
        _xlfn.IFS(
          AN$1="BYU", IFERROR(_xlfn.XLOOKUP($AI27, 'MAG College Enrollment Forecast'!$A:$A, 'MAG College Enrollment Forecast'!$B:$B), (AN$72-AN26)/($AI$72-$AI26)*($AI27-$AI26)+AN26),
          AN$1="UVU", IFERROR(_xlfn.XLOOKUP($AI27, 'MAG College Enrollment Forecast'!$A:$A, 'MAG College Enrollment Forecast'!$C:$C+'MAG College Enrollment Forecast'!$D:$D+'MAG College Enrollment Forecast'!$E:$E+'MAG College Enrollment Forecast'!$F:$F+'MAG College Enrollment Forecast'!$G:$G+'MAG College Enrollment Forecast'!$H:$H), (AN$72-AN26)/($AI$72-$AI26)*($AI27-$AI26)+AN26),
          TRUE, IFERROR(_xlfn.XLOOKUP($AI27, 'USHE Projections'!$A:$A, IFERROR(_xlfn.XLOOKUP(AN$1, 'USHE Projections'!$A$1:$E$1, 'USHE Projections'!$A:$E), "NONE"), (AN$72-AN26)/($AI$72-$AI26)*($AI27-$AI26)+AN26), (AN$72-AN26)/($AI$72-$AI26)*($AI27-$AI26)+AN26)
        )
      )
    )
  ), 0)</f>
        <v>33469</v>
      </c>
      <c r="AO27" s="20" cm="1">
        <f t="array" ref="AO27">ROUND(
  IF(AND(AO$1="Ensign", $AI27&gt;=2021, $AI27&lt;=2024),
    _xlfn.XLOOKUP($AI27, Ensign!$A$2:$A$12, Ensign!$B$2:$B$12),
    _xlfn.XLOOKUP($AI27, 'Historic (IPEDS &amp; 2019 RTP)'!$A:$A, _xlfn.XLOOKUP(AO$1, 'Historic (IPEDS &amp; 2019 RTP)'!$A$1:$H$1, 'Historic (IPEDS &amp; 2019 RTP)'!$A:$H),
      IFERROR(_xlfn.XLOOKUP($AI27, 'USHE Historic'!$A$3:$A$13, _xlfn.XLOOKUP(AO$1, 'USHE Historic'!$A$2:$E$2, 'USHE Historic'!$A$3:$E$13)),
        _xlfn.IFS(
          AO$1="BYU", IFERROR(_xlfn.XLOOKUP($AI27, 'MAG College Enrollment Forecast'!$A:$A, 'MAG College Enrollment Forecast'!$B:$B), (AO$72-AO26)/($AI$72-$AI26)*($AI27-$AI26)+AO26),
          AO$1="UVU", IFERROR(_xlfn.XLOOKUP($AI27, 'MAG College Enrollment Forecast'!$A:$A, 'MAG College Enrollment Forecast'!$C:$C+'MAG College Enrollment Forecast'!$D:$D+'MAG College Enrollment Forecast'!$E:$E+'MAG College Enrollment Forecast'!$F:$F+'MAG College Enrollment Forecast'!$G:$G+'MAG College Enrollment Forecast'!$H:$H), (AO$72-AO26)/($AI$72-$AI26)*($AI27-$AI26)+AO26),
          TRUE, IFERROR(_xlfn.XLOOKUP($AI27, 'USHE Projections'!$A:$A, IFERROR(_xlfn.XLOOKUP(AO$1, 'USHE Projections'!$A$1:$E$1, 'USHE Projections'!$A:$E), "NONE"), (AO$72-AO26)/($AI$72-$AI26)*($AI27-$AI26)+AO26), (AO$72-AO26)/($AI$72-$AI26)*($AI27-$AI26)+AO26)
        )
      )
    )
  ), 0)</f>
        <v>2153</v>
      </c>
      <c r="AP27" s="20" cm="1">
        <f t="array" ref="AP27">ROUND(
  IF(AND(AP$1="Ensign", $AI27&gt;=2021, $AI27&lt;=2024),
    _xlfn.XLOOKUP($AI27, Ensign!$A$2:$A$12, Ensign!$B$2:$B$12),
    _xlfn.XLOOKUP($AI27, 'Historic (IPEDS &amp; 2019 RTP)'!$A:$A, _xlfn.XLOOKUP(AP$1, 'Historic (IPEDS &amp; 2019 RTP)'!$A$1:$H$1, 'Historic (IPEDS &amp; 2019 RTP)'!$A:$H),
      IFERROR(_xlfn.XLOOKUP($AI27, 'USHE Historic'!$A$3:$A$13, _xlfn.XLOOKUP(AP$1, 'USHE Historic'!$A$2:$E$2, 'USHE Historic'!$A$3:$E$13)),
        _xlfn.IFS(
          AP$1="BYU", IFERROR(_xlfn.XLOOKUP($AI27, 'MAG College Enrollment Forecast'!$A:$A, 'MAG College Enrollment Forecast'!$B:$B), (AP$72-AP26)/($AI$72-$AI26)*($AI27-$AI26)+AP26),
          AP$1="UVU", IFERROR(_xlfn.XLOOKUP($AI27, 'MAG College Enrollment Forecast'!$A:$A, 'MAG College Enrollment Forecast'!$C:$C+'MAG College Enrollment Forecast'!$D:$D+'MAG College Enrollment Forecast'!$E:$E+'MAG College Enrollment Forecast'!$F:$F+'MAG College Enrollment Forecast'!$G:$G+'MAG College Enrollment Forecast'!$H:$H), (AP$72-AP26)/($AI$72-$AI26)*($AI27-$AI26)+AP26),
          TRUE, IFERROR(_xlfn.XLOOKUP($AI27, 'USHE Projections'!$A:$A, IFERROR(_xlfn.XLOOKUP(AP$1, 'USHE Projections'!$A$1:$E$1, 'USHE Projections'!$A:$E), "NONE"), (AP$72-AP26)/($AI$72-$AI26)*($AI27-$AI26)+AP26), (AP$72-AP26)/($AI$72-$AI26)*($AI27-$AI26)+AP26)
        )
      )
    )
  ), 0)</f>
        <v>2821</v>
      </c>
      <c r="AQ27" s="7"/>
    </row>
    <row r="28" spans="1:43">
      <c r="AI28" s="3">
        <v>2016</v>
      </c>
      <c r="AJ28" s="20" cm="1">
        <f t="array" ref="AJ28">ROUND(
  IF(AND(AJ$1="Ensign", $AI28&gt;=2021, $AI28&lt;=2024),
    _xlfn.XLOOKUP($AI28, Ensign!$A$2:$A$12, Ensign!$B$2:$B$12),
    _xlfn.XLOOKUP($AI28, 'Historic (IPEDS &amp; 2019 RTP)'!$A:$A, _xlfn.XLOOKUP(AJ$1, 'Historic (IPEDS &amp; 2019 RTP)'!$A$1:$H$1, 'Historic (IPEDS &amp; 2019 RTP)'!$A:$H),
      IFERROR(_xlfn.XLOOKUP($AI28, 'USHE Historic'!$A$3:$A$13, _xlfn.XLOOKUP(AJ$1, 'USHE Historic'!$A$2:$E$2, 'USHE Historic'!$A$3:$E$13)),
        _xlfn.IFS(
          AJ$1="BYU", IFERROR(_xlfn.XLOOKUP($AI28, 'MAG College Enrollment Forecast'!$A:$A, 'MAG College Enrollment Forecast'!$B:$B), (AJ$72-AJ27)/($AI$72-$AI27)*($AI28-$AI27)+AJ27),
          AJ$1="UVU", IFERROR(_xlfn.XLOOKUP($AI28, 'MAG College Enrollment Forecast'!$A:$A, 'MAG College Enrollment Forecast'!$C:$C+'MAG College Enrollment Forecast'!$D:$D+'MAG College Enrollment Forecast'!$E:$E+'MAG College Enrollment Forecast'!$F:$F+'MAG College Enrollment Forecast'!$G:$G+'MAG College Enrollment Forecast'!$H:$H), (AJ$72-AJ27)/($AI$72-$AI27)*($AI28-$AI27)+AJ27),
          TRUE, IFERROR(_xlfn.XLOOKUP($AI28, 'USHE Projections'!$A:$A, IFERROR(_xlfn.XLOOKUP(AJ$1, 'USHE Projections'!$A$1:$E$1, 'USHE Projections'!$A:$E), "NONE"), (AJ$72-AJ27)/($AI$72-$AI27)*($AI28-$AI27)+AJ27), (AJ$72-AJ27)/($AI$72-$AI27)*($AI28-$AI27)+AJ27)
        )
      )
    )
  ), 0)</f>
        <v>31860</v>
      </c>
      <c r="AK28" s="20" cm="1">
        <f t="array" ref="AK28">ROUND(
  IF(AND(AK$1="Ensign", $AI28&gt;=2021, $AI28&lt;=2024),
    _xlfn.XLOOKUP($AI28, Ensign!$A$2:$A$12, Ensign!$B$2:$B$12),
    _xlfn.XLOOKUP($AI28, 'Historic (IPEDS &amp; 2019 RTP)'!$A:$A, _xlfn.XLOOKUP(AK$1, 'Historic (IPEDS &amp; 2019 RTP)'!$A$1:$H$1, 'Historic (IPEDS &amp; 2019 RTP)'!$A:$H),
      IFERROR(_xlfn.XLOOKUP($AI28, 'USHE Historic'!$A$3:$A$13, _xlfn.XLOOKUP(AK$1, 'USHE Historic'!$A$2:$E$2, 'USHE Historic'!$A$3:$E$13)),
        _xlfn.IFS(
          AK$1="BYU", IFERROR(_xlfn.XLOOKUP($AI28, 'MAG College Enrollment Forecast'!$A:$A, 'MAG College Enrollment Forecast'!$B:$B), (AK$72-AK27)/($AI$72-$AI27)*($AI28-$AI27)+AK27),
          AK$1="UVU", IFERROR(_xlfn.XLOOKUP($AI28, 'MAG College Enrollment Forecast'!$A:$A, 'MAG College Enrollment Forecast'!$C:$C+'MAG College Enrollment Forecast'!$D:$D+'MAG College Enrollment Forecast'!$E:$E+'MAG College Enrollment Forecast'!$F:$F+'MAG College Enrollment Forecast'!$G:$G+'MAG College Enrollment Forecast'!$H:$H), (AK$72-AK27)/($AI$72-$AI27)*($AI28-$AI27)+AK27),
          TRUE, IFERROR(_xlfn.XLOOKUP($AI28, 'USHE Projections'!$A:$A, IFERROR(_xlfn.XLOOKUP(AK$1, 'USHE Projections'!$A$1:$E$1, 'USHE Projections'!$A:$E), "NONE"), (AK$72-AK27)/($AI$72-$AI27)*($AI28-$AI27)+AK27), (AK$72-AK27)/($AI$72-$AI27)*($AI28-$AI27)+AK27)
        )
      )
    )
  ), 0)</f>
        <v>26809</v>
      </c>
      <c r="AL28" s="20" cm="1">
        <f t="array" ref="AL28">ROUND(
  IF(AND(AL$1="Ensign", $AI28&gt;=2021, $AI28&lt;=2024),
    _xlfn.XLOOKUP($AI28, Ensign!$A$2:$A$12, Ensign!$B$2:$B$12),
    _xlfn.XLOOKUP($AI28, 'Historic (IPEDS &amp; 2019 RTP)'!$A:$A, _xlfn.XLOOKUP(AL$1, 'Historic (IPEDS &amp; 2019 RTP)'!$A$1:$H$1, 'Historic (IPEDS &amp; 2019 RTP)'!$A:$H),
      IFERROR(_xlfn.XLOOKUP($AI28, 'USHE Historic'!$A$3:$A$13, _xlfn.XLOOKUP(AL$1, 'USHE Historic'!$A$2:$E$2, 'USHE Historic'!$A$3:$E$13)),
        _xlfn.IFS(
          AL$1="BYU", IFERROR(_xlfn.XLOOKUP($AI28, 'MAG College Enrollment Forecast'!$A:$A, 'MAG College Enrollment Forecast'!$B:$B), (AL$72-AL27)/($AI$72-$AI27)*($AI28-$AI27)+AL27),
          AL$1="UVU", IFERROR(_xlfn.XLOOKUP($AI28, 'MAG College Enrollment Forecast'!$A:$A, 'MAG College Enrollment Forecast'!$C:$C+'MAG College Enrollment Forecast'!$D:$D+'MAG College Enrollment Forecast'!$E:$E+'MAG College Enrollment Forecast'!$F:$F+'MAG College Enrollment Forecast'!$G:$G+'MAG College Enrollment Forecast'!$H:$H), (AL$72-AL27)/($AI$72-$AI27)*($AI28-$AI27)+AL27),
          TRUE, IFERROR(_xlfn.XLOOKUP($AI28, 'USHE Projections'!$A:$A, IFERROR(_xlfn.XLOOKUP(AL$1, 'USHE Projections'!$A$1:$E$1, 'USHE Projections'!$A:$E), "NONE"), (AL$72-AL27)/($AI$72-$AI27)*($AI28-$AI27)+AL27), (AL$72-AL27)/($AI$72-$AI27)*($AI28-$AI27)+AL27)
        )
      )
    )
  ), 0)</f>
        <v>34978</v>
      </c>
      <c r="AM28" s="20" cm="1">
        <f t="array" ref="AM28">ROUND(
  IF(AND(AM$1="Ensign", $AI28&gt;=2021, $AI28&lt;=2024),
    _xlfn.XLOOKUP($AI28, Ensign!$A$2:$A$12, Ensign!$B$2:$B$12),
    _xlfn.XLOOKUP($AI28, 'Historic (IPEDS &amp; 2019 RTP)'!$A:$A, _xlfn.XLOOKUP(AM$1, 'Historic (IPEDS &amp; 2019 RTP)'!$A$1:$H$1, 'Historic (IPEDS &amp; 2019 RTP)'!$A:$H),
      IFERROR(_xlfn.XLOOKUP($AI28, 'USHE Historic'!$A$3:$A$13, _xlfn.XLOOKUP(AM$1, 'USHE Historic'!$A$2:$E$2, 'USHE Historic'!$A$3:$E$13)),
        _xlfn.IFS(
          AM$1="BYU", IFERROR(_xlfn.XLOOKUP($AI28, 'MAG College Enrollment Forecast'!$A:$A, 'MAG College Enrollment Forecast'!$B:$B), (AM$72-AM27)/($AI$72-$AI27)*($AI28-$AI27)+AM27),
          AM$1="UVU", IFERROR(_xlfn.XLOOKUP($AI28, 'MAG College Enrollment Forecast'!$A:$A, 'MAG College Enrollment Forecast'!$C:$C+'MAG College Enrollment Forecast'!$D:$D+'MAG College Enrollment Forecast'!$E:$E+'MAG College Enrollment Forecast'!$F:$F+'MAG College Enrollment Forecast'!$G:$G+'MAG College Enrollment Forecast'!$H:$H), (AM$72-AM27)/($AI$72-$AI27)*($AI28-$AI27)+AM27),
          TRUE, IFERROR(_xlfn.XLOOKUP($AI28, 'USHE Projections'!$A:$A, IFERROR(_xlfn.XLOOKUP(AM$1, 'USHE Projections'!$A$1:$E$1, 'USHE Projections'!$A:$E), "NONE"), (AM$72-AM27)/($AI$72-$AI27)*($AI28-$AI27)+AM27), (AM$72-AM27)/($AI$72-$AI27)*($AI28-$AI27)+AM27)
        )
      )
    )
  ), 0)</f>
        <v>29901</v>
      </c>
      <c r="AN28" s="20" cm="1">
        <f t="array" ref="AN28">ROUND(
  IF(AND(AN$1="Ensign", $AI28&gt;=2021, $AI28&lt;=2024),
    _xlfn.XLOOKUP($AI28, Ensign!$A$2:$A$12, Ensign!$B$2:$B$12),
    _xlfn.XLOOKUP($AI28, 'Historic (IPEDS &amp; 2019 RTP)'!$A:$A, _xlfn.XLOOKUP(AN$1, 'Historic (IPEDS &amp; 2019 RTP)'!$A$1:$H$1, 'Historic (IPEDS &amp; 2019 RTP)'!$A:$H),
      IFERROR(_xlfn.XLOOKUP($AI28, 'USHE Historic'!$A$3:$A$13, _xlfn.XLOOKUP(AN$1, 'USHE Historic'!$A$2:$E$2, 'USHE Historic'!$A$3:$E$13)),
        _xlfn.IFS(
          AN$1="BYU", IFERROR(_xlfn.XLOOKUP($AI28, 'MAG College Enrollment Forecast'!$A:$A, 'MAG College Enrollment Forecast'!$B:$B), (AN$72-AN27)/($AI$72-$AI27)*($AI28-$AI27)+AN27),
          AN$1="UVU", IFERROR(_xlfn.XLOOKUP($AI28, 'MAG College Enrollment Forecast'!$A:$A, 'MAG College Enrollment Forecast'!$C:$C+'MAG College Enrollment Forecast'!$D:$D+'MAG College Enrollment Forecast'!$E:$E+'MAG College Enrollment Forecast'!$F:$F+'MAG College Enrollment Forecast'!$G:$G+'MAG College Enrollment Forecast'!$H:$H), (AN$72-AN27)/($AI$72-$AI27)*($AI28-$AI27)+AN27),
          TRUE, IFERROR(_xlfn.XLOOKUP($AI28, 'USHE Projections'!$A:$A, IFERROR(_xlfn.XLOOKUP(AN$1, 'USHE Projections'!$A$1:$E$1, 'USHE Projections'!$A:$E), "NONE"), (AN$72-AN27)/($AI$72-$AI27)*($AI28-$AI27)+AN27), (AN$72-AN27)/($AI$72-$AI27)*($AI28-$AI27)+AN27)
        )
      )
    )
  ), 0)</f>
        <v>34240</v>
      </c>
      <c r="AO28" s="20" cm="1">
        <f t="array" ref="AO28">ROUND(
  IF(AND(AO$1="Ensign", $AI28&gt;=2021, $AI28&lt;=2024),
    _xlfn.XLOOKUP($AI28, Ensign!$A$2:$A$12, Ensign!$B$2:$B$12),
    _xlfn.XLOOKUP($AI28, 'Historic (IPEDS &amp; 2019 RTP)'!$A:$A, _xlfn.XLOOKUP(AO$1, 'Historic (IPEDS &amp; 2019 RTP)'!$A$1:$H$1, 'Historic (IPEDS &amp; 2019 RTP)'!$A:$H),
      IFERROR(_xlfn.XLOOKUP($AI28, 'USHE Historic'!$A$3:$A$13, _xlfn.XLOOKUP(AO$1, 'USHE Historic'!$A$2:$E$2, 'USHE Historic'!$A$3:$E$13)),
        _xlfn.IFS(
          AO$1="BYU", IFERROR(_xlfn.XLOOKUP($AI28, 'MAG College Enrollment Forecast'!$A:$A, 'MAG College Enrollment Forecast'!$B:$B), (AO$72-AO27)/($AI$72-$AI27)*($AI28-$AI27)+AO27),
          AO$1="UVU", IFERROR(_xlfn.XLOOKUP($AI28, 'MAG College Enrollment Forecast'!$A:$A, 'MAG College Enrollment Forecast'!$C:$C+'MAG College Enrollment Forecast'!$D:$D+'MAG College Enrollment Forecast'!$E:$E+'MAG College Enrollment Forecast'!$F:$F+'MAG College Enrollment Forecast'!$G:$G+'MAG College Enrollment Forecast'!$H:$H), (AO$72-AO27)/($AI$72-$AI27)*($AI28-$AI27)+AO27),
          TRUE, IFERROR(_xlfn.XLOOKUP($AI28, 'USHE Projections'!$A:$A, IFERROR(_xlfn.XLOOKUP(AO$1, 'USHE Projections'!$A$1:$E$1, 'USHE Projections'!$A:$E), "NONE"), (AO$72-AO27)/($AI$72-$AI27)*($AI28-$AI27)+AO27), (AO$72-AO27)/($AI$72-$AI27)*($AI28-$AI27)+AO27)
        )
      )
    )
  ), 0)</f>
        <v>2119</v>
      </c>
      <c r="AP28" s="20" cm="1">
        <f t="array" ref="AP28">ROUND(
  IF(AND(AP$1="Ensign", $AI28&gt;=2021, $AI28&lt;=2024),
    _xlfn.XLOOKUP($AI28, Ensign!$A$2:$A$12, Ensign!$B$2:$B$12),
    _xlfn.XLOOKUP($AI28, 'Historic (IPEDS &amp; 2019 RTP)'!$A:$A, _xlfn.XLOOKUP(AP$1, 'Historic (IPEDS &amp; 2019 RTP)'!$A$1:$H$1, 'Historic (IPEDS &amp; 2019 RTP)'!$A:$H),
      IFERROR(_xlfn.XLOOKUP($AI28, 'USHE Historic'!$A$3:$A$13, _xlfn.XLOOKUP(AP$1, 'USHE Historic'!$A$2:$E$2, 'USHE Historic'!$A$3:$E$13)),
        _xlfn.IFS(
          AP$1="BYU", IFERROR(_xlfn.XLOOKUP($AI28, 'MAG College Enrollment Forecast'!$A:$A, 'MAG College Enrollment Forecast'!$B:$B), (AP$72-AP27)/($AI$72-$AI27)*($AI28-$AI27)+AP27),
          AP$1="UVU", IFERROR(_xlfn.XLOOKUP($AI28, 'MAG College Enrollment Forecast'!$A:$A, 'MAG College Enrollment Forecast'!$C:$C+'MAG College Enrollment Forecast'!$D:$D+'MAG College Enrollment Forecast'!$E:$E+'MAG College Enrollment Forecast'!$F:$F+'MAG College Enrollment Forecast'!$G:$G+'MAG College Enrollment Forecast'!$H:$H), (AP$72-AP27)/($AI$72-$AI27)*($AI28-$AI27)+AP27),
          TRUE, IFERROR(_xlfn.XLOOKUP($AI28, 'USHE Projections'!$A:$A, IFERROR(_xlfn.XLOOKUP(AP$1, 'USHE Projections'!$A$1:$E$1, 'USHE Projections'!$A:$E), "NONE"), (AP$72-AP27)/($AI$72-$AI27)*($AI28-$AI27)+AP27), (AP$72-AP27)/($AI$72-$AI27)*($AI28-$AI27)+AP27)
        )
      )
    )
  ), 0)</f>
        <v>2694</v>
      </c>
      <c r="AQ28" s="7"/>
    </row>
    <row r="29" spans="1:43">
      <c r="AI29" s="3">
        <v>2017</v>
      </c>
      <c r="AJ29" s="20" cm="1">
        <f t="array" ref="AJ29">ROUND(
  IF(AND(AJ$1="Ensign", $AI29&gt;=2021, $AI29&lt;=2024),
    _xlfn.XLOOKUP($AI29, Ensign!$A$2:$A$12, Ensign!$B$2:$B$12),
    _xlfn.XLOOKUP($AI29, 'Historic (IPEDS &amp; 2019 RTP)'!$A:$A, _xlfn.XLOOKUP(AJ$1, 'Historic (IPEDS &amp; 2019 RTP)'!$A$1:$H$1, 'Historic (IPEDS &amp; 2019 RTP)'!$A:$H),
      IFERROR(_xlfn.XLOOKUP($AI29, 'USHE Historic'!$A$3:$A$13, _xlfn.XLOOKUP(AJ$1, 'USHE Historic'!$A$2:$E$2, 'USHE Historic'!$A$3:$E$13)),
        _xlfn.IFS(
          AJ$1="BYU", IFERROR(_xlfn.XLOOKUP($AI29, 'MAG College Enrollment Forecast'!$A:$A, 'MAG College Enrollment Forecast'!$B:$B), (AJ$72-AJ28)/($AI$72-$AI28)*($AI29-$AI28)+AJ28),
          AJ$1="UVU", IFERROR(_xlfn.XLOOKUP($AI29, 'MAG College Enrollment Forecast'!$A:$A, 'MAG College Enrollment Forecast'!$C:$C+'MAG College Enrollment Forecast'!$D:$D+'MAG College Enrollment Forecast'!$E:$E+'MAG College Enrollment Forecast'!$F:$F+'MAG College Enrollment Forecast'!$G:$G+'MAG College Enrollment Forecast'!$H:$H), (AJ$72-AJ28)/($AI$72-$AI28)*($AI29-$AI28)+AJ28),
          TRUE, IFERROR(_xlfn.XLOOKUP($AI29, 'USHE Projections'!$A:$A, IFERROR(_xlfn.XLOOKUP(AJ$1, 'USHE Projections'!$A$1:$E$1, 'USHE Projections'!$A:$E), "NONE"), (AJ$72-AJ28)/($AI$72-$AI28)*($AI29-$AI28)+AJ28), (AJ$72-AJ28)/($AI$72-$AI28)*($AI29-$AI28)+AJ28)
        )
      )
    )
  ), 0)</f>
        <v>32800</v>
      </c>
      <c r="AK29" s="20" cm="1">
        <f t="array" ref="AK29">ROUND(
  IF(AND(AK$1="Ensign", $AI29&gt;=2021, $AI29&lt;=2024),
    _xlfn.XLOOKUP($AI29, Ensign!$A$2:$A$12, Ensign!$B$2:$B$12),
    _xlfn.XLOOKUP($AI29, 'Historic (IPEDS &amp; 2019 RTP)'!$A:$A, _xlfn.XLOOKUP(AK$1, 'Historic (IPEDS &amp; 2019 RTP)'!$A$1:$H$1, 'Historic (IPEDS &amp; 2019 RTP)'!$A:$H),
      IFERROR(_xlfn.XLOOKUP($AI29, 'USHE Historic'!$A$3:$A$13, _xlfn.XLOOKUP(AK$1, 'USHE Historic'!$A$2:$E$2, 'USHE Historic'!$A$3:$E$13)),
        _xlfn.IFS(
          AK$1="BYU", IFERROR(_xlfn.XLOOKUP($AI29, 'MAG College Enrollment Forecast'!$A:$A, 'MAG College Enrollment Forecast'!$B:$B), (AK$72-AK28)/($AI$72-$AI28)*($AI29-$AI28)+AK28),
          AK$1="UVU", IFERROR(_xlfn.XLOOKUP($AI29, 'MAG College Enrollment Forecast'!$A:$A, 'MAG College Enrollment Forecast'!$C:$C+'MAG College Enrollment Forecast'!$D:$D+'MAG College Enrollment Forecast'!$E:$E+'MAG College Enrollment Forecast'!$F:$F+'MAG College Enrollment Forecast'!$G:$G+'MAG College Enrollment Forecast'!$H:$H), (AK$72-AK28)/($AI$72-$AI28)*($AI29-$AI28)+AK28),
          TRUE, IFERROR(_xlfn.XLOOKUP($AI29, 'USHE Projections'!$A:$A, IFERROR(_xlfn.XLOOKUP(AK$1, 'USHE Projections'!$A$1:$E$1, 'USHE Projections'!$A:$E), "NONE"), (AK$72-AK28)/($AI$72-$AI28)*($AI29-$AI28)+AK28), (AK$72-AK28)/($AI$72-$AI28)*($AI29-$AI28)+AK28)
        )
      )
    )
  ), 0)</f>
        <v>27949</v>
      </c>
      <c r="AL29" s="20" cm="1">
        <f t="array" ref="AL29">ROUND(
  IF(AND(AL$1="Ensign", $AI29&gt;=2021, $AI29&lt;=2024),
    _xlfn.XLOOKUP($AI29, Ensign!$A$2:$A$12, Ensign!$B$2:$B$12),
    _xlfn.XLOOKUP($AI29, 'Historic (IPEDS &amp; 2019 RTP)'!$A:$A, _xlfn.XLOOKUP(AL$1, 'Historic (IPEDS &amp; 2019 RTP)'!$A$1:$H$1, 'Historic (IPEDS &amp; 2019 RTP)'!$A:$H),
      IFERROR(_xlfn.XLOOKUP($AI29, 'USHE Historic'!$A$3:$A$13, _xlfn.XLOOKUP(AL$1, 'USHE Historic'!$A$2:$E$2, 'USHE Historic'!$A$3:$E$13)),
        _xlfn.IFS(
          AL$1="BYU", IFERROR(_xlfn.XLOOKUP($AI29, 'MAG College Enrollment Forecast'!$A:$A, 'MAG College Enrollment Forecast'!$B:$B), (AL$72-AL28)/($AI$72-$AI28)*($AI29-$AI28)+AL28),
          AL$1="UVU", IFERROR(_xlfn.XLOOKUP($AI29, 'MAG College Enrollment Forecast'!$A:$A, 'MAG College Enrollment Forecast'!$C:$C+'MAG College Enrollment Forecast'!$D:$D+'MAG College Enrollment Forecast'!$E:$E+'MAG College Enrollment Forecast'!$F:$F+'MAG College Enrollment Forecast'!$G:$G+'MAG College Enrollment Forecast'!$H:$H), (AL$72-AL28)/($AI$72-$AI28)*($AI29-$AI28)+AL28),
          TRUE, IFERROR(_xlfn.XLOOKUP($AI29, 'USHE Projections'!$A:$A, IFERROR(_xlfn.XLOOKUP(AL$1, 'USHE Projections'!$A$1:$E$1, 'USHE Projections'!$A:$E), "NONE"), (AL$72-AL28)/($AI$72-$AI28)*($AI29-$AI28)+AL28), (AL$72-AL28)/($AI$72-$AI28)*($AI29-$AI28)+AL28)
        )
      )
    )
  ), 0)</f>
        <v>37282</v>
      </c>
      <c r="AM29" s="20" cm="1">
        <f t="array" ref="AM29">ROUND(
  IF(AND(AM$1="Ensign", $AI29&gt;=2021, $AI29&lt;=2024),
    _xlfn.XLOOKUP($AI29, Ensign!$A$2:$A$12, Ensign!$B$2:$B$12),
    _xlfn.XLOOKUP($AI29, 'Historic (IPEDS &amp; 2019 RTP)'!$A:$A, _xlfn.XLOOKUP(AM$1, 'Historic (IPEDS &amp; 2019 RTP)'!$A$1:$H$1, 'Historic (IPEDS &amp; 2019 RTP)'!$A:$H),
      IFERROR(_xlfn.XLOOKUP($AI29, 'USHE Historic'!$A$3:$A$13, _xlfn.XLOOKUP(AM$1, 'USHE Historic'!$A$2:$E$2, 'USHE Historic'!$A$3:$E$13)),
        _xlfn.IFS(
          AM$1="BYU", IFERROR(_xlfn.XLOOKUP($AI29, 'MAG College Enrollment Forecast'!$A:$A, 'MAG College Enrollment Forecast'!$B:$B), (AM$72-AM28)/($AI$72-$AI28)*($AI29-$AI28)+AM28),
          AM$1="UVU", IFERROR(_xlfn.XLOOKUP($AI29, 'MAG College Enrollment Forecast'!$A:$A, 'MAG College Enrollment Forecast'!$C:$C+'MAG College Enrollment Forecast'!$D:$D+'MAG College Enrollment Forecast'!$E:$E+'MAG College Enrollment Forecast'!$F:$F+'MAG College Enrollment Forecast'!$G:$G+'MAG College Enrollment Forecast'!$H:$H), (AM$72-AM28)/($AI$72-$AI28)*($AI29-$AI28)+AM28),
          TRUE, IFERROR(_xlfn.XLOOKUP($AI29, 'USHE Projections'!$A:$A, IFERROR(_xlfn.XLOOKUP(AM$1, 'USHE Projections'!$A$1:$E$1, 'USHE Projections'!$A:$E), "NONE"), (AM$72-AM28)/($AI$72-$AI28)*($AI29-$AI28)+AM28), (AM$72-AM28)/($AI$72-$AI28)*($AI29-$AI28)+AM28)
        )
      )
    )
  ), 0)</f>
        <v>29620</v>
      </c>
      <c r="AN29" s="20" cm="1">
        <f t="array" ref="AN29">ROUND(
  IF(AND(AN$1="Ensign", $AI29&gt;=2021, $AI29&lt;=2024),
    _xlfn.XLOOKUP($AI29, Ensign!$A$2:$A$12, Ensign!$B$2:$B$12),
    _xlfn.XLOOKUP($AI29, 'Historic (IPEDS &amp; 2019 RTP)'!$A:$A, _xlfn.XLOOKUP(AN$1, 'Historic (IPEDS &amp; 2019 RTP)'!$A$1:$H$1, 'Historic (IPEDS &amp; 2019 RTP)'!$A:$H),
      IFERROR(_xlfn.XLOOKUP($AI29, 'USHE Historic'!$A$3:$A$13, _xlfn.XLOOKUP(AN$1, 'USHE Historic'!$A$2:$E$2, 'USHE Historic'!$A$3:$E$13)),
        _xlfn.IFS(
          AN$1="BYU", IFERROR(_xlfn.XLOOKUP($AI29, 'MAG College Enrollment Forecast'!$A:$A, 'MAG College Enrollment Forecast'!$B:$B), (AN$72-AN28)/($AI$72-$AI28)*($AI29-$AI28)+AN28),
          AN$1="UVU", IFERROR(_xlfn.XLOOKUP($AI29, 'MAG College Enrollment Forecast'!$A:$A, 'MAG College Enrollment Forecast'!$C:$C+'MAG College Enrollment Forecast'!$D:$D+'MAG College Enrollment Forecast'!$E:$E+'MAG College Enrollment Forecast'!$F:$F+'MAG College Enrollment Forecast'!$G:$G+'MAG College Enrollment Forecast'!$H:$H), (AN$72-AN28)/($AI$72-$AI28)*($AI29-$AI28)+AN28),
          TRUE, IFERROR(_xlfn.XLOOKUP($AI29, 'USHE Projections'!$A:$A, IFERROR(_xlfn.XLOOKUP(AN$1, 'USHE Projections'!$A$1:$E$1, 'USHE Projections'!$A:$E), "NONE"), (AN$72-AN28)/($AI$72-$AI28)*($AI29-$AI28)+AN28), (AN$72-AN28)/($AI$72-$AI28)*($AI29-$AI28)+AN28)
        )
      )
    )
  ), 0)</f>
        <v>34334</v>
      </c>
      <c r="AO29" s="20" cm="1">
        <f t="array" ref="AO29">ROUND(
  IF(AND(AO$1="Ensign", $AI29&gt;=2021, $AI29&lt;=2024),
    _xlfn.XLOOKUP($AI29, Ensign!$A$2:$A$12, Ensign!$B$2:$B$12),
    _xlfn.XLOOKUP($AI29, 'Historic (IPEDS &amp; 2019 RTP)'!$A:$A, _xlfn.XLOOKUP(AO$1, 'Historic (IPEDS &amp; 2019 RTP)'!$A$1:$H$1, 'Historic (IPEDS &amp; 2019 RTP)'!$A:$H),
      IFERROR(_xlfn.XLOOKUP($AI29, 'USHE Historic'!$A$3:$A$13, _xlfn.XLOOKUP(AO$1, 'USHE Historic'!$A$2:$E$2, 'USHE Historic'!$A$3:$E$13)),
        _xlfn.IFS(
          AO$1="BYU", IFERROR(_xlfn.XLOOKUP($AI29, 'MAG College Enrollment Forecast'!$A:$A, 'MAG College Enrollment Forecast'!$B:$B), (AO$72-AO28)/($AI$72-$AI28)*($AI29-$AI28)+AO28),
          AO$1="UVU", IFERROR(_xlfn.XLOOKUP($AI29, 'MAG College Enrollment Forecast'!$A:$A, 'MAG College Enrollment Forecast'!$C:$C+'MAG College Enrollment Forecast'!$D:$D+'MAG College Enrollment Forecast'!$E:$E+'MAG College Enrollment Forecast'!$F:$F+'MAG College Enrollment Forecast'!$G:$G+'MAG College Enrollment Forecast'!$H:$H), (AO$72-AO28)/($AI$72-$AI28)*($AI29-$AI28)+AO28),
          TRUE, IFERROR(_xlfn.XLOOKUP($AI29, 'USHE Projections'!$A:$A, IFERROR(_xlfn.XLOOKUP(AO$1, 'USHE Projections'!$A$1:$E$1, 'USHE Projections'!$A:$E), "NONE"), (AO$72-AO28)/($AI$72-$AI28)*($AI29-$AI28)+AO28), (AO$72-AO28)/($AI$72-$AI28)*($AI29-$AI28)+AO28)
        )
      )
    )
  ), 0)</f>
        <v>2045</v>
      </c>
      <c r="AP29" s="20" cm="1">
        <f t="array" ref="AP29">ROUND(
  IF(AND(AP$1="Ensign", $AI29&gt;=2021, $AI29&lt;=2024),
    _xlfn.XLOOKUP($AI29, Ensign!$A$2:$A$12, Ensign!$B$2:$B$12),
    _xlfn.XLOOKUP($AI29, 'Historic (IPEDS &amp; 2019 RTP)'!$A:$A, _xlfn.XLOOKUP(AP$1, 'Historic (IPEDS &amp; 2019 RTP)'!$A$1:$H$1, 'Historic (IPEDS &amp; 2019 RTP)'!$A:$H),
      IFERROR(_xlfn.XLOOKUP($AI29, 'USHE Historic'!$A$3:$A$13, _xlfn.XLOOKUP(AP$1, 'USHE Historic'!$A$2:$E$2, 'USHE Historic'!$A$3:$E$13)),
        _xlfn.IFS(
          AP$1="BYU", IFERROR(_xlfn.XLOOKUP($AI29, 'MAG College Enrollment Forecast'!$A:$A, 'MAG College Enrollment Forecast'!$B:$B), (AP$72-AP28)/($AI$72-$AI28)*($AI29-$AI28)+AP28),
          AP$1="UVU", IFERROR(_xlfn.XLOOKUP($AI29, 'MAG College Enrollment Forecast'!$A:$A, 'MAG College Enrollment Forecast'!$C:$C+'MAG College Enrollment Forecast'!$D:$D+'MAG College Enrollment Forecast'!$E:$E+'MAG College Enrollment Forecast'!$F:$F+'MAG College Enrollment Forecast'!$G:$G+'MAG College Enrollment Forecast'!$H:$H), (AP$72-AP28)/($AI$72-$AI28)*($AI29-$AI28)+AP28),
          TRUE, IFERROR(_xlfn.XLOOKUP($AI29, 'USHE Projections'!$A:$A, IFERROR(_xlfn.XLOOKUP(AP$1, 'USHE Projections'!$A$1:$E$1, 'USHE Projections'!$A:$E), "NONE"), (AP$72-AP28)/($AI$72-$AI28)*($AI29-$AI28)+AP28), (AP$72-AP28)/($AI$72-$AI28)*($AI29-$AI28)+AP28)
        )
      )
    )
  ), 0)</f>
        <v>2570</v>
      </c>
      <c r="AQ29" s="7"/>
    </row>
    <row r="30" spans="1:43">
      <c r="AI30" s="3">
        <v>2018</v>
      </c>
      <c r="AJ30" s="20" cm="1">
        <f t="array" ref="AJ30">ROUND(
  IF(AND(AJ$1="Ensign", $AI30&gt;=2021, $AI30&lt;=2024),
    _xlfn.XLOOKUP($AI30, Ensign!$A$2:$A$12, Ensign!$B$2:$B$12),
    _xlfn.XLOOKUP($AI30, 'Historic (IPEDS &amp; 2019 RTP)'!$A:$A, _xlfn.XLOOKUP(AJ$1, 'Historic (IPEDS &amp; 2019 RTP)'!$A$1:$H$1, 'Historic (IPEDS &amp; 2019 RTP)'!$A:$H),
      IFERROR(_xlfn.XLOOKUP($AI30, 'USHE Historic'!$A$3:$A$13, _xlfn.XLOOKUP(AJ$1, 'USHE Historic'!$A$2:$E$2, 'USHE Historic'!$A$3:$E$13)),
        _xlfn.IFS(
          AJ$1="BYU", IFERROR(_xlfn.XLOOKUP($AI30, 'MAG College Enrollment Forecast'!$A:$A, 'MAG College Enrollment Forecast'!$B:$B), (AJ$72-AJ29)/($AI$72-$AI29)*($AI30-$AI29)+AJ29),
          AJ$1="UVU", IFERROR(_xlfn.XLOOKUP($AI30, 'MAG College Enrollment Forecast'!$A:$A, 'MAG College Enrollment Forecast'!$C:$C+'MAG College Enrollment Forecast'!$D:$D+'MAG College Enrollment Forecast'!$E:$E+'MAG College Enrollment Forecast'!$F:$F+'MAG College Enrollment Forecast'!$G:$G+'MAG College Enrollment Forecast'!$H:$H), (AJ$72-AJ29)/($AI$72-$AI29)*($AI30-$AI29)+AJ29),
          TRUE, IFERROR(_xlfn.XLOOKUP($AI30, 'USHE Projections'!$A:$A, IFERROR(_xlfn.XLOOKUP(AJ$1, 'USHE Projections'!$A$1:$E$1, 'USHE Projections'!$A:$E), "NONE"), (AJ$72-AJ29)/($AI$72-$AI29)*($AI30-$AI29)+AJ29), (AJ$72-AJ29)/($AI$72-$AI29)*($AI30-$AI29)+AJ29)
        )
      )
    )
  ), 0)</f>
        <v>33023</v>
      </c>
      <c r="AK30" s="20" cm="1">
        <f t="array" ref="AK30">ROUND(
  IF(AND(AK$1="Ensign", $AI30&gt;=2021, $AI30&lt;=2024),
    _xlfn.XLOOKUP($AI30, Ensign!$A$2:$A$12, Ensign!$B$2:$B$12),
    _xlfn.XLOOKUP($AI30, 'Historic (IPEDS &amp; 2019 RTP)'!$A:$A, _xlfn.XLOOKUP(AK$1, 'Historic (IPEDS &amp; 2019 RTP)'!$A$1:$H$1, 'Historic (IPEDS &amp; 2019 RTP)'!$A:$H),
      IFERROR(_xlfn.XLOOKUP($AI30, 'USHE Historic'!$A$3:$A$13, _xlfn.XLOOKUP(AK$1, 'USHE Historic'!$A$2:$E$2, 'USHE Historic'!$A$3:$E$13)),
        _xlfn.IFS(
          AK$1="BYU", IFERROR(_xlfn.XLOOKUP($AI30, 'MAG College Enrollment Forecast'!$A:$A, 'MAG College Enrollment Forecast'!$B:$B), (AK$72-AK29)/($AI$72-$AI29)*($AI30-$AI29)+AK29),
          AK$1="UVU", IFERROR(_xlfn.XLOOKUP($AI30, 'MAG College Enrollment Forecast'!$A:$A, 'MAG College Enrollment Forecast'!$C:$C+'MAG College Enrollment Forecast'!$D:$D+'MAG College Enrollment Forecast'!$E:$E+'MAG College Enrollment Forecast'!$F:$F+'MAG College Enrollment Forecast'!$G:$G+'MAG College Enrollment Forecast'!$H:$H), (AK$72-AK29)/($AI$72-$AI29)*($AI30-$AI29)+AK29),
          TRUE, IFERROR(_xlfn.XLOOKUP($AI30, 'USHE Projections'!$A:$A, IFERROR(_xlfn.XLOOKUP(AK$1, 'USHE Projections'!$A$1:$E$1, 'USHE Projections'!$A:$E), "NONE"), (AK$72-AK29)/($AI$72-$AI29)*($AI30-$AI29)+AK29), (AK$72-AK29)/($AI$72-$AI29)*($AI30-$AI29)+AK29)
        )
      )
    )
  ), 0)</f>
        <v>28247</v>
      </c>
      <c r="AL30" s="20" cm="1">
        <f t="array" ref="AL30">ROUND(
  IF(AND(AL$1="Ensign", $AI30&gt;=2021, $AI30&lt;=2024),
    _xlfn.XLOOKUP($AI30, Ensign!$A$2:$A$12, Ensign!$B$2:$B$12),
    _xlfn.XLOOKUP($AI30, 'Historic (IPEDS &amp; 2019 RTP)'!$A:$A, _xlfn.XLOOKUP(AL$1, 'Historic (IPEDS &amp; 2019 RTP)'!$A$1:$H$1, 'Historic (IPEDS &amp; 2019 RTP)'!$A:$H),
      IFERROR(_xlfn.XLOOKUP($AI30, 'USHE Historic'!$A$3:$A$13, _xlfn.XLOOKUP(AL$1, 'USHE Historic'!$A$2:$E$2, 'USHE Historic'!$A$3:$E$13)),
        _xlfn.IFS(
          AL$1="BYU", IFERROR(_xlfn.XLOOKUP($AI30, 'MAG College Enrollment Forecast'!$A:$A, 'MAG College Enrollment Forecast'!$B:$B), (AL$72-AL29)/($AI$72-$AI29)*($AI30-$AI29)+AL29),
          AL$1="UVU", IFERROR(_xlfn.XLOOKUP($AI30, 'MAG College Enrollment Forecast'!$A:$A, 'MAG College Enrollment Forecast'!$C:$C+'MAG College Enrollment Forecast'!$D:$D+'MAG College Enrollment Forecast'!$E:$E+'MAG College Enrollment Forecast'!$F:$F+'MAG College Enrollment Forecast'!$G:$G+'MAG College Enrollment Forecast'!$H:$H), (AL$72-AL29)/($AI$72-$AI29)*($AI30-$AI29)+AL29),
          TRUE, IFERROR(_xlfn.XLOOKUP($AI30, 'USHE Projections'!$A:$A, IFERROR(_xlfn.XLOOKUP(AL$1, 'USHE Projections'!$A$1:$E$1, 'USHE Projections'!$A:$E), "NONE"), (AL$72-AL29)/($AI$72-$AI29)*($AI30-$AI29)+AL29), (AL$72-AL29)/($AI$72-$AI29)*($AI30-$AI29)+AL29)
        )
      )
    )
  ), 0)</f>
        <v>39931</v>
      </c>
      <c r="AM30" s="20" cm="1">
        <f t="array" ref="AM30">ROUND(
  IF(AND(AM$1="Ensign", $AI30&gt;=2021, $AI30&lt;=2024),
    _xlfn.XLOOKUP($AI30, Ensign!$A$2:$A$12, Ensign!$B$2:$B$12),
    _xlfn.XLOOKUP($AI30, 'Historic (IPEDS &amp; 2019 RTP)'!$A:$A, _xlfn.XLOOKUP(AM$1, 'Historic (IPEDS &amp; 2019 RTP)'!$A$1:$H$1, 'Historic (IPEDS &amp; 2019 RTP)'!$A:$H),
      IFERROR(_xlfn.XLOOKUP($AI30, 'USHE Historic'!$A$3:$A$13, _xlfn.XLOOKUP(AM$1, 'USHE Historic'!$A$2:$E$2, 'USHE Historic'!$A$3:$E$13)),
        _xlfn.IFS(
          AM$1="BYU", IFERROR(_xlfn.XLOOKUP($AI30, 'MAG College Enrollment Forecast'!$A:$A, 'MAG College Enrollment Forecast'!$B:$B), (AM$72-AM29)/($AI$72-$AI29)*($AI30-$AI29)+AM29),
          AM$1="UVU", IFERROR(_xlfn.XLOOKUP($AI30, 'MAG College Enrollment Forecast'!$A:$A, 'MAG College Enrollment Forecast'!$C:$C+'MAG College Enrollment Forecast'!$D:$D+'MAG College Enrollment Forecast'!$E:$E+'MAG College Enrollment Forecast'!$F:$F+'MAG College Enrollment Forecast'!$G:$G+'MAG College Enrollment Forecast'!$H:$H), (AM$72-AM29)/($AI$72-$AI29)*($AI30-$AI29)+AM29),
          TRUE, IFERROR(_xlfn.XLOOKUP($AI30, 'USHE Projections'!$A:$A, IFERROR(_xlfn.XLOOKUP(AM$1, 'USHE Projections'!$A$1:$E$1, 'USHE Projections'!$A:$E), "NONE"), (AM$72-AM29)/($AI$72-$AI29)*($AI30-$AI29)+AM29), (AM$72-AM29)/($AI$72-$AI29)*($AI30-$AI29)+AM29)
        )
      )
    )
  ), 0)</f>
        <v>29156</v>
      </c>
      <c r="AN30" s="20" cm="1">
        <f t="array" ref="AN30">ROUND(
  IF(AND(AN$1="Ensign", $AI30&gt;=2021, $AI30&lt;=2024),
    _xlfn.XLOOKUP($AI30, Ensign!$A$2:$A$12, Ensign!$B$2:$B$12),
    _xlfn.XLOOKUP($AI30, 'Historic (IPEDS &amp; 2019 RTP)'!$A:$A, _xlfn.XLOOKUP(AN$1, 'Historic (IPEDS &amp; 2019 RTP)'!$A$1:$H$1, 'Historic (IPEDS &amp; 2019 RTP)'!$A:$H),
      IFERROR(_xlfn.XLOOKUP($AI30, 'USHE Historic'!$A$3:$A$13, _xlfn.XLOOKUP(AN$1, 'USHE Historic'!$A$2:$E$2, 'USHE Historic'!$A$3:$E$13)),
        _xlfn.IFS(
          AN$1="BYU", IFERROR(_xlfn.XLOOKUP($AI30, 'MAG College Enrollment Forecast'!$A:$A, 'MAG College Enrollment Forecast'!$B:$B), (AN$72-AN29)/($AI$72-$AI29)*($AI30-$AI29)+AN29),
          AN$1="UVU", IFERROR(_xlfn.XLOOKUP($AI30, 'MAG College Enrollment Forecast'!$A:$A, 'MAG College Enrollment Forecast'!$C:$C+'MAG College Enrollment Forecast'!$D:$D+'MAG College Enrollment Forecast'!$E:$E+'MAG College Enrollment Forecast'!$F:$F+'MAG College Enrollment Forecast'!$G:$G+'MAG College Enrollment Forecast'!$H:$H), (AN$72-AN29)/($AI$72-$AI29)*($AI30-$AI29)+AN29),
          TRUE, IFERROR(_xlfn.XLOOKUP($AI30, 'USHE Projections'!$A:$A, IFERROR(_xlfn.XLOOKUP(AN$1, 'USHE Projections'!$A$1:$E$1, 'USHE Projections'!$A:$E), "NONE"), (AN$72-AN29)/($AI$72-$AI29)*($AI30-$AI29)+AN29), (AN$72-AN29)/($AI$72-$AI29)*($AI30-$AI29)+AN29)
        )
      )
    )
  ), 0)</f>
        <v>34499</v>
      </c>
      <c r="AO30" s="20" cm="1">
        <f t="array" ref="AO30">ROUND(
  IF(AND(AO$1="Ensign", $AI30&gt;=2021, $AI30&lt;=2024),
    _xlfn.XLOOKUP($AI30, Ensign!$A$2:$A$12, Ensign!$B$2:$B$12),
    _xlfn.XLOOKUP($AI30, 'Historic (IPEDS &amp; 2019 RTP)'!$A:$A, _xlfn.XLOOKUP(AO$1, 'Historic (IPEDS &amp; 2019 RTP)'!$A$1:$H$1, 'Historic (IPEDS &amp; 2019 RTP)'!$A:$H),
      IFERROR(_xlfn.XLOOKUP($AI30, 'USHE Historic'!$A$3:$A$13, _xlfn.XLOOKUP(AO$1, 'USHE Historic'!$A$2:$E$2, 'USHE Historic'!$A$3:$E$13)),
        _xlfn.IFS(
          AO$1="BYU", IFERROR(_xlfn.XLOOKUP($AI30, 'MAG College Enrollment Forecast'!$A:$A, 'MAG College Enrollment Forecast'!$B:$B), (AO$72-AO29)/($AI$72-$AI29)*($AI30-$AI29)+AO29),
          AO$1="UVU", IFERROR(_xlfn.XLOOKUP($AI30, 'MAG College Enrollment Forecast'!$A:$A, 'MAG College Enrollment Forecast'!$C:$C+'MAG College Enrollment Forecast'!$D:$D+'MAG College Enrollment Forecast'!$E:$E+'MAG College Enrollment Forecast'!$F:$F+'MAG College Enrollment Forecast'!$G:$G+'MAG College Enrollment Forecast'!$H:$H), (AO$72-AO29)/($AI$72-$AI29)*($AI30-$AI29)+AO29),
          TRUE, IFERROR(_xlfn.XLOOKUP($AI30, 'USHE Projections'!$A:$A, IFERROR(_xlfn.XLOOKUP(AO$1, 'USHE Projections'!$A$1:$E$1, 'USHE Projections'!$A:$E), "NONE"), (AO$72-AO29)/($AI$72-$AI29)*($AI30-$AI29)+AO29), (AO$72-AO29)/($AI$72-$AI29)*($AI30-$AI29)+AO29)
        )
      )
    )
  ), 0)</f>
        <v>1996</v>
      </c>
      <c r="AP30" s="20" cm="1">
        <f t="array" ref="AP30">ROUND(
  IF(AND(AP$1="Ensign", $AI30&gt;=2021, $AI30&lt;=2024),
    _xlfn.XLOOKUP($AI30, Ensign!$A$2:$A$12, Ensign!$B$2:$B$12),
    _xlfn.XLOOKUP($AI30, 'Historic (IPEDS &amp; 2019 RTP)'!$A:$A, _xlfn.XLOOKUP(AP$1, 'Historic (IPEDS &amp; 2019 RTP)'!$A$1:$H$1, 'Historic (IPEDS &amp; 2019 RTP)'!$A:$H),
      IFERROR(_xlfn.XLOOKUP($AI30, 'USHE Historic'!$A$3:$A$13, _xlfn.XLOOKUP(AP$1, 'USHE Historic'!$A$2:$E$2, 'USHE Historic'!$A$3:$E$13)),
        _xlfn.IFS(
          AP$1="BYU", IFERROR(_xlfn.XLOOKUP($AI30, 'MAG College Enrollment Forecast'!$A:$A, 'MAG College Enrollment Forecast'!$B:$B), (AP$72-AP29)/($AI$72-$AI29)*($AI30-$AI29)+AP29),
          AP$1="UVU", IFERROR(_xlfn.XLOOKUP($AI30, 'MAG College Enrollment Forecast'!$A:$A, 'MAG College Enrollment Forecast'!$C:$C+'MAG College Enrollment Forecast'!$D:$D+'MAG College Enrollment Forecast'!$E:$E+'MAG College Enrollment Forecast'!$F:$F+'MAG College Enrollment Forecast'!$G:$G+'MAG College Enrollment Forecast'!$H:$H), (AP$72-AP29)/($AI$72-$AI29)*($AI30-$AI29)+AP29),
          TRUE, IFERROR(_xlfn.XLOOKUP($AI30, 'USHE Projections'!$A:$A, IFERROR(_xlfn.XLOOKUP(AP$1, 'USHE Projections'!$A$1:$E$1, 'USHE Projections'!$A:$E), "NONE"), (AP$72-AP29)/($AI$72-$AI29)*($AI30-$AI29)+AP29), (AP$72-AP29)/($AI$72-$AI29)*($AI30-$AI29)+AP29)
        )
      )
    )
  ), 0)</f>
        <v>2477</v>
      </c>
      <c r="AQ30" s="7"/>
    </row>
    <row r="31" spans="1:43">
      <c r="AI31" s="3">
        <v>2019</v>
      </c>
      <c r="AJ31" s="20" cm="1">
        <f t="array" ref="AJ31">ROUND(
  IF(AND(AJ$1="Ensign", $AI31&gt;=2021, $AI31&lt;=2024),
    _xlfn.XLOOKUP($AI31, Ensign!$A$2:$A$12, Ensign!$B$2:$B$12),
    _xlfn.XLOOKUP($AI31, 'Historic (IPEDS &amp; 2019 RTP)'!$A:$A, _xlfn.XLOOKUP(AJ$1, 'Historic (IPEDS &amp; 2019 RTP)'!$A$1:$H$1, 'Historic (IPEDS &amp; 2019 RTP)'!$A:$H),
      IFERROR(_xlfn.XLOOKUP($AI31, 'USHE Historic'!$A$3:$A$13, _xlfn.XLOOKUP(AJ$1, 'USHE Historic'!$A$2:$E$2, 'USHE Historic'!$A$3:$E$13)),
        _xlfn.IFS(
          AJ$1="BYU", IFERROR(_xlfn.XLOOKUP($AI31, 'MAG College Enrollment Forecast'!$A:$A, 'MAG College Enrollment Forecast'!$B:$B), (AJ$72-AJ30)/($AI$72-$AI30)*($AI31-$AI30)+AJ30),
          AJ$1="UVU", IFERROR(_xlfn.XLOOKUP($AI31, 'MAG College Enrollment Forecast'!$A:$A, 'MAG College Enrollment Forecast'!$C:$C+'MAG College Enrollment Forecast'!$D:$D+'MAG College Enrollment Forecast'!$E:$E+'MAG College Enrollment Forecast'!$F:$F+'MAG College Enrollment Forecast'!$G:$G+'MAG College Enrollment Forecast'!$H:$H), (AJ$72-AJ30)/($AI$72-$AI30)*($AI31-$AI30)+AJ30),
          TRUE, IFERROR(_xlfn.XLOOKUP($AI31, 'USHE Projections'!$A:$A, IFERROR(_xlfn.XLOOKUP(AJ$1, 'USHE Projections'!$A$1:$E$1, 'USHE Projections'!$A:$E), "NONE"), (AJ$72-AJ30)/($AI$72-$AI30)*($AI31-$AI30)+AJ30), (AJ$72-AJ30)/($AI$72-$AI30)*($AI31-$AI30)+AJ30)
        )
      )
    )
  ), 0)</f>
        <v>32852</v>
      </c>
      <c r="AK31" s="20" cm="1">
        <f t="array" ref="AK31">ROUND(
  IF(AND(AK$1="Ensign", $AI31&gt;=2021, $AI31&lt;=2024),
    _xlfn.XLOOKUP($AI31, Ensign!$A$2:$A$12, Ensign!$B$2:$B$12),
    _xlfn.XLOOKUP($AI31, 'Historic (IPEDS &amp; 2019 RTP)'!$A:$A, _xlfn.XLOOKUP(AK$1, 'Historic (IPEDS &amp; 2019 RTP)'!$A$1:$H$1, 'Historic (IPEDS &amp; 2019 RTP)'!$A:$H),
      IFERROR(_xlfn.XLOOKUP($AI31, 'USHE Historic'!$A$3:$A$13, _xlfn.XLOOKUP(AK$1, 'USHE Historic'!$A$2:$E$2, 'USHE Historic'!$A$3:$E$13)),
        _xlfn.IFS(
          AK$1="BYU", IFERROR(_xlfn.XLOOKUP($AI31, 'MAG College Enrollment Forecast'!$A:$A, 'MAG College Enrollment Forecast'!$B:$B), (AK$72-AK30)/($AI$72-$AI30)*($AI31-$AI30)+AK30),
          AK$1="UVU", IFERROR(_xlfn.XLOOKUP($AI31, 'MAG College Enrollment Forecast'!$A:$A, 'MAG College Enrollment Forecast'!$C:$C+'MAG College Enrollment Forecast'!$D:$D+'MAG College Enrollment Forecast'!$E:$E+'MAG College Enrollment Forecast'!$F:$F+'MAG College Enrollment Forecast'!$G:$G+'MAG College Enrollment Forecast'!$H:$H), (AK$72-AK30)/($AI$72-$AI30)*($AI31-$AI30)+AK30),
          TRUE, IFERROR(_xlfn.XLOOKUP($AI31, 'USHE Projections'!$A:$A, IFERROR(_xlfn.XLOOKUP(AK$1, 'USHE Projections'!$A$1:$E$1, 'USHE Projections'!$A:$E), "NONE"), (AK$72-AK30)/($AI$72-$AI30)*($AI31-$AI30)+AK30), (AK$72-AK30)/($AI$72-$AI30)*($AI31-$AI30)+AK30)
        )
      )
    )
  ), 0)</f>
        <v>29644</v>
      </c>
      <c r="AL31" s="20" cm="1">
        <f t="array" ref="AL31">ROUND(
  IF(AND(AL$1="Ensign", $AI31&gt;=2021, $AI31&lt;=2024),
    _xlfn.XLOOKUP($AI31, Ensign!$A$2:$A$12, Ensign!$B$2:$B$12),
    _xlfn.XLOOKUP($AI31, 'Historic (IPEDS &amp; 2019 RTP)'!$A:$A, _xlfn.XLOOKUP(AL$1, 'Historic (IPEDS &amp; 2019 RTP)'!$A$1:$H$1, 'Historic (IPEDS &amp; 2019 RTP)'!$A:$H),
      IFERROR(_xlfn.XLOOKUP($AI31, 'USHE Historic'!$A$3:$A$13, _xlfn.XLOOKUP(AL$1, 'USHE Historic'!$A$2:$E$2, 'USHE Historic'!$A$3:$E$13)),
        _xlfn.IFS(
          AL$1="BYU", IFERROR(_xlfn.XLOOKUP($AI31, 'MAG College Enrollment Forecast'!$A:$A, 'MAG College Enrollment Forecast'!$B:$B), (AL$72-AL30)/($AI$72-$AI30)*($AI31-$AI30)+AL30),
          AL$1="UVU", IFERROR(_xlfn.XLOOKUP($AI31, 'MAG College Enrollment Forecast'!$A:$A, 'MAG College Enrollment Forecast'!$C:$C+'MAG College Enrollment Forecast'!$D:$D+'MAG College Enrollment Forecast'!$E:$E+'MAG College Enrollment Forecast'!$F:$F+'MAG College Enrollment Forecast'!$G:$G+'MAG College Enrollment Forecast'!$H:$H), (AL$72-AL30)/($AI$72-$AI30)*($AI31-$AI30)+AL30),
          TRUE, IFERROR(_xlfn.XLOOKUP($AI31, 'USHE Projections'!$A:$A, IFERROR(_xlfn.XLOOKUP(AL$1, 'USHE Projections'!$A$1:$E$1, 'USHE Projections'!$A:$E), "NONE"), (AL$72-AL30)/($AI$72-$AI30)*($AI31-$AI30)+AL30), (AL$72-AL30)/($AI$72-$AI30)*($AI31-$AI30)+AL30)
        )
      )
    )
  ), 0)</f>
        <v>41728</v>
      </c>
      <c r="AM31" s="20" cm="1">
        <f t="array" ref="AM31">ROUND(
  IF(AND(AM$1="Ensign", $AI31&gt;=2021, $AI31&lt;=2024),
    _xlfn.XLOOKUP($AI31, Ensign!$A$2:$A$12, Ensign!$B$2:$B$12),
    _xlfn.XLOOKUP($AI31, 'Historic (IPEDS &amp; 2019 RTP)'!$A:$A, _xlfn.XLOOKUP(AM$1, 'Historic (IPEDS &amp; 2019 RTP)'!$A$1:$H$1, 'Historic (IPEDS &amp; 2019 RTP)'!$A:$H),
      IFERROR(_xlfn.XLOOKUP($AI31, 'USHE Historic'!$A$3:$A$13, _xlfn.XLOOKUP(AM$1, 'USHE Historic'!$A$2:$E$2, 'USHE Historic'!$A$3:$E$13)),
        _xlfn.IFS(
          AM$1="BYU", IFERROR(_xlfn.XLOOKUP($AI31, 'MAG College Enrollment Forecast'!$A:$A, 'MAG College Enrollment Forecast'!$B:$B), (AM$72-AM30)/($AI$72-$AI30)*($AI31-$AI30)+AM30),
          AM$1="UVU", IFERROR(_xlfn.XLOOKUP($AI31, 'MAG College Enrollment Forecast'!$A:$A, 'MAG College Enrollment Forecast'!$C:$C+'MAG College Enrollment Forecast'!$D:$D+'MAG College Enrollment Forecast'!$E:$E+'MAG College Enrollment Forecast'!$F:$F+'MAG College Enrollment Forecast'!$G:$G+'MAG College Enrollment Forecast'!$H:$H), (AM$72-AM30)/($AI$72-$AI30)*($AI31-$AI30)+AM30),
          TRUE, IFERROR(_xlfn.XLOOKUP($AI31, 'USHE Projections'!$A:$A, IFERROR(_xlfn.XLOOKUP(AM$1, 'USHE Projections'!$A$1:$E$1, 'USHE Projections'!$A:$E), "NONE"), (AM$72-AM30)/($AI$72-$AI30)*($AI31-$AI30)+AM30), (AM$72-AM30)/($AI$72-$AI30)*($AI31-$AI30)+AM30)
        )
      )
    )
  ), 0)</f>
        <v>29517</v>
      </c>
      <c r="AN31" s="20" cm="1">
        <f t="array" ref="AN31">ROUND(
  IF(AND(AN$1="Ensign", $AI31&gt;=2021, $AI31&lt;=2024),
    _xlfn.XLOOKUP($AI31, Ensign!$A$2:$A$12, Ensign!$B$2:$B$12),
    _xlfn.XLOOKUP($AI31, 'Historic (IPEDS &amp; 2019 RTP)'!$A:$A, _xlfn.XLOOKUP(AN$1, 'Historic (IPEDS &amp; 2019 RTP)'!$A$1:$H$1, 'Historic (IPEDS &amp; 2019 RTP)'!$A:$H),
      IFERROR(_xlfn.XLOOKUP($AI31, 'USHE Historic'!$A$3:$A$13, _xlfn.XLOOKUP(AN$1, 'USHE Historic'!$A$2:$E$2, 'USHE Historic'!$A$3:$E$13)),
        _xlfn.IFS(
          AN$1="BYU", IFERROR(_xlfn.XLOOKUP($AI31, 'MAG College Enrollment Forecast'!$A:$A, 'MAG College Enrollment Forecast'!$B:$B), (AN$72-AN30)/($AI$72-$AI30)*($AI31-$AI30)+AN30),
          AN$1="UVU", IFERROR(_xlfn.XLOOKUP($AI31, 'MAG College Enrollment Forecast'!$A:$A, 'MAG College Enrollment Forecast'!$C:$C+'MAG College Enrollment Forecast'!$D:$D+'MAG College Enrollment Forecast'!$E:$E+'MAG College Enrollment Forecast'!$F:$F+'MAG College Enrollment Forecast'!$G:$G+'MAG College Enrollment Forecast'!$H:$H), (AN$72-AN30)/($AI$72-$AI30)*($AI31-$AI30)+AN30),
          TRUE, IFERROR(_xlfn.XLOOKUP($AI31, 'USHE Projections'!$A:$A, IFERROR(_xlfn.XLOOKUP(AN$1, 'USHE Projections'!$A$1:$E$1, 'USHE Projections'!$A:$E), "NONE"), (AN$72-AN30)/($AI$72-$AI30)*($AI31-$AI30)+AN30), (AN$72-AN30)/($AI$72-$AI30)*($AI31-$AI30)+AN30)
        )
      )
    )
  ), 0)</f>
        <v>34318</v>
      </c>
      <c r="AO31" s="20" cm="1">
        <f t="array" ref="AO31">ROUND(
  IF(AND(AO$1="Ensign", $AI31&gt;=2021, $AI31&lt;=2024),
    _xlfn.XLOOKUP($AI31, Ensign!$A$2:$A$12, Ensign!$B$2:$B$12),
    _xlfn.XLOOKUP($AI31, 'Historic (IPEDS &amp; 2019 RTP)'!$A:$A, _xlfn.XLOOKUP(AO$1, 'Historic (IPEDS &amp; 2019 RTP)'!$A$1:$H$1, 'Historic (IPEDS &amp; 2019 RTP)'!$A:$H),
      IFERROR(_xlfn.XLOOKUP($AI31, 'USHE Historic'!$A$3:$A$13, _xlfn.XLOOKUP(AO$1, 'USHE Historic'!$A$2:$E$2, 'USHE Historic'!$A$3:$E$13)),
        _xlfn.IFS(
          AO$1="BYU", IFERROR(_xlfn.XLOOKUP($AI31, 'MAG College Enrollment Forecast'!$A:$A, 'MAG College Enrollment Forecast'!$B:$B), (AO$72-AO30)/($AI$72-$AI30)*($AI31-$AI30)+AO30),
          AO$1="UVU", IFERROR(_xlfn.XLOOKUP($AI31, 'MAG College Enrollment Forecast'!$A:$A, 'MAG College Enrollment Forecast'!$C:$C+'MAG College Enrollment Forecast'!$D:$D+'MAG College Enrollment Forecast'!$E:$E+'MAG College Enrollment Forecast'!$F:$F+'MAG College Enrollment Forecast'!$G:$G+'MAG College Enrollment Forecast'!$H:$H), (AO$72-AO30)/($AI$72-$AI30)*($AI31-$AI30)+AO30),
          TRUE, IFERROR(_xlfn.XLOOKUP($AI31, 'USHE Projections'!$A:$A, IFERROR(_xlfn.XLOOKUP(AO$1, 'USHE Projections'!$A$1:$E$1, 'USHE Projections'!$A:$E), "NONE"), (AO$72-AO30)/($AI$72-$AI30)*($AI31-$AI30)+AO30), (AO$72-AO30)/($AI$72-$AI30)*($AI31-$AI30)+AO30)
        )
      )
    )
  ), 0)</f>
        <v>1929</v>
      </c>
      <c r="AP31" s="20" cm="1">
        <f t="array" ref="AP31">ROUND(
  IF(AND(AP$1="Ensign", $AI31&gt;=2021, $AI31&lt;=2024),
    _xlfn.XLOOKUP($AI31, Ensign!$A$2:$A$12, Ensign!$B$2:$B$12),
    _xlfn.XLOOKUP($AI31, 'Historic (IPEDS &amp; 2019 RTP)'!$A:$A, _xlfn.XLOOKUP(AP$1, 'Historic (IPEDS &amp; 2019 RTP)'!$A$1:$H$1, 'Historic (IPEDS &amp; 2019 RTP)'!$A:$H),
      IFERROR(_xlfn.XLOOKUP($AI31, 'USHE Historic'!$A$3:$A$13, _xlfn.XLOOKUP(AP$1, 'USHE Historic'!$A$2:$E$2, 'USHE Historic'!$A$3:$E$13)),
        _xlfn.IFS(
          AP$1="BYU", IFERROR(_xlfn.XLOOKUP($AI31, 'MAG College Enrollment Forecast'!$A:$A, 'MAG College Enrollment Forecast'!$B:$B), (AP$72-AP30)/($AI$72-$AI30)*($AI31-$AI30)+AP30),
          AP$1="UVU", IFERROR(_xlfn.XLOOKUP($AI31, 'MAG College Enrollment Forecast'!$A:$A, 'MAG College Enrollment Forecast'!$C:$C+'MAG College Enrollment Forecast'!$D:$D+'MAG College Enrollment Forecast'!$E:$E+'MAG College Enrollment Forecast'!$F:$F+'MAG College Enrollment Forecast'!$G:$G+'MAG College Enrollment Forecast'!$H:$H), (AP$72-AP30)/($AI$72-$AI30)*($AI31-$AI30)+AP30),
          TRUE, IFERROR(_xlfn.XLOOKUP($AI31, 'USHE Projections'!$A:$A, IFERROR(_xlfn.XLOOKUP(AP$1, 'USHE Projections'!$A$1:$E$1, 'USHE Projections'!$A:$E), "NONE"), (AP$72-AP30)/($AI$72-$AI30)*($AI31-$AI30)+AP30), (AP$72-AP30)/($AI$72-$AI30)*($AI31-$AI30)+AP30)
        )
      )
    )
  ), 0)</f>
        <v>2215</v>
      </c>
      <c r="AQ31" s="7"/>
    </row>
    <row r="32" spans="1:43">
      <c r="AI32" s="3">
        <v>2020</v>
      </c>
      <c r="AJ32" s="20" cm="1">
        <f t="array" ref="AJ32">ROUND(
  IF(AND(AJ$1="Ensign", $AI32&gt;=2021, $AI32&lt;=2024),
    _xlfn.XLOOKUP($AI32, Ensign!$A$2:$A$12, Ensign!$B$2:$B$12),
    _xlfn.XLOOKUP($AI32, 'Historic (IPEDS &amp; 2019 RTP)'!$A:$A, _xlfn.XLOOKUP(AJ$1, 'Historic (IPEDS &amp; 2019 RTP)'!$A$1:$H$1, 'Historic (IPEDS &amp; 2019 RTP)'!$A:$H),
      IFERROR(_xlfn.XLOOKUP($AI32, 'USHE Historic'!$A$3:$A$13, _xlfn.XLOOKUP(AJ$1, 'USHE Historic'!$A$2:$E$2, 'USHE Historic'!$A$3:$E$13)),
        _xlfn.IFS(
          AJ$1="BYU", IFERROR(_xlfn.XLOOKUP($AI32, 'MAG College Enrollment Forecast'!$A:$A, 'MAG College Enrollment Forecast'!$B:$B), (AJ$72-AJ31)/($AI$72-$AI31)*($AI32-$AI31)+AJ31),
          AJ$1="UVU", IFERROR(_xlfn.XLOOKUP($AI32, 'MAG College Enrollment Forecast'!$A:$A, 'MAG College Enrollment Forecast'!$C:$C+'MAG College Enrollment Forecast'!$D:$D+'MAG College Enrollment Forecast'!$E:$E+'MAG College Enrollment Forecast'!$F:$F+'MAG College Enrollment Forecast'!$G:$G+'MAG College Enrollment Forecast'!$H:$H), (AJ$72-AJ31)/($AI$72-$AI31)*($AI32-$AI31)+AJ31),
          TRUE, IFERROR(_xlfn.XLOOKUP($AI32, 'USHE Projections'!$A:$A, IFERROR(_xlfn.XLOOKUP(AJ$1, 'USHE Projections'!$A$1:$E$1, 'USHE Projections'!$A:$E), "NONE"), (AJ$72-AJ31)/($AI$72-$AI31)*($AI32-$AI31)+AJ31), (AJ$72-AJ31)/($AI$72-$AI31)*($AI32-$AI31)+AJ31)
        )
      )
    )
  ), 0)</f>
        <v>33081</v>
      </c>
      <c r="AK32" s="20" cm="1">
        <f t="array" ref="AK32">ROUND(
  IF(AND(AK$1="Ensign", $AI32&gt;=2021, $AI32&lt;=2024),
    _xlfn.XLOOKUP($AI32, Ensign!$A$2:$A$12, Ensign!$B$2:$B$12),
    _xlfn.XLOOKUP($AI32, 'Historic (IPEDS &amp; 2019 RTP)'!$A:$A, _xlfn.XLOOKUP(AK$1, 'Historic (IPEDS &amp; 2019 RTP)'!$A$1:$H$1, 'Historic (IPEDS &amp; 2019 RTP)'!$A:$H),
      IFERROR(_xlfn.XLOOKUP($AI32, 'USHE Historic'!$A$3:$A$13, _xlfn.XLOOKUP(AK$1, 'USHE Historic'!$A$2:$E$2, 'USHE Historic'!$A$3:$E$13)),
        _xlfn.IFS(
          AK$1="BYU", IFERROR(_xlfn.XLOOKUP($AI32, 'MAG College Enrollment Forecast'!$A:$A, 'MAG College Enrollment Forecast'!$B:$B), (AK$72-AK31)/($AI$72-$AI31)*($AI32-$AI31)+AK31),
          AK$1="UVU", IFERROR(_xlfn.XLOOKUP($AI32, 'MAG College Enrollment Forecast'!$A:$A, 'MAG College Enrollment Forecast'!$C:$C+'MAG College Enrollment Forecast'!$D:$D+'MAG College Enrollment Forecast'!$E:$E+'MAG College Enrollment Forecast'!$F:$F+'MAG College Enrollment Forecast'!$G:$G+'MAG College Enrollment Forecast'!$H:$H), (AK$72-AK31)/($AI$72-$AI31)*($AI32-$AI31)+AK31),
          TRUE, IFERROR(_xlfn.XLOOKUP($AI32, 'USHE Projections'!$A:$A, IFERROR(_xlfn.XLOOKUP(AK$1, 'USHE Projections'!$A$1:$E$1, 'USHE Projections'!$A:$E), "NONE"), (AK$72-AK31)/($AI$72-$AI31)*($AI32-$AI31)+AK31), (AK$72-AK31)/($AI$72-$AI31)*($AI32-$AI31)+AK31)
        )
      )
    )
  ), 0)</f>
        <v>29596</v>
      </c>
      <c r="AL32" s="20" cm="1">
        <f t="array" ref="AL32">ROUND(
  IF(AND(AL$1="Ensign", $AI32&gt;=2021, $AI32&lt;=2024),
    _xlfn.XLOOKUP($AI32, Ensign!$A$2:$A$12, Ensign!$B$2:$B$12),
    _xlfn.XLOOKUP($AI32, 'Historic (IPEDS &amp; 2019 RTP)'!$A:$A, _xlfn.XLOOKUP(AL$1, 'Historic (IPEDS &amp; 2019 RTP)'!$A$1:$H$1, 'Historic (IPEDS &amp; 2019 RTP)'!$A:$H),
      IFERROR(_xlfn.XLOOKUP($AI32, 'USHE Historic'!$A$3:$A$13, _xlfn.XLOOKUP(AL$1, 'USHE Historic'!$A$2:$E$2, 'USHE Historic'!$A$3:$E$13)),
        _xlfn.IFS(
          AL$1="BYU", IFERROR(_xlfn.XLOOKUP($AI32, 'MAG College Enrollment Forecast'!$A:$A, 'MAG College Enrollment Forecast'!$B:$B), (AL$72-AL31)/($AI$72-$AI31)*($AI32-$AI31)+AL31),
          AL$1="UVU", IFERROR(_xlfn.XLOOKUP($AI32, 'MAG College Enrollment Forecast'!$A:$A, 'MAG College Enrollment Forecast'!$C:$C+'MAG College Enrollment Forecast'!$D:$D+'MAG College Enrollment Forecast'!$E:$E+'MAG College Enrollment Forecast'!$F:$F+'MAG College Enrollment Forecast'!$G:$G+'MAG College Enrollment Forecast'!$H:$H), (AL$72-AL31)/($AI$72-$AI31)*($AI32-$AI31)+AL31),
          TRUE, IFERROR(_xlfn.XLOOKUP($AI32, 'USHE Projections'!$A:$A, IFERROR(_xlfn.XLOOKUP(AL$1, 'USHE Projections'!$A$1:$E$1, 'USHE Projections'!$A:$E), "NONE"), (AL$72-AL31)/($AI$72-$AI31)*($AI32-$AI31)+AL31), (AL$72-AL31)/($AI$72-$AI31)*($AI32-$AI31)+AL31)
        )
      )
    )
  ), 0)</f>
        <v>40936</v>
      </c>
      <c r="AM32" s="20" cm="1">
        <f t="array" ref="AM32">ROUND(
  IF(AND(AM$1="Ensign", $AI32&gt;=2021, $AI32&lt;=2024),
    _xlfn.XLOOKUP($AI32, Ensign!$A$2:$A$12, Ensign!$B$2:$B$12),
    _xlfn.XLOOKUP($AI32, 'Historic (IPEDS &amp; 2019 RTP)'!$A:$A, _xlfn.XLOOKUP(AM$1, 'Historic (IPEDS &amp; 2019 RTP)'!$A$1:$H$1, 'Historic (IPEDS &amp; 2019 RTP)'!$A:$H),
      IFERROR(_xlfn.XLOOKUP($AI32, 'USHE Historic'!$A$3:$A$13, _xlfn.XLOOKUP(AM$1, 'USHE Historic'!$A$2:$E$2, 'USHE Historic'!$A$3:$E$13)),
        _xlfn.IFS(
          AM$1="BYU", IFERROR(_xlfn.XLOOKUP($AI32, 'MAG College Enrollment Forecast'!$A:$A, 'MAG College Enrollment Forecast'!$B:$B), (AM$72-AM31)/($AI$72-$AI31)*($AI32-$AI31)+AM31),
          AM$1="UVU", IFERROR(_xlfn.XLOOKUP($AI32, 'MAG College Enrollment Forecast'!$A:$A, 'MAG College Enrollment Forecast'!$C:$C+'MAG College Enrollment Forecast'!$D:$D+'MAG College Enrollment Forecast'!$E:$E+'MAG College Enrollment Forecast'!$F:$F+'MAG College Enrollment Forecast'!$G:$G+'MAG College Enrollment Forecast'!$H:$H), (AM$72-AM31)/($AI$72-$AI31)*($AI32-$AI31)+AM31),
          TRUE, IFERROR(_xlfn.XLOOKUP($AI32, 'USHE Projections'!$A:$A, IFERROR(_xlfn.XLOOKUP(AM$1, 'USHE Projections'!$A$1:$E$1, 'USHE Projections'!$A:$E), "NONE"), (AM$72-AM31)/($AI$72-$AI31)*($AI32-$AI31)+AM31), (AM$72-AM31)/($AI$72-$AI31)*($AI32-$AI31)+AM31)
        )
      )
    )
  ), 0)</f>
        <v>27293</v>
      </c>
      <c r="AN32" s="20" cm="1">
        <f t="array" ref="AN32">ROUND(
  IF(AND(AN$1="Ensign", $AI32&gt;=2021, $AI32&lt;=2024),
    _xlfn.XLOOKUP($AI32, Ensign!$A$2:$A$12, Ensign!$B$2:$B$12),
    _xlfn.XLOOKUP($AI32, 'Historic (IPEDS &amp; 2019 RTP)'!$A:$A, _xlfn.XLOOKUP(AN$1, 'Historic (IPEDS &amp; 2019 RTP)'!$A$1:$H$1, 'Historic (IPEDS &amp; 2019 RTP)'!$A:$H),
      IFERROR(_xlfn.XLOOKUP($AI32, 'USHE Historic'!$A$3:$A$13, _xlfn.XLOOKUP(AN$1, 'USHE Historic'!$A$2:$E$2, 'USHE Historic'!$A$3:$E$13)),
        _xlfn.IFS(
          AN$1="BYU", IFERROR(_xlfn.XLOOKUP($AI32, 'MAG College Enrollment Forecast'!$A:$A, 'MAG College Enrollment Forecast'!$B:$B), (AN$72-AN31)/($AI$72-$AI31)*($AI32-$AI31)+AN31),
          AN$1="UVU", IFERROR(_xlfn.XLOOKUP($AI32, 'MAG College Enrollment Forecast'!$A:$A, 'MAG College Enrollment Forecast'!$C:$C+'MAG College Enrollment Forecast'!$D:$D+'MAG College Enrollment Forecast'!$E:$E+'MAG College Enrollment Forecast'!$F:$F+'MAG College Enrollment Forecast'!$G:$G+'MAG College Enrollment Forecast'!$H:$H), (AN$72-AN31)/($AI$72-$AI31)*($AI32-$AI31)+AN31),
          TRUE, IFERROR(_xlfn.XLOOKUP($AI32, 'USHE Projections'!$A:$A, IFERROR(_xlfn.XLOOKUP(AN$1, 'USHE Projections'!$A$1:$E$1, 'USHE Projections'!$A:$E), "NONE"), (AN$72-AN31)/($AI$72-$AI31)*($AI32-$AI31)+AN31), (AN$72-AN31)/($AI$72-$AI31)*($AI32-$AI31)+AN31)
        )
      )
    )
  ), 0)</f>
        <v>36461</v>
      </c>
      <c r="AO32" s="20" cm="1">
        <f t="array" ref="AO32">ROUND(
  IF(AND(AO$1="Ensign", $AI32&gt;=2021, $AI32&lt;=2024),
    _xlfn.XLOOKUP($AI32, Ensign!$A$2:$A$12, Ensign!$B$2:$B$12),
    _xlfn.XLOOKUP($AI32, 'Historic (IPEDS &amp; 2019 RTP)'!$A:$A, _xlfn.XLOOKUP(AO$1, 'Historic (IPEDS &amp; 2019 RTP)'!$A$1:$H$1, 'Historic (IPEDS &amp; 2019 RTP)'!$A:$H),
      IFERROR(_xlfn.XLOOKUP($AI32, 'USHE Historic'!$A$3:$A$13, _xlfn.XLOOKUP(AO$1, 'USHE Historic'!$A$2:$E$2, 'USHE Historic'!$A$3:$E$13)),
        _xlfn.IFS(
          AO$1="BYU", IFERROR(_xlfn.XLOOKUP($AI32, 'MAG College Enrollment Forecast'!$A:$A, 'MAG College Enrollment Forecast'!$B:$B), (AO$72-AO31)/($AI$72-$AI31)*($AI32-$AI31)+AO31),
          AO$1="UVU", IFERROR(_xlfn.XLOOKUP($AI32, 'MAG College Enrollment Forecast'!$A:$A, 'MAG College Enrollment Forecast'!$C:$C+'MAG College Enrollment Forecast'!$D:$D+'MAG College Enrollment Forecast'!$E:$E+'MAG College Enrollment Forecast'!$F:$F+'MAG College Enrollment Forecast'!$G:$G+'MAG College Enrollment Forecast'!$H:$H), (AO$72-AO31)/($AI$72-$AI31)*($AI32-$AI31)+AO31),
          TRUE, IFERROR(_xlfn.XLOOKUP($AI32, 'USHE Projections'!$A:$A, IFERROR(_xlfn.XLOOKUP(AO$1, 'USHE Projections'!$A$1:$E$1, 'USHE Projections'!$A:$E), "NONE"), (AO$72-AO31)/($AI$72-$AI31)*($AI32-$AI31)+AO31), (AO$72-AO31)/($AI$72-$AI31)*($AI32-$AI31)+AO31)
        )
      )
    )
  ), 0)</f>
        <v>1829</v>
      </c>
      <c r="AP32" s="20" cm="1">
        <f t="array" ref="AP32">ROUND(
  IF(AND(AP$1="Ensign", $AI32&gt;=2021, $AI32&lt;=2024),
    _xlfn.XLOOKUP($AI32, Ensign!$A$2:$A$12, Ensign!$B$2:$B$12),
    _xlfn.XLOOKUP($AI32, 'Historic (IPEDS &amp; 2019 RTP)'!$A:$A, _xlfn.XLOOKUP(AP$1, 'Historic (IPEDS &amp; 2019 RTP)'!$A$1:$H$1, 'Historic (IPEDS &amp; 2019 RTP)'!$A:$H),
      IFERROR(_xlfn.XLOOKUP($AI32, 'USHE Historic'!$A$3:$A$13, _xlfn.XLOOKUP(AP$1, 'USHE Historic'!$A$2:$E$2, 'USHE Historic'!$A$3:$E$13)),
        _xlfn.IFS(
          AP$1="BYU", IFERROR(_xlfn.XLOOKUP($AI32, 'MAG College Enrollment Forecast'!$A:$A, 'MAG College Enrollment Forecast'!$B:$B), (AP$72-AP31)/($AI$72-$AI31)*($AI32-$AI31)+AP31),
          AP$1="UVU", IFERROR(_xlfn.XLOOKUP($AI32, 'MAG College Enrollment Forecast'!$A:$A, 'MAG College Enrollment Forecast'!$C:$C+'MAG College Enrollment Forecast'!$D:$D+'MAG College Enrollment Forecast'!$E:$E+'MAG College Enrollment Forecast'!$F:$F+'MAG College Enrollment Forecast'!$G:$G+'MAG College Enrollment Forecast'!$H:$H), (AP$72-AP31)/($AI$72-$AI31)*($AI32-$AI31)+AP31),
          TRUE, IFERROR(_xlfn.XLOOKUP($AI32, 'USHE Projections'!$A:$A, IFERROR(_xlfn.XLOOKUP(AP$1, 'USHE Projections'!$A$1:$E$1, 'USHE Projections'!$A:$E), "NONE"), (AP$72-AP31)/($AI$72-$AI31)*($AI32-$AI31)+AP31), (AP$72-AP31)/($AI$72-$AI31)*($AI32-$AI31)+AP31)
        )
      )
    )
  ), 0)</f>
        <v>1849</v>
      </c>
      <c r="AQ32" s="7"/>
    </row>
    <row r="33" spans="35:44">
      <c r="AI33" s="3">
        <v>2021</v>
      </c>
      <c r="AJ33" s="20" cm="1">
        <f t="array" ref="AJ33">ROUND(
  IF(AND(AJ$1="Ensign", $AI33&gt;=2021, $AI33&lt;=2024),
    _xlfn.XLOOKUP($AI33, Ensign!$A$2:$A$12, Ensign!$B$2:$B$12),
    _xlfn.XLOOKUP($AI33, 'Historic (IPEDS &amp; 2019 RTP)'!$A:$A, _xlfn.XLOOKUP(AJ$1, 'Historic (IPEDS &amp; 2019 RTP)'!$A$1:$H$1, 'Historic (IPEDS &amp; 2019 RTP)'!$A:$H),
      IFERROR(_xlfn.XLOOKUP($AI33, 'USHE Historic'!$A$3:$A$13, _xlfn.XLOOKUP(AJ$1, 'USHE Historic'!$A$2:$E$2, 'USHE Historic'!$A$3:$E$13)),
        _xlfn.IFS(
          AJ$1="BYU", IFERROR(_xlfn.XLOOKUP($AI33, 'MAG College Enrollment Forecast'!$A:$A, 'MAG College Enrollment Forecast'!$B:$B), (AJ$72-AJ32)/($AI$72-$AI32)*($AI33-$AI32)+AJ32),
          AJ$1="UVU", IFERROR(_xlfn.XLOOKUP($AI33, 'MAG College Enrollment Forecast'!$A:$A, 'MAG College Enrollment Forecast'!$C:$C+'MAG College Enrollment Forecast'!$D:$D+'MAG College Enrollment Forecast'!$E:$E+'MAG College Enrollment Forecast'!$F:$F+'MAG College Enrollment Forecast'!$G:$G+'MAG College Enrollment Forecast'!$H:$H), (AJ$72-AJ32)/($AI$72-$AI32)*($AI33-$AI32)+AJ32),
          TRUE, IFERROR(_xlfn.XLOOKUP($AI33, 'USHE Projections'!$A:$A, IFERROR(_xlfn.XLOOKUP(AJ$1, 'USHE Projections'!$A$1:$E$1, 'USHE Projections'!$A:$E), "NONE"), (AJ$72-AJ32)/($AI$72-$AI32)*($AI33-$AI32)+AJ32), (AJ$72-AJ32)/($AI$72-$AI32)*($AI33-$AI32)+AJ32)
        )
      )
    )
  ), 0)</f>
        <v>34464</v>
      </c>
      <c r="AK33" s="20" cm="1">
        <f t="array" ref="AK33">ROUND(
  IF(AND(AK$1="Ensign", $AI33&gt;=2021, $AI33&lt;=2024),
    _xlfn.XLOOKUP($AI33, Ensign!$A$2:$A$12, Ensign!$B$2:$B$12),
    _xlfn.XLOOKUP($AI33, 'Historic (IPEDS &amp; 2019 RTP)'!$A:$A, _xlfn.XLOOKUP(AK$1, 'Historic (IPEDS &amp; 2019 RTP)'!$A$1:$H$1, 'Historic (IPEDS &amp; 2019 RTP)'!$A:$H),
      IFERROR(_xlfn.XLOOKUP($AI33, 'USHE Historic'!$A$3:$A$13, _xlfn.XLOOKUP(AK$1, 'USHE Historic'!$A$2:$E$2, 'USHE Historic'!$A$3:$E$13)),
        _xlfn.IFS(
          AK$1="BYU", IFERROR(_xlfn.XLOOKUP($AI33, 'MAG College Enrollment Forecast'!$A:$A, 'MAG College Enrollment Forecast'!$B:$B), (AK$72-AK32)/($AI$72-$AI32)*($AI33-$AI32)+AK32),
          AK$1="UVU", IFERROR(_xlfn.XLOOKUP($AI33, 'MAG College Enrollment Forecast'!$A:$A, 'MAG College Enrollment Forecast'!$C:$C+'MAG College Enrollment Forecast'!$D:$D+'MAG College Enrollment Forecast'!$E:$E+'MAG College Enrollment Forecast'!$F:$F+'MAG College Enrollment Forecast'!$G:$G+'MAG College Enrollment Forecast'!$H:$H), (AK$72-AK32)/($AI$72-$AI32)*($AI33-$AI32)+AK32),
          TRUE, IFERROR(_xlfn.XLOOKUP($AI33, 'USHE Projections'!$A:$A, IFERROR(_xlfn.XLOOKUP(AK$1, 'USHE Projections'!$A$1:$E$1, 'USHE Projections'!$A:$E), "NONE"), (AK$72-AK32)/($AI$72-$AI32)*($AI33-$AI32)+AK32), (AK$72-AK32)/($AI$72-$AI32)*($AI33-$AI32)+AK32)
        )
      )
    )
  ), 0)</f>
        <v>29774</v>
      </c>
      <c r="AL33" s="20" cm="1">
        <f t="array" ref="AL33">ROUND(
  IF(AND(AL$1="Ensign", $AI33&gt;=2021, $AI33&lt;=2024),
    _xlfn.XLOOKUP($AI33, Ensign!$A$2:$A$12, Ensign!$B$2:$B$12),
    _xlfn.XLOOKUP($AI33, 'Historic (IPEDS &amp; 2019 RTP)'!$A:$A, _xlfn.XLOOKUP(AL$1, 'Historic (IPEDS &amp; 2019 RTP)'!$A$1:$H$1, 'Historic (IPEDS &amp; 2019 RTP)'!$A:$H),
      IFERROR(_xlfn.XLOOKUP($AI33, 'USHE Historic'!$A$3:$A$13, _xlfn.XLOOKUP(AL$1, 'USHE Historic'!$A$2:$E$2, 'USHE Historic'!$A$3:$E$13)),
        _xlfn.IFS(
          AL$1="BYU", IFERROR(_xlfn.XLOOKUP($AI33, 'MAG College Enrollment Forecast'!$A:$A, 'MAG College Enrollment Forecast'!$B:$B), (AL$72-AL32)/($AI$72-$AI32)*($AI33-$AI32)+AL32),
          AL$1="UVU", IFERROR(_xlfn.XLOOKUP($AI33, 'MAG College Enrollment Forecast'!$A:$A, 'MAG College Enrollment Forecast'!$C:$C+'MAG College Enrollment Forecast'!$D:$D+'MAG College Enrollment Forecast'!$E:$E+'MAG College Enrollment Forecast'!$F:$F+'MAG College Enrollment Forecast'!$G:$G+'MAG College Enrollment Forecast'!$H:$H), (AL$72-AL32)/($AI$72-$AI32)*($AI33-$AI32)+AL32),
          TRUE, IFERROR(_xlfn.XLOOKUP($AI33, 'USHE Projections'!$A:$A, IFERROR(_xlfn.XLOOKUP(AL$1, 'USHE Projections'!$A$1:$E$1, 'USHE Projections'!$A:$E), "NONE"), (AL$72-AL32)/($AI$72-$AI32)*($AI33-$AI32)+AL32), (AL$72-AL32)/($AI$72-$AI32)*($AI33-$AI32)+AL32)
        )
      )
    )
  ), 0)</f>
        <v>41262</v>
      </c>
      <c r="AM33" s="20" cm="1">
        <f t="array" ref="AM33">ROUND(
  IF(AND(AM$1="Ensign", $AI33&gt;=2021, $AI33&lt;=2024),
    _xlfn.XLOOKUP($AI33, Ensign!$A$2:$A$12, Ensign!$B$2:$B$12),
    _xlfn.XLOOKUP($AI33, 'Historic (IPEDS &amp; 2019 RTP)'!$A:$A, _xlfn.XLOOKUP(AM$1, 'Historic (IPEDS &amp; 2019 RTP)'!$A$1:$H$1, 'Historic (IPEDS &amp; 2019 RTP)'!$A:$H),
      IFERROR(_xlfn.XLOOKUP($AI33, 'USHE Historic'!$A$3:$A$13, _xlfn.XLOOKUP(AM$1, 'USHE Historic'!$A$2:$E$2, 'USHE Historic'!$A$3:$E$13)),
        _xlfn.IFS(
          AM$1="BYU", IFERROR(_xlfn.XLOOKUP($AI33, 'MAG College Enrollment Forecast'!$A:$A, 'MAG College Enrollment Forecast'!$B:$B), (AM$72-AM32)/($AI$72-$AI32)*($AI33-$AI32)+AM32),
          AM$1="UVU", IFERROR(_xlfn.XLOOKUP($AI33, 'MAG College Enrollment Forecast'!$A:$A, 'MAG College Enrollment Forecast'!$C:$C+'MAG College Enrollment Forecast'!$D:$D+'MAG College Enrollment Forecast'!$E:$E+'MAG College Enrollment Forecast'!$F:$F+'MAG College Enrollment Forecast'!$G:$G+'MAG College Enrollment Forecast'!$H:$H), (AM$72-AM32)/($AI$72-$AI32)*($AI33-$AI32)+AM32),
          TRUE, IFERROR(_xlfn.XLOOKUP($AI33, 'USHE Projections'!$A:$A, IFERROR(_xlfn.XLOOKUP(AM$1, 'USHE Projections'!$A$1:$E$1, 'USHE Projections'!$A:$E), "NONE"), (AM$72-AM32)/($AI$72-$AI32)*($AI33-$AI32)+AM32), (AM$72-AM32)/($AI$72-$AI32)*($AI33-$AI32)+AM32)
        )
      )
    )
  ), 0)</f>
        <v>27225</v>
      </c>
      <c r="AN33" s="20" cm="1">
        <f t="array" ref="AN33">ROUND(
  IF(AND(AN$1="Ensign", $AI33&gt;=2021, $AI33&lt;=2024),
    _xlfn.XLOOKUP($AI33, Ensign!$A$2:$A$12, Ensign!$B$2:$B$12),
    _xlfn.XLOOKUP($AI33, 'Historic (IPEDS &amp; 2019 RTP)'!$A:$A, _xlfn.XLOOKUP(AN$1, 'Historic (IPEDS &amp; 2019 RTP)'!$A$1:$H$1, 'Historic (IPEDS &amp; 2019 RTP)'!$A:$H),
      IFERROR(_xlfn.XLOOKUP($AI33, 'USHE Historic'!$A$3:$A$13, _xlfn.XLOOKUP(AN$1, 'USHE Historic'!$A$2:$E$2, 'USHE Historic'!$A$3:$E$13)),
        _xlfn.IFS(
          AN$1="BYU", IFERROR(_xlfn.XLOOKUP($AI33, 'MAG College Enrollment Forecast'!$A:$A, 'MAG College Enrollment Forecast'!$B:$B), (AN$72-AN32)/($AI$72-$AI32)*($AI33-$AI32)+AN32),
          AN$1="UVU", IFERROR(_xlfn.XLOOKUP($AI33, 'MAG College Enrollment Forecast'!$A:$A, 'MAG College Enrollment Forecast'!$C:$C+'MAG College Enrollment Forecast'!$D:$D+'MAG College Enrollment Forecast'!$E:$E+'MAG College Enrollment Forecast'!$F:$F+'MAG College Enrollment Forecast'!$G:$G+'MAG College Enrollment Forecast'!$H:$H), (AN$72-AN32)/($AI$72-$AI32)*($AI33-$AI32)+AN32),
          TRUE, IFERROR(_xlfn.XLOOKUP($AI33, 'USHE Projections'!$A:$A, IFERROR(_xlfn.XLOOKUP(AN$1, 'USHE Projections'!$A$1:$E$1, 'USHE Projections'!$A:$E), "NONE"), (AN$72-AN32)/($AI$72-$AI32)*($AI33-$AI32)+AN32), (AN$72-AN32)/($AI$72-$AI32)*($AI33-$AI32)+AN32)
        )
      )
    )
  ), 0)</f>
        <v>34811</v>
      </c>
      <c r="AO33" s="19" cm="1">
        <f t="array" ref="AO33">ROUND(
  IF(AND(AO$1="Ensign", $AI33&gt;=2021, $AI33&lt;=2024),
    _xlfn.XLOOKUP($AI33, Ensign!$A$2:$A$12, Ensign!$B$2:$B$12),
    _xlfn.XLOOKUP($AI33, 'Historic (IPEDS &amp; 2019 RTP)'!$A:$A, _xlfn.XLOOKUP(AO$1, 'Historic (IPEDS &amp; 2019 RTP)'!$A$1:$H$1, 'Historic (IPEDS &amp; 2019 RTP)'!$A:$H),
      IFERROR(_xlfn.XLOOKUP($AI33, 'USHE Historic'!$A$3:$A$13, _xlfn.XLOOKUP(AO$1, 'USHE Historic'!$A$2:$E$2, 'USHE Historic'!$A$3:$E$13)),
        _xlfn.IFS(
          AO$1="BYU", IFERROR(_xlfn.XLOOKUP($AI33, 'MAG College Enrollment Forecast'!$A:$A, 'MAG College Enrollment Forecast'!$B:$B), (AO$72-AO32)/($AI$72-$AI32)*($AI33-$AI32)+AO32),
          AO$1="UVU", IFERROR(_xlfn.XLOOKUP($AI33, 'MAG College Enrollment Forecast'!$A:$A, 'MAG College Enrollment Forecast'!$C:$C+'MAG College Enrollment Forecast'!$D:$D+'MAG College Enrollment Forecast'!$E:$E+'MAG College Enrollment Forecast'!$F:$F+'MAG College Enrollment Forecast'!$G:$G+'MAG College Enrollment Forecast'!$H:$H), (AO$72-AO32)/($AI$72-$AI32)*($AI33-$AI32)+AO32),
          TRUE, IFERROR(_xlfn.XLOOKUP($AI33, 'USHE Projections'!$A:$A, IFERROR(_xlfn.XLOOKUP(AO$1, 'USHE Projections'!$A$1:$E$1, 'USHE Projections'!$A:$E), "NONE"), (AO$72-AO32)/($AI$72-$AI32)*($AI33-$AI32)+AO32), (AO$72-AO32)/($AI$72-$AI32)*($AI33-$AI32)+AO32)
        )
      )
    )
  ), 0)</f>
        <v>1731</v>
      </c>
      <c r="AP33" s="20" cm="1">
        <f t="array" ref="AP33">ROUND(
  IF(AND(AP$1="Ensign", $AI33&gt;=2021, $AI33&lt;=2024),
    _xlfn.XLOOKUP($AI33, Ensign!$A$2:$A$12, Ensign!$B$2:$B$12),
    _xlfn.XLOOKUP($AI33, 'Historic (IPEDS &amp; 2019 RTP)'!$A:$A, _xlfn.XLOOKUP(AP$1, 'Historic (IPEDS &amp; 2019 RTP)'!$A$1:$H$1, 'Historic (IPEDS &amp; 2019 RTP)'!$A:$H),
      IFERROR(_xlfn.XLOOKUP($AI33, 'USHE Historic'!$A$3:$A$13, _xlfn.XLOOKUP(AP$1, 'USHE Historic'!$A$2:$E$2, 'USHE Historic'!$A$3:$E$13)),
        _xlfn.IFS(
          AP$1="BYU", IFERROR(_xlfn.XLOOKUP($AI33, 'MAG College Enrollment Forecast'!$A:$A, 'MAG College Enrollment Forecast'!$B:$B), (AP$72-AP32)/($AI$72-$AI32)*($AI33-$AI32)+AP32),
          AP$1="UVU", IFERROR(_xlfn.XLOOKUP($AI33, 'MAG College Enrollment Forecast'!$A:$A, 'MAG College Enrollment Forecast'!$C:$C+'MAG College Enrollment Forecast'!$D:$D+'MAG College Enrollment Forecast'!$E:$E+'MAG College Enrollment Forecast'!$F:$F+'MAG College Enrollment Forecast'!$G:$G+'MAG College Enrollment Forecast'!$H:$H), (AP$72-AP32)/($AI$72-$AI32)*($AI33-$AI32)+AP32),
          TRUE, IFERROR(_xlfn.XLOOKUP($AI33, 'USHE Projections'!$A:$A, IFERROR(_xlfn.XLOOKUP(AP$1, 'USHE Projections'!$A$1:$E$1, 'USHE Projections'!$A:$E), "NONE"), (AP$72-AP32)/($AI$72-$AI32)*($AI33-$AI32)+AP32), (AP$72-AP32)/($AI$72-$AI32)*($AI33-$AI32)+AP32)
        )
      )
    )
  ), 0)</f>
        <v>1535</v>
      </c>
      <c r="AQ33" s="7"/>
    </row>
    <row r="34" spans="35:44">
      <c r="AI34" s="3">
        <v>2022</v>
      </c>
      <c r="AJ34" s="20" cm="1">
        <f t="array" ref="AJ34">ROUND(
  IF(AND(AJ$1="Ensign", $AI34&gt;=2021, $AI34&lt;=2024),
    _xlfn.XLOOKUP($AI34, Ensign!$A$2:$A$12, Ensign!$B$2:$B$12),
    _xlfn.XLOOKUP($AI34, 'Historic (IPEDS &amp; 2019 RTP)'!$A:$A, _xlfn.XLOOKUP(AJ$1, 'Historic (IPEDS &amp; 2019 RTP)'!$A$1:$H$1, 'Historic (IPEDS &amp; 2019 RTP)'!$A:$H),
      IFERROR(_xlfn.XLOOKUP($AI34, 'USHE Historic'!$A$3:$A$13, _xlfn.XLOOKUP(AJ$1, 'USHE Historic'!$A$2:$E$2, 'USHE Historic'!$A$3:$E$13)),
        _xlfn.IFS(
          AJ$1="BYU", IFERROR(_xlfn.XLOOKUP($AI34, 'MAG College Enrollment Forecast'!$A:$A, 'MAG College Enrollment Forecast'!$B:$B), (AJ$72-AJ33)/($AI$72-$AI33)*($AI34-$AI33)+AJ33),
          AJ$1="UVU", IFERROR(_xlfn.XLOOKUP($AI34, 'MAG College Enrollment Forecast'!$A:$A, 'MAG College Enrollment Forecast'!$C:$C+'MAG College Enrollment Forecast'!$D:$D+'MAG College Enrollment Forecast'!$E:$E+'MAG College Enrollment Forecast'!$F:$F+'MAG College Enrollment Forecast'!$G:$G+'MAG College Enrollment Forecast'!$H:$H), (AJ$72-AJ33)/($AI$72-$AI33)*($AI34-$AI33)+AJ33),
          TRUE, IFERROR(_xlfn.XLOOKUP($AI34, 'USHE Projections'!$A:$A, IFERROR(_xlfn.XLOOKUP(AJ$1, 'USHE Projections'!$A$1:$E$1, 'USHE Projections'!$A:$E), "NONE"), (AJ$72-AJ33)/($AI$72-$AI33)*($AI34-$AI33)+AJ33), (AJ$72-AJ33)/($AI$72-$AI33)*($AI34-$AI33)+AJ33)
        )
      )
    )
  ), 0)</f>
        <v>34734</v>
      </c>
      <c r="AK34" s="20" cm="1">
        <f t="array" ref="AK34">ROUND(
  IF(AND(AK$1="Ensign", $AI34&gt;=2021, $AI34&lt;=2024),
    _xlfn.XLOOKUP($AI34, Ensign!$A$2:$A$12, Ensign!$B$2:$B$12),
    _xlfn.XLOOKUP($AI34, 'Historic (IPEDS &amp; 2019 RTP)'!$A:$A, _xlfn.XLOOKUP(AK$1, 'Historic (IPEDS &amp; 2019 RTP)'!$A$1:$H$1, 'Historic (IPEDS &amp; 2019 RTP)'!$A:$H),
      IFERROR(_xlfn.XLOOKUP($AI34, 'USHE Historic'!$A$3:$A$13, _xlfn.XLOOKUP(AK$1, 'USHE Historic'!$A$2:$E$2, 'USHE Historic'!$A$3:$E$13)),
        _xlfn.IFS(
          AK$1="BYU", IFERROR(_xlfn.XLOOKUP($AI34, 'MAG College Enrollment Forecast'!$A:$A, 'MAG College Enrollment Forecast'!$B:$B), (AK$72-AK33)/($AI$72-$AI33)*($AI34-$AI33)+AK33),
          AK$1="UVU", IFERROR(_xlfn.XLOOKUP($AI34, 'MAG College Enrollment Forecast'!$A:$A, 'MAG College Enrollment Forecast'!$C:$C+'MAG College Enrollment Forecast'!$D:$D+'MAG College Enrollment Forecast'!$E:$E+'MAG College Enrollment Forecast'!$F:$F+'MAG College Enrollment Forecast'!$G:$G+'MAG College Enrollment Forecast'!$H:$H), (AK$72-AK33)/($AI$72-$AI33)*($AI34-$AI33)+AK33),
          TRUE, IFERROR(_xlfn.XLOOKUP($AI34, 'USHE Projections'!$A:$A, IFERROR(_xlfn.XLOOKUP(AK$1, 'USHE Projections'!$A$1:$E$1, 'USHE Projections'!$A:$E), "NONE"), (AK$72-AK33)/($AI$72-$AI33)*($AI34-$AI33)+AK33), (AK$72-AK33)/($AI$72-$AI33)*($AI34-$AI33)+AK33)
        )
      )
    )
  ), 0)</f>
        <v>29914</v>
      </c>
      <c r="AL34" s="20" cm="1">
        <f t="array" ref="AL34">ROUND(
  IF(AND(AL$1="Ensign", $AI34&gt;=2021, $AI34&lt;=2024),
    _xlfn.XLOOKUP($AI34, Ensign!$A$2:$A$12, Ensign!$B$2:$B$12),
    _xlfn.XLOOKUP($AI34, 'Historic (IPEDS &amp; 2019 RTP)'!$A:$A, _xlfn.XLOOKUP(AL$1, 'Historic (IPEDS &amp; 2019 RTP)'!$A$1:$H$1, 'Historic (IPEDS &amp; 2019 RTP)'!$A:$H),
      IFERROR(_xlfn.XLOOKUP($AI34, 'USHE Historic'!$A$3:$A$13, _xlfn.XLOOKUP(AL$1, 'USHE Historic'!$A$2:$E$2, 'USHE Historic'!$A$3:$E$13)),
        _xlfn.IFS(
          AL$1="BYU", IFERROR(_xlfn.XLOOKUP($AI34, 'MAG College Enrollment Forecast'!$A:$A, 'MAG College Enrollment Forecast'!$B:$B), (AL$72-AL33)/($AI$72-$AI33)*($AI34-$AI33)+AL33),
          AL$1="UVU", IFERROR(_xlfn.XLOOKUP($AI34, 'MAG College Enrollment Forecast'!$A:$A, 'MAG College Enrollment Forecast'!$C:$C+'MAG College Enrollment Forecast'!$D:$D+'MAG College Enrollment Forecast'!$E:$E+'MAG College Enrollment Forecast'!$F:$F+'MAG College Enrollment Forecast'!$G:$G+'MAG College Enrollment Forecast'!$H:$H), (AL$72-AL33)/($AI$72-$AI33)*($AI34-$AI33)+AL33),
          TRUE, IFERROR(_xlfn.XLOOKUP($AI34, 'USHE Projections'!$A:$A, IFERROR(_xlfn.XLOOKUP(AL$1, 'USHE Projections'!$A$1:$E$1, 'USHE Projections'!$A:$E), "NONE"), (AL$72-AL33)/($AI$72-$AI33)*($AI34-$AI33)+AL33), (AL$72-AL33)/($AI$72-$AI33)*($AI34-$AI33)+AL33)
        )
      )
    )
  ), 0)</f>
        <v>43099</v>
      </c>
      <c r="AM34" s="20" cm="1">
        <f t="array" ref="AM34">ROUND(
  IF(AND(AM$1="Ensign", $AI34&gt;=2021, $AI34&lt;=2024),
    _xlfn.XLOOKUP($AI34, Ensign!$A$2:$A$12, Ensign!$B$2:$B$12),
    _xlfn.XLOOKUP($AI34, 'Historic (IPEDS &amp; 2019 RTP)'!$A:$A, _xlfn.XLOOKUP(AM$1, 'Historic (IPEDS &amp; 2019 RTP)'!$A$1:$H$1, 'Historic (IPEDS &amp; 2019 RTP)'!$A:$H),
      IFERROR(_xlfn.XLOOKUP($AI34, 'USHE Historic'!$A$3:$A$13, _xlfn.XLOOKUP(AM$1, 'USHE Historic'!$A$2:$E$2, 'USHE Historic'!$A$3:$E$13)),
        _xlfn.IFS(
          AM$1="BYU", IFERROR(_xlfn.XLOOKUP($AI34, 'MAG College Enrollment Forecast'!$A:$A, 'MAG College Enrollment Forecast'!$B:$B), (AM$72-AM33)/($AI$72-$AI33)*($AI34-$AI33)+AM33),
          AM$1="UVU", IFERROR(_xlfn.XLOOKUP($AI34, 'MAG College Enrollment Forecast'!$A:$A, 'MAG College Enrollment Forecast'!$C:$C+'MAG College Enrollment Forecast'!$D:$D+'MAG College Enrollment Forecast'!$E:$E+'MAG College Enrollment Forecast'!$F:$F+'MAG College Enrollment Forecast'!$G:$G+'MAG College Enrollment Forecast'!$H:$H), (AM$72-AM33)/($AI$72-$AI33)*($AI34-$AI33)+AM33),
          TRUE, IFERROR(_xlfn.XLOOKUP($AI34, 'USHE Projections'!$A:$A, IFERROR(_xlfn.XLOOKUP(AM$1, 'USHE Projections'!$A$1:$E$1, 'USHE Projections'!$A:$E), "NONE"), (AM$72-AM33)/($AI$72-$AI33)*($AI34-$AI33)+AM33), (AM$72-AM33)/($AI$72-$AI33)*($AI34-$AI33)+AM33)
        )
      )
    )
  ), 0)</f>
        <v>26300</v>
      </c>
      <c r="AN34" s="20" cm="1">
        <f t="array" ref="AN34">ROUND(
  IF(AND(AN$1="Ensign", $AI34&gt;=2021, $AI34&lt;=2024),
    _xlfn.XLOOKUP($AI34, Ensign!$A$2:$A$12, Ensign!$B$2:$B$12),
    _xlfn.XLOOKUP($AI34, 'Historic (IPEDS &amp; 2019 RTP)'!$A:$A, _xlfn.XLOOKUP(AN$1, 'Historic (IPEDS &amp; 2019 RTP)'!$A$1:$H$1, 'Historic (IPEDS &amp; 2019 RTP)'!$A:$H),
      IFERROR(_xlfn.XLOOKUP($AI34, 'USHE Historic'!$A$3:$A$13, _xlfn.XLOOKUP(AN$1, 'USHE Historic'!$A$2:$E$2, 'USHE Historic'!$A$3:$E$13)),
        _xlfn.IFS(
          AN$1="BYU", IFERROR(_xlfn.XLOOKUP($AI34, 'MAG College Enrollment Forecast'!$A:$A, 'MAG College Enrollment Forecast'!$B:$B), (AN$72-AN33)/($AI$72-$AI33)*($AI34-$AI33)+AN33),
          AN$1="UVU", IFERROR(_xlfn.XLOOKUP($AI34, 'MAG College Enrollment Forecast'!$A:$A, 'MAG College Enrollment Forecast'!$C:$C+'MAG College Enrollment Forecast'!$D:$D+'MAG College Enrollment Forecast'!$E:$E+'MAG College Enrollment Forecast'!$F:$F+'MAG College Enrollment Forecast'!$G:$G+'MAG College Enrollment Forecast'!$H:$H), (AN$72-AN33)/($AI$72-$AI33)*($AI34-$AI33)+AN33),
          TRUE, IFERROR(_xlfn.XLOOKUP($AI34, 'USHE Projections'!$A:$A, IFERROR(_xlfn.XLOOKUP(AN$1, 'USHE Projections'!$A$1:$E$1, 'USHE Projections'!$A:$E), "NONE"), (AN$72-AN33)/($AI$72-$AI33)*($AI34-$AI33)+AN33), (AN$72-AN33)/($AI$72-$AI33)*($AI34-$AI33)+AN33)
        )
      )
    )
  ), 0)</f>
        <v>34464</v>
      </c>
      <c r="AO34" s="19" cm="1">
        <f t="array" ref="AO34">ROUND(
  IF(AND(AO$1="Ensign", $AI34&gt;=2021, $AI34&lt;=2024),
    _xlfn.XLOOKUP($AI34, Ensign!$A$2:$A$12, Ensign!$B$2:$B$12),
    _xlfn.XLOOKUP($AI34, 'Historic (IPEDS &amp; 2019 RTP)'!$A:$A, _xlfn.XLOOKUP(AO$1, 'Historic (IPEDS &amp; 2019 RTP)'!$A$1:$H$1, 'Historic (IPEDS &amp; 2019 RTP)'!$A:$H),
      IFERROR(_xlfn.XLOOKUP($AI34, 'USHE Historic'!$A$3:$A$13, _xlfn.XLOOKUP(AO$1, 'USHE Historic'!$A$2:$E$2, 'USHE Historic'!$A$3:$E$13)),
        _xlfn.IFS(
          AO$1="BYU", IFERROR(_xlfn.XLOOKUP($AI34, 'MAG College Enrollment Forecast'!$A:$A, 'MAG College Enrollment Forecast'!$B:$B), (AO$72-AO33)/($AI$72-$AI33)*($AI34-$AI33)+AO33),
          AO$1="UVU", IFERROR(_xlfn.XLOOKUP($AI34, 'MAG College Enrollment Forecast'!$A:$A, 'MAG College Enrollment Forecast'!$C:$C+'MAG College Enrollment Forecast'!$D:$D+'MAG College Enrollment Forecast'!$E:$E+'MAG College Enrollment Forecast'!$F:$F+'MAG College Enrollment Forecast'!$G:$G+'MAG College Enrollment Forecast'!$H:$H), (AO$72-AO33)/($AI$72-$AI33)*($AI34-$AI33)+AO33),
          TRUE, IFERROR(_xlfn.XLOOKUP($AI34, 'USHE Projections'!$A:$A, IFERROR(_xlfn.XLOOKUP(AO$1, 'USHE Projections'!$A$1:$E$1, 'USHE Projections'!$A:$E), "NONE"), (AO$72-AO33)/($AI$72-$AI33)*($AI34-$AI33)+AO33), (AO$72-AO33)/($AI$72-$AI33)*($AI34-$AI33)+AO33)
        )
      )
    )
  ), 0)</f>
        <v>1618</v>
      </c>
      <c r="AP34" s="20" cm="1">
        <f t="array" ref="AP34">ROUND(
  IF(AND(AP$1="Ensign", $AI34&gt;=2021, $AI34&lt;=2024),
    _xlfn.XLOOKUP($AI34, Ensign!$A$2:$A$12, Ensign!$B$2:$B$12),
    _xlfn.XLOOKUP($AI34, 'Historic (IPEDS &amp; 2019 RTP)'!$A:$A, _xlfn.XLOOKUP(AP$1, 'Historic (IPEDS &amp; 2019 RTP)'!$A$1:$H$1, 'Historic (IPEDS &amp; 2019 RTP)'!$A:$H),
      IFERROR(_xlfn.XLOOKUP($AI34, 'USHE Historic'!$A$3:$A$13, _xlfn.XLOOKUP(AP$1, 'USHE Historic'!$A$2:$E$2, 'USHE Historic'!$A$3:$E$13)),
        _xlfn.IFS(
          AP$1="BYU", IFERROR(_xlfn.XLOOKUP($AI34, 'MAG College Enrollment Forecast'!$A:$A, 'MAG College Enrollment Forecast'!$B:$B), (AP$72-AP33)/($AI$72-$AI33)*($AI34-$AI33)+AP33),
          AP$1="UVU", IFERROR(_xlfn.XLOOKUP($AI34, 'MAG College Enrollment Forecast'!$A:$A, 'MAG College Enrollment Forecast'!$C:$C+'MAG College Enrollment Forecast'!$D:$D+'MAG College Enrollment Forecast'!$E:$E+'MAG College Enrollment Forecast'!$F:$F+'MAG College Enrollment Forecast'!$G:$G+'MAG College Enrollment Forecast'!$H:$H), (AP$72-AP33)/($AI$72-$AI33)*($AI34-$AI33)+AP33),
          TRUE, IFERROR(_xlfn.XLOOKUP($AI34, 'USHE Projections'!$A:$A, IFERROR(_xlfn.XLOOKUP(AP$1, 'USHE Projections'!$A$1:$E$1, 'USHE Projections'!$A:$E), "NONE"), (AP$72-AP33)/($AI$72-$AI33)*($AI34-$AI33)+AP33), (AP$72-AP33)/($AI$72-$AI33)*($AI34-$AI33)+AP33)
        )
      )
    )
  ), 0)</f>
        <v>1280</v>
      </c>
      <c r="AQ34" s="7"/>
    </row>
    <row r="35" spans="35:44">
      <c r="AI35" s="3">
        <v>2023</v>
      </c>
      <c r="AJ35" s="20" cm="1">
        <f t="array" ref="AJ35">ROUND(
  IF(AND(AJ$1="Ensign", $AI35&gt;=2021, $AI35&lt;=2024),
    _xlfn.XLOOKUP($AI35, Ensign!$A$2:$A$12, Ensign!$B$2:$B$12),
    _xlfn.XLOOKUP($AI35, 'Historic (IPEDS &amp; 2019 RTP)'!$A:$A, _xlfn.XLOOKUP(AJ$1, 'Historic (IPEDS &amp; 2019 RTP)'!$A$1:$H$1, 'Historic (IPEDS &amp; 2019 RTP)'!$A:$H),
      IFERROR(_xlfn.XLOOKUP($AI35, 'USHE Historic'!$A$3:$A$13, _xlfn.XLOOKUP(AJ$1, 'USHE Historic'!$A$2:$E$2, 'USHE Historic'!$A$3:$E$13)),
        _xlfn.IFS(
          AJ$1="BYU", IFERROR(_xlfn.XLOOKUP($AI35, 'MAG College Enrollment Forecast'!$A:$A, 'MAG College Enrollment Forecast'!$B:$B), (AJ$72-AJ34)/($AI$72-$AI34)*($AI35-$AI34)+AJ34),
          AJ$1="UVU", IFERROR(_xlfn.XLOOKUP($AI35, 'MAG College Enrollment Forecast'!$A:$A, 'MAG College Enrollment Forecast'!$C:$C+'MAG College Enrollment Forecast'!$D:$D+'MAG College Enrollment Forecast'!$E:$E+'MAG College Enrollment Forecast'!$F:$F+'MAG College Enrollment Forecast'!$G:$G+'MAG College Enrollment Forecast'!$H:$H), (AJ$72-AJ34)/($AI$72-$AI34)*($AI35-$AI34)+AJ34),
          TRUE, IFERROR(_xlfn.XLOOKUP($AI35, 'USHE Projections'!$A:$A, IFERROR(_xlfn.XLOOKUP(AJ$1, 'USHE Projections'!$A$1:$E$1, 'USHE Projections'!$A:$E), "NONE"), (AJ$72-AJ34)/($AI$72-$AI34)*($AI35-$AI34)+AJ34), (AJ$72-AJ34)/($AI$72-$AI34)*($AI35-$AI34)+AJ34)
        )
      )
    )
  ), 0)</f>
        <v>35260</v>
      </c>
      <c r="AK35" s="20" cm="1">
        <f t="array" ref="AK35">ROUND(
  IF(AND(AK$1="Ensign", $AI35&gt;=2021, $AI35&lt;=2024),
    _xlfn.XLOOKUP($AI35, Ensign!$A$2:$A$12, Ensign!$B$2:$B$12),
    _xlfn.XLOOKUP($AI35, 'Historic (IPEDS &amp; 2019 RTP)'!$A:$A, _xlfn.XLOOKUP(AK$1, 'Historic (IPEDS &amp; 2019 RTP)'!$A$1:$H$1, 'Historic (IPEDS &amp; 2019 RTP)'!$A:$H),
      IFERROR(_xlfn.XLOOKUP($AI35, 'USHE Historic'!$A$3:$A$13, _xlfn.XLOOKUP(AK$1, 'USHE Historic'!$A$2:$E$2, 'USHE Historic'!$A$3:$E$13)),
        _xlfn.IFS(
          AK$1="BYU", IFERROR(_xlfn.XLOOKUP($AI35, 'MAG College Enrollment Forecast'!$A:$A, 'MAG College Enrollment Forecast'!$B:$B), (AK$72-AK34)/($AI$72-$AI34)*($AI35-$AI34)+AK34),
          AK$1="UVU", IFERROR(_xlfn.XLOOKUP($AI35, 'MAG College Enrollment Forecast'!$A:$A, 'MAG College Enrollment Forecast'!$C:$C+'MAG College Enrollment Forecast'!$D:$D+'MAG College Enrollment Forecast'!$E:$E+'MAG College Enrollment Forecast'!$F:$F+'MAG College Enrollment Forecast'!$G:$G+'MAG College Enrollment Forecast'!$H:$H), (AK$72-AK34)/($AI$72-$AI34)*($AI35-$AI34)+AK34),
          TRUE, IFERROR(_xlfn.XLOOKUP($AI35, 'USHE Projections'!$A:$A, IFERROR(_xlfn.XLOOKUP(AK$1, 'USHE Projections'!$A$1:$E$1, 'USHE Projections'!$A:$E), "NONE"), (AK$72-AK34)/($AI$72-$AI34)*($AI35-$AI34)+AK34), (AK$72-AK34)/($AI$72-$AI34)*($AI35-$AI34)+AK34)
        )
      )
    )
  ), 0)</f>
        <v>30536</v>
      </c>
      <c r="AL35" s="20" cm="1">
        <f t="array" ref="AL35">ROUND(
  IF(AND(AL$1="Ensign", $AI35&gt;=2021, $AI35&lt;=2024),
    _xlfn.XLOOKUP($AI35, Ensign!$A$2:$A$12, Ensign!$B$2:$B$12),
    _xlfn.XLOOKUP($AI35, 'Historic (IPEDS &amp; 2019 RTP)'!$A:$A, _xlfn.XLOOKUP(AL$1, 'Historic (IPEDS &amp; 2019 RTP)'!$A$1:$H$1, 'Historic (IPEDS &amp; 2019 RTP)'!$A:$H),
      IFERROR(_xlfn.XLOOKUP($AI35, 'USHE Historic'!$A$3:$A$13, _xlfn.XLOOKUP(AL$1, 'USHE Historic'!$A$2:$E$2, 'USHE Historic'!$A$3:$E$13)),
        _xlfn.IFS(
          AL$1="BYU", IFERROR(_xlfn.XLOOKUP($AI35, 'MAG College Enrollment Forecast'!$A:$A, 'MAG College Enrollment Forecast'!$B:$B), (AL$72-AL34)/($AI$72-$AI34)*($AI35-$AI34)+AL34),
          AL$1="UVU", IFERROR(_xlfn.XLOOKUP($AI35, 'MAG College Enrollment Forecast'!$A:$A, 'MAG College Enrollment Forecast'!$C:$C+'MAG College Enrollment Forecast'!$D:$D+'MAG College Enrollment Forecast'!$E:$E+'MAG College Enrollment Forecast'!$F:$F+'MAG College Enrollment Forecast'!$G:$G+'MAG College Enrollment Forecast'!$H:$H), (AL$72-AL34)/($AI$72-$AI34)*($AI35-$AI34)+AL34),
          TRUE, IFERROR(_xlfn.XLOOKUP($AI35, 'USHE Projections'!$A:$A, IFERROR(_xlfn.XLOOKUP(AL$1, 'USHE Projections'!$A$1:$E$1, 'USHE Projections'!$A:$E), "NONE"), (AL$72-AL34)/($AI$72-$AI34)*($AI35-$AI34)+AL34), (AL$72-AL34)/($AI$72-$AI34)*($AI35-$AI34)+AL34)
        )
      )
    )
  ), 0)</f>
        <v>44651</v>
      </c>
      <c r="AM35" s="20" cm="1">
        <f t="array" ref="AM35">ROUND(
  IF(AND(AM$1="Ensign", $AI35&gt;=2021, $AI35&lt;=2024),
    _xlfn.XLOOKUP($AI35, Ensign!$A$2:$A$12, Ensign!$B$2:$B$12),
    _xlfn.XLOOKUP($AI35, 'Historic (IPEDS &amp; 2019 RTP)'!$A:$A, _xlfn.XLOOKUP(AM$1, 'Historic (IPEDS &amp; 2019 RTP)'!$A$1:$H$1, 'Historic (IPEDS &amp; 2019 RTP)'!$A:$H),
      IFERROR(_xlfn.XLOOKUP($AI35, 'USHE Historic'!$A$3:$A$13, _xlfn.XLOOKUP(AM$1, 'USHE Historic'!$A$2:$E$2, 'USHE Historic'!$A$3:$E$13)),
        _xlfn.IFS(
          AM$1="BYU", IFERROR(_xlfn.XLOOKUP($AI35, 'MAG College Enrollment Forecast'!$A:$A, 'MAG College Enrollment Forecast'!$B:$B), (AM$72-AM34)/($AI$72-$AI34)*($AI35-$AI34)+AM34),
          AM$1="UVU", IFERROR(_xlfn.XLOOKUP($AI35, 'MAG College Enrollment Forecast'!$A:$A, 'MAG College Enrollment Forecast'!$C:$C+'MAG College Enrollment Forecast'!$D:$D+'MAG College Enrollment Forecast'!$E:$E+'MAG College Enrollment Forecast'!$F:$F+'MAG College Enrollment Forecast'!$G:$G+'MAG College Enrollment Forecast'!$H:$H), (AM$72-AM34)/($AI$72-$AI34)*($AI35-$AI34)+AM34),
          TRUE, IFERROR(_xlfn.XLOOKUP($AI35, 'USHE Projections'!$A:$A, IFERROR(_xlfn.XLOOKUP(AM$1, 'USHE Projections'!$A$1:$E$1, 'USHE Projections'!$A:$E), "NONE"), (AM$72-AM34)/($AI$72-$AI34)*($AI35-$AI34)+AM34), (AM$72-AM34)/($AI$72-$AI34)*($AI35-$AI34)+AM34)
        )
      )
    )
  ), 0)</f>
        <v>26764</v>
      </c>
      <c r="AN35" s="20" cm="1">
        <f t="array" ref="AN35">ROUND(
  IF(AND(AN$1="Ensign", $AI35&gt;=2021, $AI35&lt;=2024),
    _xlfn.XLOOKUP($AI35, Ensign!$A$2:$A$12, Ensign!$B$2:$B$12),
    _xlfn.XLOOKUP($AI35, 'Historic (IPEDS &amp; 2019 RTP)'!$A:$A, _xlfn.XLOOKUP(AN$1, 'Historic (IPEDS &amp; 2019 RTP)'!$A$1:$H$1, 'Historic (IPEDS &amp; 2019 RTP)'!$A:$H),
      IFERROR(_xlfn.XLOOKUP($AI35, 'USHE Historic'!$A$3:$A$13, _xlfn.XLOOKUP(AN$1, 'USHE Historic'!$A$2:$E$2, 'USHE Historic'!$A$3:$E$13)),
        _xlfn.IFS(
          AN$1="BYU", IFERROR(_xlfn.XLOOKUP($AI35, 'MAG College Enrollment Forecast'!$A:$A, 'MAG College Enrollment Forecast'!$B:$B), (AN$72-AN34)/($AI$72-$AI34)*($AI35-$AI34)+AN34),
          AN$1="UVU", IFERROR(_xlfn.XLOOKUP($AI35, 'MAG College Enrollment Forecast'!$A:$A, 'MAG College Enrollment Forecast'!$C:$C+'MAG College Enrollment Forecast'!$D:$D+'MAG College Enrollment Forecast'!$E:$E+'MAG College Enrollment Forecast'!$F:$F+'MAG College Enrollment Forecast'!$G:$G+'MAG College Enrollment Forecast'!$H:$H), (AN$72-AN34)/($AI$72-$AI34)*($AI35-$AI34)+AN34),
          TRUE, IFERROR(_xlfn.XLOOKUP($AI35, 'USHE Projections'!$A:$A, IFERROR(_xlfn.XLOOKUP(AN$1, 'USHE Projections'!$A$1:$E$1, 'USHE Projections'!$A:$E), "NONE"), (AN$72-AN34)/($AI$72-$AI34)*($AI35-$AI34)+AN34), (AN$72-AN34)/($AI$72-$AI34)*($AI35-$AI34)+AN34)
        )
      )
    )
  ), 0)</f>
        <v>35074</v>
      </c>
      <c r="AO35" s="19" cm="1">
        <f t="array" ref="AO35">ROUND(
  IF(AND(AO$1="Ensign", $AI35&gt;=2021, $AI35&lt;=2024),
    _xlfn.XLOOKUP($AI35, Ensign!$A$2:$A$12, Ensign!$B$2:$B$12),
    _xlfn.XLOOKUP($AI35, 'Historic (IPEDS &amp; 2019 RTP)'!$A:$A, _xlfn.XLOOKUP(AO$1, 'Historic (IPEDS &amp; 2019 RTP)'!$A$1:$H$1, 'Historic (IPEDS &amp; 2019 RTP)'!$A:$H),
      IFERROR(_xlfn.XLOOKUP($AI35, 'USHE Historic'!$A$3:$A$13, _xlfn.XLOOKUP(AO$1, 'USHE Historic'!$A$2:$E$2, 'USHE Historic'!$A$3:$E$13)),
        _xlfn.IFS(
          AO$1="BYU", IFERROR(_xlfn.XLOOKUP($AI35, 'MAG College Enrollment Forecast'!$A:$A, 'MAG College Enrollment Forecast'!$B:$B), (AO$72-AO34)/($AI$72-$AI34)*($AI35-$AI34)+AO34),
          AO$1="UVU", IFERROR(_xlfn.XLOOKUP($AI35, 'MAG College Enrollment Forecast'!$A:$A, 'MAG College Enrollment Forecast'!$C:$C+'MAG College Enrollment Forecast'!$D:$D+'MAG College Enrollment Forecast'!$E:$E+'MAG College Enrollment Forecast'!$F:$F+'MAG College Enrollment Forecast'!$G:$G+'MAG College Enrollment Forecast'!$H:$H), (AO$72-AO34)/($AI$72-$AI34)*($AI35-$AI34)+AO34),
          TRUE, IFERROR(_xlfn.XLOOKUP($AI35, 'USHE Projections'!$A:$A, IFERROR(_xlfn.XLOOKUP(AO$1, 'USHE Projections'!$A$1:$E$1, 'USHE Projections'!$A:$E), "NONE"), (AO$72-AO34)/($AI$72-$AI34)*($AI35-$AI34)+AO34), (AO$72-AO34)/($AI$72-$AI34)*($AI35-$AI34)+AO34)
        )
      )
    )
  ), 0)</f>
        <v>1831</v>
      </c>
      <c r="AP35" s="20" cm="1">
        <f t="array" ref="AP35">ROUND(
  IF(AND(AP$1="Ensign", $AI35&gt;=2021, $AI35&lt;=2024),
    _xlfn.XLOOKUP($AI35, Ensign!$A$2:$A$12, Ensign!$B$2:$B$12),
    _xlfn.XLOOKUP($AI35, 'Historic (IPEDS &amp; 2019 RTP)'!$A:$A, _xlfn.XLOOKUP(AP$1, 'Historic (IPEDS &amp; 2019 RTP)'!$A$1:$H$1, 'Historic (IPEDS &amp; 2019 RTP)'!$A:$H),
      IFERROR(_xlfn.XLOOKUP($AI35, 'USHE Historic'!$A$3:$A$13, _xlfn.XLOOKUP(AP$1, 'USHE Historic'!$A$2:$E$2, 'USHE Historic'!$A$3:$E$13)),
        _xlfn.IFS(
          AP$1="BYU", IFERROR(_xlfn.XLOOKUP($AI35, 'MAG College Enrollment Forecast'!$A:$A, 'MAG College Enrollment Forecast'!$B:$B), (AP$72-AP34)/($AI$72-$AI34)*($AI35-$AI34)+AP34),
          AP$1="UVU", IFERROR(_xlfn.XLOOKUP($AI35, 'MAG College Enrollment Forecast'!$A:$A, 'MAG College Enrollment Forecast'!$C:$C+'MAG College Enrollment Forecast'!$D:$D+'MAG College Enrollment Forecast'!$E:$E+'MAG College Enrollment Forecast'!$F:$F+'MAG College Enrollment Forecast'!$G:$G+'MAG College Enrollment Forecast'!$H:$H), (AP$72-AP34)/($AI$72-$AI34)*($AI35-$AI34)+AP34),
          TRUE, IFERROR(_xlfn.XLOOKUP($AI35, 'USHE Projections'!$A:$A, IFERROR(_xlfn.XLOOKUP(AP$1, 'USHE Projections'!$A$1:$E$1, 'USHE Projections'!$A:$E), "NONE"), (AP$72-AP34)/($AI$72-$AI34)*($AI35-$AI34)+AP34), (AP$72-AP34)/($AI$72-$AI34)*($AI35-$AI34)+AP34)
        )
      )
    )
  ), 0)</f>
        <v>1214</v>
      </c>
      <c r="AQ35" s="7"/>
      <c r="AR35" s="105" t="s">
        <v>207</v>
      </c>
    </row>
    <row r="36" spans="35:44">
      <c r="AI36" s="3">
        <v>2024</v>
      </c>
      <c r="AJ36" s="112" cm="1">
        <f t="array" ref="AJ36">ROUND(
  IF(AND(AJ$1="Ensign", $AI36&gt;=2021, $AI36&lt;=2024),
    _xlfn.XLOOKUP($AI36, Ensign!$A$2:$A$12, Ensign!$B$2:$B$12),
    _xlfn.XLOOKUP($AI36, 'Historic (IPEDS &amp; 2019 RTP)'!$A:$A, _xlfn.XLOOKUP(AJ$1, 'Historic (IPEDS &amp; 2019 RTP)'!$A$1:$H$1, 'Historic (IPEDS &amp; 2019 RTP)'!$A:$H),
      IFERROR(_xlfn.XLOOKUP($AI36, 'USHE Historic'!$A$3:$A$13, _xlfn.XLOOKUP(AJ$1, 'USHE Historic'!$A$2:$E$2, 'USHE Historic'!$A$3:$E$13)),
        _xlfn.IFS(
          AJ$1="BYU", IFERROR(_xlfn.XLOOKUP($AI36, 'MAG College Enrollment Forecast'!$A:$A, 'MAG College Enrollment Forecast'!$B:$B), (AJ$72-AJ35)/($AI$72-$AI35)*($AI36-$AI35)+AJ35),
          AJ$1="UVU", IFERROR(_xlfn.XLOOKUP($AI36, 'MAG College Enrollment Forecast'!$A:$A, 'MAG College Enrollment Forecast'!$C:$C+'MAG College Enrollment Forecast'!$D:$D+'MAG College Enrollment Forecast'!$E:$E+'MAG College Enrollment Forecast'!$F:$F+'MAG College Enrollment Forecast'!$G:$G+'MAG College Enrollment Forecast'!$H:$H), (AJ$72-AJ35)/($AI$72-$AI35)*($AI36-$AI35)+AJ35),
          TRUE, IFERROR(_xlfn.XLOOKUP($AI36, 'USHE Projections'!$A:$A, IFERROR(_xlfn.XLOOKUP(AJ$1, 'USHE Projections'!$A$1:$E$1, 'USHE Projections'!$A:$E), "NONE"), (AJ$72-AJ35)/($AI$72-$AI35)*($AI36-$AI35)+AJ35), (AJ$72-AJ35)/($AI$72-$AI35)*($AI36-$AI35)+AJ35)
        )
      )
    )
  ), 0)</f>
        <v>36571</v>
      </c>
      <c r="AK36" s="112" cm="1">
        <f t="array" ref="AK36">ROUND(
  IF(AND(AK$1="Ensign", $AI36&gt;=2021, $AI36&lt;=2024),
    _xlfn.XLOOKUP($AI36, Ensign!$A$2:$A$12, Ensign!$B$2:$B$12),
    _xlfn.XLOOKUP($AI36, 'Historic (IPEDS &amp; 2019 RTP)'!$A:$A, _xlfn.XLOOKUP(AK$1, 'Historic (IPEDS &amp; 2019 RTP)'!$A$1:$H$1, 'Historic (IPEDS &amp; 2019 RTP)'!$A:$H),
      IFERROR(_xlfn.XLOOKUP($AI36, 'USHE Historic'!$A$3:$A$13, _xlfn.XLOOKUP(AK$1, 'USHE Historic'!$A$2:$E$2, 'USHE Historic'!$A$3:$E$13)),
        _xlfn.IFS(
          AK$1="BYU", IFERROR(_xlfn.XLOOKUP($AI36, 'MAG College Enrollment Forecast'!$A:$A, 'MAG College Enrollment Forecast'!$B:$B), (AK$72-AK35)/($AI$72-$AI35)*($AI36-$AI35)+AK35),
          AK$1="UVU", IFERROR(_xlfn.XLOOKUP($AI36, 'MAG College Enrollment Forecast'!$A:$A, 'MAG College Enrollment Forecast'!$C:$C+'MAG College Enrollment Forecast'!$D:$D+'MAG College Enrollment Forecast'!$E:$E+'MAG College Enrollment Forecast'!$F:$F+'MAG College Enrollment Forecast'!$G:$G+'MAG College Enrollment Forecast'!$H:$H), (AK$72-AK35)/($AI$72-$AI35)*($AI36-$AI35)+AK35),
          TRUE, IFERROR(_xlfn.XLOOKUP($AI36, 'USHE Projections'!$A:$A, IFERROR(_xlfn.XLOOKUP(AK$1, 'USHE Projections'!$A$1:$E$1, 'USHE Projections'!$A:$E), "NONE"), (AK$72-AK35)/($AI$72-$AI35)*($AI36-$AI35)+AK35), (AK$72-AK35)/($AI$72-$AI35)*($AI36-$AI35)+AK35)
        )
      )
    )
  ), 0)</f>
        <v>31784</v>
      </c>
      <c r="AL36" s="112" cm="1">
        <f t="array" ref="AL36">ROUND(
  IF(AND(AL$1="Ensign", $AI36&gt;=2021, $AI36&lt;=2024),
    _xlfn.XLOOKUP($AI36, Ensign!$A$2:$A$12, Ensign!$B$2:$B$12),
    _xlfn.XLOOKUP($AI36, 'Historic (IPEDS &amp; 2019 RTP)'!$A:$A, _xlfn.XLOOKUP(AL$1, 'Historic (IPEDS &amp; 2019 RTP)'!$A$1:$H$1, 'Historic (IPEDS &amp; 2019 RTP)'!$A:$H),
      IFERROR(_xlfn.XLOOKUP($AI36, 'USHE Historic'!$A$3:$A$13, _xlfn.XLOOKUP(AL$1, 'USHE Historic'!$A$2:$E$2, 'USHE Historic'!$A$3:$E$13)),
        _xlfn.IFS(
          AL$1="BYU", IFERROR(_xlfn.XLOOKUP($AI36, 'MAG College Enrollment Forecast'!$A:$A, 'MAG College Enrollment Forecast'!$B:$B), (AL$72-AL35)/($AI$72-$AI35)*($AI36-$AI35)+AL35),
          AL$1="UVU", IFERROR(_xlfn.XLOOKUP($AI36, 'MAG College Enrollment Forecast'!$A:$A, 'MAG College Enrollment Forecast'!$C:$C+'MAG College Enrollment Forecast'!$D:$D+'MAG College Enrollment Forecast'!$E:$E+'MAG College Enrollment Forecast'!$F:$F+'MAG College Enrollment Forecast'!$G:$G+'MAG College Enrollment Forecast'!$H:$H), (AL$72-AL35)/($AI$72-$AI35)*($AI36-$AI35)+AL35),
          TRUE, IFERROR(_xlfn.XLOOKUP($AI36, 'USHE Projections'!$A:$A, IFERROR(_xlfn.XLOOKUP(AL$1, 'USHE Projections'!$A$1:$E$1, 'USHE Projections'!$A:$E), "NONE"), (AL$72-AL35)/($AI$72-$AI35)*($AI36-$AI35)+AL35), (AL$72-AL35)/($AI$72-$AI35)*($AI36-$AI35)+AL35)
        )
      )
    )
  ), 0)</f>
        <v>46412</v>
      </c>
      <c r="AM36" s="112" cm="1">
        <f t="array" ref="AM36">ROUND(
  IF(AND(AM$1="Ensign", $AI36&gt;=2021, $AI36&lt;=2024),
    _xlfn.XLOOKUP($AI36, Ensign!$A$2:$A$12, Ensign!$B$2:$B$12),
    _xlfn.XLOOKUP($AI36, 'Historic (IPEDS &amp; 2019 RTP)'!$A:$A, _xlfn.XLOOKUP(AM$1, 'Historic (IPEDS &amp; 2019 RTP)'!$A$1:$H$1, 'Historic (IPEDS &amp; 2019 RTP)'!$A:$H),
      IFERROR(_xlfn.XLOOKUP($AI36, 'USHE Historic'!$A$3:$A$13, _xlfn.XLOOKUP(AM$1, 'USHE Historic'!$A$2:$E$2, 'USHE Historic'!$A$3:$E$13)),
        _xlfn.IFS(
          AM$1="BYU", IFERROR(_xlfn.XLOOKUP($AI36, 'MAG College Enrollment Forecast'!$A:$A, 'MAG College Enrollment Forecast'!$B:$B), (AM$72-AM35)/($AI$72-$AI35)*($AI36-$AI35)+AM35),
          AM$1="UVU", IFERROR(_xlfn.XLOOKUP($AI36, 'MAG College Enrollment Forecast'!$A:$A, 'MAG College Enrollment Forecast'!$C:$C+'MAG College Enrollment Forecast'!$D:$D+'MAG College Enrollment Forecast'!$E:$E+'MAG College Enrollment Forecast'!$F:$F+'MAG College Enrollment Forecast'!$G:$G+'MAG College Enrollment Forecast'!$H:$H), (AM$72-AM35)/($AI$72-$AI35)*($AI36-$AI35)+AM35),
          TRUE, IFERROR(_xlfn.XLOOKUP($AI36, 'USHE Projections'!$A:$A, IFERROR(_xlfn.XLOOKUP(AM$1, 'USHE Projections'!$A$1:$E$1, 'USHE Projections'!$A:$E), "NONE"), (AM$72-AM35)/($AI$72-$AI35)*($AI36-$AI35)+AM35), (AM$72-AM35)/($AI$72-$AI35)*($AI36-$AI35)+AM35)
        )
      )
    )
  ), 0)</f>
        <v>32552</v>
      </c>
      <c r="AN36" s="112" cm="1">
        <f t="array" ref="AN36">ROUND(
  IF(AND(AN$1="Ensign", $AI36&gt;=2021, $AI36&lt;=2024),
    _xlfn.XLOOKUP($AI36, Ensign!$A$2:$A$12, Ensign!$B$2:$B$12),
    _xlfn.XLOOKUP($AI36, 'Historic (IPEDS &amp; 2019 RTP)'!$A:$A, _xlfn.XLOOKUP(AN$1, 'Historic (IPEDS &amp; 2019 RTP)'!$A$1:$H$1, 'Historic (IPEDS &amp; 2019 RTP)'!$A:$H),
      IFERROR(_xlfn.XLOOKUP($AI36, 'USHE Historic'!$A$3:$A$13, _xlfn.XLOOKUP(AN$1, 'USHE Historic'!$A$2:$E$2, 'USHE Historic'!$A$3:$E$13)),
        _xlfn.IFS(
          AN$1="BYU", IFERROR(_xlfn.XLOOKUP($AI36, 'MAG College Enrollment Forecast'!$A:$A, 'MAG College Enrollment Forecast'!$B:$B), (AN$72-AN35)/($AI$72-$AI35)*($AI36-$AI35)+AN35),
          AN$1="UVU", IFERROR(_xlfn.XLOOKUP($AI36, 'MAG College Enrollment Forecast'!$A:$A, 'MAG College Enrollment Forecast'!$C:$C+'MAG College Enrollment Forecast'!$D:$D+'MAG College Enrollment Forecast'!$E:$E+'MAG College Enrollment Forecast'!$F:$F+'MAG College Enrollment Forecast'!$G:$G+'MAG College Enrollment Forecast'!$H:$H), (AN$72-AN35)/($AI$72-$AI35)*($AI36-$AI35)+AN35),
          TRUE, IFERROR(_xlfn.XLOOKUP($AI36, 'USHE Projections'!$A:$A, IFERROR(_xlfn.XLOOKUP(AN$1, 'USHE Projections'!$A$1:$E$1, 'USHE Projections'!$A:$E), "NONE"), (AN$72-AN35)/($AI$72-$AI35)*($AI36-$AI35)+AN35), (AN$72-AN35)/($AI$72-$AI35)*($AI36-$AI35)+AN35)
        )
      )
    )
  ), 0)</f>
        <v>36921</v>
      </c>
      <c r="AO36" s="19" cm="1">
        <f t="array" ref="AO36">ROUND(
  IF(AND(AO$1="Ensign", $AI36&gt;=2021, $AI36&lt;=2024),
    _xlfn.XLOOKUP($AI36, Ensign!$A$2:$A$12, Ensign!$B$2:$B$12),
    _xlfn.XLOOKUP($AI36, 'Historic (IPEDS &amp; 2019 RTP)'!$A:$A, _xlfn.XLOOKUP(AO$1, 'Historic (IPEDS &amp; 2019 RTP)'!$A$1:$H$1, 'Historic (IPEDS &amp; 2019 RTP)'!$A:$H),
      IFERROR(_xlfn.XLOOKUP($AI36, 'USHE Historic'!$A$3:$A$13, _xlfn.XLOOKUP(AO$1, 'USHE Historic'!$A$2:$E$2, 'USHE Historic'!$A$3:$E$13)),
        _xlfn.IFS(
          AO$1="BYU", IFERROR(_xlfn.XLOOKUP($AI36, 'MAG College Enrollment Forecast'!$A:$A, 'MAG College Enrollment Forecast'!$B:$B), (AO$72-AO35)/($AI$72-$AI35)*($AI36-$AI35)+AO35),
          AO$1="UVU", IFERROR(_xlfn.XLOOKUP($AI36, 'MAG College Enrollment Forecast'!$A:$A, 'MAG College Enrollment Forecast'!$C:$C+'MAG College Enrollment Forecast'!$D:$D+'MAG College Enrollment Forecast'!$E:$E+'MAG College Enrollment Forecast'!$F:$F+'MAG College Enrollment Forecast'!$G:$G+'MAG College Enrollment Forecast'!$H:$H), (AO$72-AO35)/($AI$72-$AI35)*($AI36-$AI35)+AO35),
          TRUE, IFERROR(_xlfn.XLOOKUP($AI36, 'USHE Projections'!$A:$A, IFERROR(_xlfn.XLOOKUP(AO$1, 'USHE Projections'!$A$1:$E$1, 'USHE Projections'!$A:$E), "NONE"), (AO$72-AO35)/($AI$72-$AI35)*($AI36-$AI35)+AO35), (AO$72-AO35)/($AI$72-$AI35)*($AI36-$AI35)+AO35)
        )
      )
    )
  ), 0)</f>
        <v>1937</v>
      </c>
      <c r="AP36" s="104" cm="1">
        <f t="array" ref="AP36">ROUND(
  IF(AND(AP$1="Ensign", $AI36&gt;=2021, $AI36&lt;=2024),
    _xlfn.XLOOKUP($AI36, Ensign!$A$2:$A$12, Ensign!$B$2:$B$12),
    _xlfn.XLOOKUP($AI36, 'Historic (IPEDS &amp; 2019 RTP)'!$A:$A, _xlfn.XLOOKUP(AP$1, 'Historic (IPEDS &amp; 2019 RTP)'!$A$1:$H$1, 'Historic (IPEDS &amp; 2019 RTP)'!$A:$H),
      IFERROR(_xlfn.XLOOKUP($AI36, 'USHE Historic'!$A$3:$A$13, _xlfn.XLOOKUP(AP$1, 'USHE Historic'!$A$2:$E$2, 'USHE Historic'!$A$3:$E$13)),
        _xlfn.IFS(
          AP$1="BYU", IFERROR(_xlfn.XLOOKUP($AI36, 'MAG College Enrollment Forecast'!$A:$A, 'MAG College Enrollment Forecast'!$B:$B), (AP$72-AP35)/($AI$72-$AI35)*($AI36-$AI35)+AP35),
          AP$1="UVU", IFERROR(_xlfn.XLOOKUP($AI36, 'MAG College Enrollment Forecast'!$A:$A, 'MAG College Enrollment Forecast'!$C:$C+'MAG College Enrollment Forecast'!$D:$D+'MAG College Enrollment Forecast'!$E:$E+'MAG College Enrollment Forecast'!$F:$F+'MAG College Enrollment Forecast'!$G:$G+'MAG College Enrollment Forecast'!$H:$H), (AP$72-AP35)/($AI$72-$AI35)*($AI36-$AI35)+AP35),
          TRUE, IFERROR(_xlfn.XLOOKUP($AI36, 'USHE Projections'!$A:$A, IFERROR(_xlfn.XLOOKUP(AP$1, 'USHE Projections'!$A$1:$E$1, 'USHE Projections'!$A:$E), "NONE"), (AP$72-AP35)/($AI$72-$AI35)*($AI36-$AI35)+AP35), (AP$72-AP35)/($AI$72-$AI35)*($AI36-$AI35)+AP35)
        )
      )
    )
  ), 0)</f>
        <v>1276</v>
      </c>
      <c r="AQ36" s="7"/>
      <c r="AR36" s="111" t="s">
        <v>208</v>
      </c>
    </row>
    <row r="37" spans="35:44">
      <c r="AI37" s="3">
        <v>2025</v>
      </c>
      <c r="AJ37" s="113" cm="1">
        <f t="array" ref="AJ37">ROUND(
  IF(AND(AJ$1="Ensign", $AI37&gt;=2021, $AI37&lt;=2024),
    _xlfn.XLOOKUP($AI37, Ensign!$A$2:$A$12, Ensign!$B$2:$B$12),
    _xlfn.XLOOKUP($AI37, 'Historic (IPEDS &amp; 2019 RTP)'!$A:$A, _xlfn.XLOOKUP(AJ$1, 'Historic (IPEDS &amp; 2019 RTP)'!$A$1:$H$1, 'Historic (IPEDS &amp; 2019 RTP)'!$A:$H),
      IFERROR(_xlfn.XLOOKUP($AI37, 'USHE Historic'!$A$3:$A$13, _xlfn.XLOOKUP(AJ$1, 'USHE Historic'!$A$2:$E$2, 'USHE Historic'!$A$3:$E$13)),
        _xlfn.IFS(
          AJ$1="BYU", IFERROR(_xlfn.XLOOKUP($AI37, 'MAG College Enrollment Forecast'!$A:$A, 'MAG College Enrollment Forecast'!$B:$B), (AJ$72-AJ36)/($AI$72-$AI36)*($AI37-$AI36)+AJ36),
          AJ$1="UVU", IFERROR(_xlfn.XLOOKUP($AI37, 'MAG College Enrollment Forecast'!$A:$A, 'MAG College Enrollment Forecast'!$C:$C+'MAG College Enrollment Forecast'!$D:$D+'MAG College Enrollment Forecast'!$E:$E+'MAG College Enrollment Forecast'!$F:$F+'MAG College Enrollment Forecast'!$G:$G+'MAG College Enrollment Forecast'!$H:$H), (AJ$72-AJ36)/($AI$72-$AI36)*($AI37-$AI36)+AJ36),
          TRUE, IFERROR(_xlfn.XLOOKUP($AI37, 'USHE Projections'!$A:$A, IFERROR(_xlfn.XLOOKUP(AJ$1, 'USHE Projections'!$A$1:$E$1, 'USHE Projections'!$A:$E), "NONE"), (AJ$72-AJ36)/($AI$72-$AI36)*($AI37-$AI36)+AJ36), (AJ$72-AJ36)/($AI$72-$AI36)*($AI37-$AI36)+AJ36)
        )
      )
    )
  ), 0)</f>
        <v>36873</v>
      </c>
      <c r="AK37" s="113" cm="1">
        <f t="array" ref="AK37">ROUND(
  IF(AND(AK$1="Ensign", $AI37&gt;=2021, $AI37&lt;=2024),
    _xlfn.XLOOKUP($AI37, Ensign!$A$2:$A$12, Ensign!$B$2:$B$12),
    _xlfn.XLOOKUP($AI37, 'Historic (IPEDS &amp; 2019 RTP)'!$A:$A, _xlfn.XLOOKUP(AK$1, 'Historic (IPEDS &amp; 2019 RTP)'!$A$1:$H$1, 'Historic (IPEDS &amp; 2019 RTP)'!$A:$H),
      IFERROR(_xlfn.XLOOKUP($AI37, 'USHE Historic'!$A$3:$A$13, _xlfn.XLOOKUP(AK$1, 'USHE Historic'!$A$2:$E$2, 'USHE Historic'!$A$3:$E$13)),
        _xlfn.IFS(
          AK$1="BYU", IFERROR(_xlfn.XLOOKUP($AI37, 'MAG College Enrollment Forecast'!$A:$A, 'MAG College Enrollment Forecast'!$B:$B), (AK$72-AK36)/($AI$72-$AI36)*($AI37-$AI36)+AK36),
          AK$1="UVU", IFERROR(_xlfn.XLOOKUP($AI37, 'MAG College Enrollment Forecast'!$A:$A, 'MAG College Enrollment Forecast'!$C:$C+'MAG College Enrollment Forecast'!$D:$D+'MAG College Enrollment Forecast'!$E:$E+'MAG College Enrollment Forecast'!$F:$F+'MAG College Enrollment Forecast'!$G:$G+'MAG College Enrollment Forecast'!$H:$H), (AK$72-AK36)/($AI$72-$AI36)*($AI37-$AI36)+AK36),
          TRUE, IFERROR(_xlfn.XLOOKUP($AI37, 'USHE Projections'!$A:$A, IFERROR(_xlfn.XLOOKUP(AK$1, 'USHE Projections'!$A$1:$E$1, 'USHE Projections'!$A:$E), "NONE"), (AK$72-AK36)/($AI$72-$AI36)*($AI37-$AI36)+AK36), (AK$72-AK36)/($AI$72-$AI36)*($AI37-$AI36)+AK36)
        )
      )
    )
  ), 0)</f>
        <v>32055</v>
      </c>
      <c r="AL37" s="35" cm="1">
        <f t="array" ref="AL37">ROUND(
  IF(AND(AL$1="Ensign", $AI37&gt;=2021, $AI37&lt;=2024),
    _xlfn.XLOOKUP($AI37, Ensign!$A$2:$A$12, Ensign!$B$2:$B$12),
    _xlfn.XLOOKUP($AI37, 'Historic (IPEDS &amp; 2019 RTP)'!$A:$A, _xlfn.XLOOKUP(AL$1, 'Historic (IPEDS &amp; 2019 RTP)'!$A$1:$H$1, 'Historic (IPEDS &amp; 2019 RTP)'!$A:$H),
      IFERROR(_xlfn.XLOOKUP($AI37, 'USHE Historic'!$A$3:$A$13, _xlfn.XLOOKUP(AL$1, 'USHE Historic'!$A$2:$E$2, 'USHE Historic'!$A$3:$E$13)),
        _xlfn.IFS(
          AL$1="BYU", IFERROR(_xlfn.XLOOKUP($AI37, 'MAG College Enrollment Forecast'!$A:$A, 'MAG College Enrollment Forecast'!$B:$B), (AL$72-AL36)/($AI$72-$AI36)*($AI37-$AI36)+AL36),
          AL$1="UVU", IFERROR(_xlfn.XLOOKUP($AI37, 'MAG College Enrollment Forecast'!$A:$A, 'MAG College Enrollment Forecast'!$C:$C+'MAG College Enrollment Forecast'!$D:$D+'MAG College Enrollment Forecast'!$E:$E+'MAG College Enrollment Forecast'!$F:$F+'MAG College Enrollment Forecast'!$G:$G+'MAG College Enrollment Forecast'!$H:$H), (AL$72-AL36)/($AI$72-$AI36)*($AI37-$AI36)+AL36),
          TRUE, IFERROR(_xlfn.XLOOKUP($AI37, 'USHE Projections'!$A:$A, IFERROR(_xlfn.XLOOKUP(AL$1, 'USHE Projections'!$A$1:$E$1, 'USHE Projections'!$A:$E), "NONE"), (AL$72-AL36)/($AI$72-$AI36)*($AI37-$AI36)+AL36), (AL$72-AL36)/($AI$72-$AI36)*($AI37-$AI36)+AL36)
        )
      )
    )
  ), 0)</f>
        <v>48161</v>
      </c>
      <c r="AM37" s="113" cm="1">
        <f t="array" ref="AM37">ROUND(
  IF(AND(AM$1="Ensign", $AI37&gt;=2021, $AI37&lt;=2024),
    _xlfn.XLOOKUP($AI37, Ensign!$A$2:$A$12, Ensign!$B$2:$B$12),
    _xlfn.XLOOKUP($AI37, 'Historic (IPEDS &amp; 2019 RTP)'!$A:$A, _xlfn.XLOOKUP(AM$1, 'Historic (IPEDS &amp; 2019 RTP)'!$A$1:$H$1, 'Historic (IPEDS &amp; 2019 RTP)'!$A:$H),
      IFERROR(_xlfn.XLOOKUP($AI37, 'USHE Historic'!$A$3:$A$13, _xlfn.XLOOKUP(AM$1, 'USHE Historic'!$A$2:$E$2, 'USHE Historic'!$A$3:$E$13)),
        _xlfn.IFS(
          AM$1="BYU", IFERROR(_xlfn.XLOOKUP($AI37, 'MAG College Enrollment Forecast'!$A:$A, 'MAG College Enrollment Forecast'!$B:$B), (AM$72-AM36)/($AI$72-$AI36)*($AI37-$AI36)+AM36),
          AM$1="UVU", IFERROR(_xlfn.XLOOKUP($AI37, 'MAG College Enrollment Forecast'!$A:$A, 'MAG College Enrollment Forecast'!$C:$C+'MAG College Enrollment Forecast'!$D:$D+'MAG College Enrollment Forecast'!$E:$E+'MAG College Enrollment Forecast'!$F:$F+'MAG College Enrollment Forecast'!$G:$G+'MAG College Enrollment Forecast'!$H:$H), (AM$72-AM36)/($AI$72-$AI36)*($AI37-$AI36)+AM36),
          TRUE, IFERROR(_xlfn.XLOOKUP($AI37, 'USHE Projections'!$A:$A, IFERROR(_xlfn.XLOOKUP(AM$1, 'USHE Projections'!$A$1:$E$1, 'USHE Projections'!$A:$E), "NONE"), (AM$72-AM36)/($AI$72-$AI36)*($AI37-$AI36)+AM36), (AM$72-AM36)/($AI$72-$AI36)*($AI37-$AI36)+AM36)
        )
      )
    )
  ), 0)</f>
        <v>32557</v>
      </c>
      <c r="AN37" s="35" cm="1">
        <f t="array" ref="AN37">ROUND(
  IF(AND(AN$1="Ensign", $AI37&gt;=2021, $AI37&lt;=2024),
    _xlfn.XLOOKUP($AI37, Ensign!$A$2:$A$12, Ensign!$B$2:$B$12),
    _xlfn.XLOOKUP($AI37, 'Historic (IPEDS &amp; 2019 RTP)'!$A:$A, _xlfn.XLOOKUP(AN$1, 'Historic (IPEDS &amp; 2019 RTP)'!$A$1:$H$1, 'Historic (IPEDS &amp; 2019 RTP)'!$A:$H),
      IFERROR(_xlfn.XLOOKUP($AI37, 'USHE Historic'!$A$3:$A$13, _xlfn.XLOOKUP(AN$1, 'USHE Historic'!$A$2:$E$2, 'USHE Historic'!$A$3:$E$13)),
        _xlfn.IFS(
          AN$1="BYU", IFERROR(_xlfn.XLOOKUP($AI37, 'MAG College Enrollment Forecast'!$A:$A, 'MAG College Enrollment Forecast'!$B:$B), (AN$72-AN36)/($AI$72-$AI36)*($AI37-$AI36)+AN36),
          AN$1="UVU", IFERROR(_xlfn.XLOOKUP($AI37, 'MAG College Enrollment Forecast'!$A:$A, 'MAG College Enrollment Forecast'!$C:$C+'MAG College Enrollment Forecast'!$D:$D+'MAG College Enrollment Forecast'!$E:$E+'MAG College Enrollment Forecast'!$F:$F+'MAG College Enrollment Forecast'!$G:$G+'MAG College Enrollment Forecast'!$H:$H), (AN$72-AN36)/($AI$72-$AI36)*($AI37-$AI36)+AN36),
          TRUE, IFERROR(_xlfn.XLOOKUP($AI37, 'USHE Projections'!$A:$A, IFERROR(_xlfn.XLOOKUP(AN$1, 'USHE Projections'!$A$1:$E$1, 'USHE Projections'!$A:$E), "NONE"), (AN$72-AN36)/($AI$72-$AI36)*($AI37-$AI36)+AN36), (AN$72-AN36)/($AI$72-$AI36)*($AI37-$AI36)+AN36)
        )
      )
    )
  ), 0)</f>
        <v>37477</v>
      </c>
      <c r="AO37" s="104" cm="1">
        <f t="array" ref="AO37">ROUND(
  IF(AND(AO$1="Ensign", $AI37&gt;=2021, $AI37&lt;=2024),
    _xlfn.XLOOKUP($AI37, Ensign!$A$2:$A$12, Ensign!$B$2:$B$12),
    _xlfn.XLOOKUP($AI37, 'Historic (IPEDS &amp; 2019 RTP)'!$A:$A, _xlfn.XLOOKUP(AO$1, 'Historic (IPEDS &amp; 2019 RTP)'!$A$1:$H$1, 'Historic (IPEDS &amp; 2019 RTP)'!$A:$H),
      IFERROR(_xlfn.XLOOKUP($AI37, 'USHE Historic'!$A$3:$A$13, _xlfn.XLOOKUP(AO$1, 'USHE Historic'!$A$2:$E$2, 'USHE Historic'!$A$3:$E$13)),
        _xlfn.IFS(
          AO$1="BYU", IFERROR(_xlfn.XLOOKUP($AI37, 'MAG College Enrollment Forecast'!$A:$A, 'MAG College Enrollment Forecast'!$B:$B), (AO$72-AO36)/($AI$72-$AI36)*($AI37-$AI36)+AO36),
          AO$1="UVU", IFERROR(_xlfn.XLOOKUP($AI37, 'MAG College Enrollment Forecast'!$A:$A, 'MAG College Enrollment Forecast'!$C:$C+'MAG College Enrollment Forecast'!$D:$D+'MAG College Enrollment Forecast'!$E:$E+'MAG College Enrollment Forecast'!$F:$F+'MAG College Enrollment Forecast'!$G:$G+'MAG College Enrollment Forecast'!$H:$H), (AO$72-AO36)/($AI$72-$AI36)*($AI37-$AI36)+AO36),
          TRUE, IFERROR(_xlfn.XLOOKUP($AI37, 'USHE Projections'!$A:$A, IFERROR(_xlfn.XLOOKUP(AO$1, 'USHE Projections'!$A$1:$E$1, 'USHE Projections'!$A:$E), "NONE"), (AO$72-AO36)/($AI$72-$AI36)*($AI37-$AI36)+AO36), (AO$72-AO36)/($AI$72-$AI36)*($AI37-$AI36)+AO36)
        )
      )
    )
  ), 0)</f>
        <v>1972</v>
      </c>
      <c r="AP37" s="104" cm="1">
        <f t="array" ref="AP37">ROUND(
  IF(AND(AP$1="Ensign", $AI37&gt;=2021, $AI37&lt;=2024),
    _xlfn.XLOOKUP($AI37, Ensign!$A$2:$A$12, Ensign!$B$2:$B$12),
    _xlfn.XLOOKUP($AI37, 'Historic (IPEDS &amp; 2019 RTP)'!$A:$A, _xlfn.XLOOKUP(AP$1, 'Historic (IPEDS &amp; 2019 RTP)'!$A$1:$H$1, 'Historic (IPEDS &amp; 2019 RTP)'!$A:$H),
      IFERROR(_xlfn.XLOOKUP($AI37, 'USHE Historic'!$A$3:$A$13, _xlfn.XLOOKUP(AP$1, 'USHE Historic'!$A$2:$E$2, 'USHE Historic'!$A$3:$E$13)),
        _xlfn.IFS(
          AP$1="BYU", IFERROR(_xlfn.XLOOKUP($AI37, 'MAG College Enrollment Forecast'!$A:$A, 'MAG College Enrollment Forecast'!$B:$B), (AP$72-AP36)/($AI$72-$AI36)*($AI37-$AI36)+AP36),
          AP$1="UVU", IFERROR(_xlfn.XLOOKUP($AI37, 'MAG College Enrollment Forecast'!$A:$A, 'MAG College Enrollment Forecast'!$C:$C+'MAG College Enrollment Forecast'!$D:$D+'MAG College Enrollment Forecast'!$E:$E+'MAG College Enrollment Forecast'!$F:$F+'MAG College Enrollment Forecast'!$G:$G+'MAG College Enrollment Forecast'!$H:$H), (AP$72-AP36)/($AI$72-$AI36)*($AI37-$AI36)+AP36),
          TRUE, IFERROR(_xlfn.XLOOKUP($AI37, 'USHE Projections'!$A:$A, IFERROR(_xlfn.XLOOKUP(AP$1, 'USHE Projections'!$A$1:$E$1, 'USHE Projections'!$A:$E), "NONE"), (AP$72-AP36)/($AI$72-$AI36)*($AI37-$AI36)+AP36), (AP$72-AP36)/($AI$72-$AI36)*($AI37-$AI36)+AP36)
        )
      )
    )
  ), 0)</f>
        <v>1338</v>
      </c>
      <c r="AQ37" s="7"/>
      <c r="AR37" s="106" t="s">
        <v>217</v>
      </c>
    </row>
    <row r="38" spans="35:44">
      <c r="AI38" s="3">
        <v>2026</v>
      </c>
      <c r="AJ38" s="113" cm="1">
        <f t="array" ref="AJ38">ROUND(
  IF(AND(AJ$1="Ensign", $AI38&gt;=2021, $AI38&lt;=2024),
    _xlfn.XLOOKUP($AI38, Ensign!$A$2:$A$12, Ensign!$B$2:$B$12),
    _xlfn.XLOOKUP($AI38, 'Historic (IPEDS &amp; 2019 RTP)'!$A:$A, _xlfn.XLOOKUP(AJ$1, 'Historic (IPEDS &amp; 2019 RTP)'!$A$1:$H$1, 'Historic (IPEDS &amp; 2019 RTP)'!$A:$H),
      IFERROR(_xlfn.XLOOKUP($AI38, 'USHE Historic'!$A$3:$A$13, _xlfn.XLOOKUP(AJ$1, 'USHE Historic'!$A$2:$E$2, 'USHE Historic'!$A$3:$E$13)),
        _xlfn.IFS(
          AJ$1="BYU", IFERROR(_xlfn.XLOOKUP($AI38, 'MAG College Enrollment Forecast'!$A:$A, 'MAG College Enrollment Forecast'!$B:$B), (AJ$72-AJ37)/($AI$72-$AI37)*($AI38-$AI37)+AJ37),
          AJ$1="UVU", IFERROR(_xlfn.XLOOKUP($AI38, 'MAG College Enrollment Forecast'!$A:$A, 'MAG College Enrollment Forecast'!$C:$C+'MAG College Enrollment Forecast'!$D:$D+'MAG College Enrollment Forecast'!$E:$E+'MAG College Enrollment Forecast'!$F:$F+'MAG College Enrollment Forecast'!$G:$G+'MAG College Enrollment Forecast'!$H:$H), (AJ$72-AJ37)/($AI$72-$AI37)*($AI38-$AI37)+AJ37),
          TRUE, IFERROR(_xlfn.XLOOKUP($AI38, 'USHE Projections'!$A:$A, IFERROR(_xlfn.XLOOKUP(AJ$1, 'USHE Projections'!$A$1:$E$1, 'USHE Projections'!$A:$E), "NONE"), (AJ$72-AJ37)/($AI$72-$AI37)*($AI38-$AI37)+AJ37), (AJ$72-AJ37)/($AI$72-$AI37)*($AI38-$AI37)+AJ37)
        )
      )
    )
  ), 0)</f>
        <v>37086</v>
      </c>
      <c r="AK38" s="113" cm="1">
        <f t="array" ref="AK38">ROUND(
  IF(AND(AK$1="Ensign", $AI38&gt;=2021, $AI38&lt;=2024),
    _xlfn.XLOOKUP($AI38, Ensign!$A$2:$A$12, Ensign!$B$2:$B$12),
    _xlfn.XLOOKUP($AI38, 'Historic (IPEDS &amp; 2019 RTP)'!$A:$A, _xlfn.XLOOKUP(AK$1, 'Historic (IPEDS &amp; 2019 RTP)'!$A$1:$H$1, 'Historic (IPEDS &amp; 2019 RTP)'!$A:$H),
      IFERROR(_xlfn.XLOOKUP($AI38, 'USHE Historic'!$A$3:$A$13, _xlfn.XLOOKUP(AK$1, 'USHE Historic'!$A$2:$E$2, 'USHE Historic'!$A$3:$E$13)),
        _xlfn.IFS(
          AK$1="BYU", IFERROR(_xlfn.XLOOKUP($AI38, 'MAG College Enrollment Forecast'!$A:$A, 'MAG College Enrollment Forecast'!$B:$B), (AK$72-AK37)/($AI$72-$AI37)*($AI38-$AI37)+AK37),
          AK$1="UVU", IFERROR(_xlfn.XLOOKUP($AI38, 'MAG College Enrollment Forecast'!$A:$A, 'MAG College Enrollment Forecast'!$C:$C+'MAG College Enrollment Forecast'!$D:$D+'MAG College Enrollment Forecast'!$E:$E+'MAG College Enrollment Forecast'!$F:$F+'MAG College Enrollment Forecast'!$G:$G+'MAG College Enrollment Forecast'!$H:$H), (AK$72-AK37)/($AI$72-$AI37)*($AI38-$AI37)+AK37),
          TRUE, IFERROR(_xlfn.XLOOKUP($AI38, 'USHE Projections'!$A:$A, IFERROR(_xlfn.XLOOKUP(AK$1, 'USHE Projections'!$A$1:$E$1, 'USHE Projections'!$A:$E), "NONE"), (AK$72-AK37)/($AI$72-$AI37)*($AI38-$AI37)+AK37), (AK$72-AK37)/($AI$72-$AI37)*($AI38-$AI37)+AK37)
        )
      )
    )
  ), 0)</f>
        <v>32380</v>
      </c>
      <c r="AL38" s="35" cm="1">
        <f t="array" ref="AL38">ROUND(
  IF(AND(AL$1="Ensign", $AI38&gt;=2021, $AI38&lt;=2024),
    _xlfn.XLOOKUP($AI38, Ensign!$A$2:$A$12, Ensign!$B$2:$B$12),
    _xlfn.XLOOKUP($AI38, 'Historic (IPEDS &amp; 2019 RTP)'!$A:$A, _xlfn.XLOOKUP(AL$1, 'Historic (IPEDS &amp; 2019 RTP)'!$A$1:$H$1, 'Historic (IPEDS &amp; 2019 RTP)'!$A:$H),
      IFERROR(_xlfn.XLOOKUP($AI38, 'USHE Historic'!$A$3:$A$13, _xlfn.XLOOKUP(AL$1, 'USHE Historic'!$A$2:$E$2, 'USHE Historic'!$A$3:$E$13)),
        _xlfn.IFS(
          AL$1="BYU", IFERROR(_xlfn.XLOOKUP($AI38, 'MAG College Enrollment Forecast'!$A:$A, 'MAG College Enrollment Forecast'!$B:$B), (AL$72-AL37)/($AI$72-$AI37)*($AI38-$AI37)+AL37),
          AL$1="UVU", IFERROR(_xlfn.XLOOKUP($AI38, 'MAG College Enrollment Forecast'!$A:$A, 'MAG College Enrollment Forecast'!$C:$C+'MAG College Enrollment Forecast'!$D:$D+'MAG College Enrollment Forecast'!$E:$E+'MAG College Enrollment Forecast'!$F:$F+'MAG College Enrollment Forecast'!$G:$G+'MAG College Enrollment Forecast'!$H:$H), (AL$72-AL37)/($AI$72-$AI37)*($AI38-$AI37)+AL37),
          TRUE, IFERROR(_xlfn.XLOOKUP($AI38, 'USHE Projections'!$A:$A, IFERROR(_xlfn.XLOOKUP(AL$1, 'USHE Projections'!$A$1:$E$1, 'USHE Projections'!$A:$E), "NONE"), (AL$72-AL37)/($AI$72-$AI37)*($AI38-$AI37)+AL37), (AL$72-AL37)/($AI$72-$AI37)*($AI38-$AI37)+AL37)
        )
      )
    )
  ), 0)</f>
        <v>49562</v>
      </c>
      <c r="AM38" s="113" cm="1">
        <f t="array" ref="AM38">ROUND(
  IF(AND(AM$1="Ensign", $AI38&gt;=2021, $AI38&lt;=2024),
    _xlfn.XLOOKUP($AI38, Ensign!$A$2:$A$12, Ensign!$B$2:$B$12),
    _xlfn.XLOOKUP($AI38, 'Historic (IPEDS &amp; 2019 RTP)'!$A:$A, _xlfn.XLOOKUP(AM$1, 'Historic (IPEDS &amp; 2019 RTP)'!$A$1:$H$1, 'Historic (IPEDS &amp; 2019 RTP)'!$A:$H),
      IFERROR(_xlfn.XLOOKUP($AI38, 'USHE Historic'!$A$3:$A$13, _xlfn.XLOOKUP(AM$1, 'USHE Historic'!$A$2:$E$2, 'USHE Historic'!$A$3:$E$13)),
        _xlfn.IFS(
          AM$1="BYU", IFERROR(_xlfn.XLOOKUP($AI38, 'MAG College Enrollment Forecast'!$A:$A, 'MAG College Enrollment Forecast'!$B:$B), (AM$72-AM37)/($AI$72-$AI37)*($AI38-$AI37)+AM37),
          AM$1="UVU", IFERROR(_xlfn.XLOOKUP($AI38, 'MAG College Enrollment Forecast'!$A:$A, 'MAG College Enrollment Forecast'!$C:$C+'MAG College Enrollment Forecast'!$D:$D+'MAG College Enrollment Forecast'!$E:$E+'MAG College Enrollment Forecast'!$F:$F+'MAG College Enrollment Forecast'!$G:$G+'MAG College Enrollment Forecast'!$H:$H), (AM$72-AM37)/($AI$72-$AI37)*($AI38-$AI37)+AM37),
          TRUE, IFERROR(_xlfn.XLOOKUP($AI38, 'USHE Projections'!$A:$A, IFERROR(_xlfn.XLOOKUP(AM$1, 'USHE Projections'!$A$1:$E$1, 'USHE Projections'!$A:$E), "NONE"), (AM$72-AM37)/($AI$72-$AI37)*($AI38-$AI37)+AM37), (AM$72-AM37)/($AI$72-$AI37)*($AI38-$AI37)+AM37)
        )
      )
    )
  ), 0)</f>
        <v>32490</v>
      </c>
      <c r="AN38" s="35" cm="1">
        <f t="array" ref="AN38">ROUND(
  IF(AND(AN$1="Ensign", $AI38&gt;=2021, $AI38&lt;=2024),
    _xlfn.XLOOKUP($AI38, Ensign!$A$2:$A$12, Ensign!$B$2:$B$12),
    _xlfn.XLOOKUP($AI38, 'Historic (IPEDS &amp; 2019 RTP)'!$A:$A, _xlfn.XLOOKUP(AN$1, 'Historic (IPEDS &amp; 2019 RTP)'!$A$1:$H$1, 'Historic (IPEDS &amp; 2019 RTP)'!$A:$H),
      IFERROR(_xlfn.XLOOKUP($AI38, 'USHE Historic'!$A$3:$A$13, _xlfn.XLOOKUP(AN$1, 'USHE Historic'!$A$2:$E$2, 'USHE Historic'!$A$3:$E$13)),
        _xlfn.IFS(
          AN$1="BYU", IFERROR(_xlfn.XLOOKUP($AI38, 'MAG College Enrollment Forecast'!$A:$A, 'MAG College Enrollment Forecast'!$B:$B), (AN$72-AN37)/($AI$72-$AI37)*($AI38-$AI37)+AN37),
          AN$1="UVU", IFERROR(_xlfn.XLOOKUP($AI38, 'MAG College Enrollment Forecast'!$A:$A, 'MAG College Enrollment Forecast'!$C:$C+'MAG College Enrollment Forecast'!$D:$D+'MAG College Enrollment Forecast'!$E:$E+'MAG College Enrollment Forecast'!$F:$F+'MAG College Enrollment Forecast'!$G:$G+'MAG College Enrollment Forecast'!$H:$H), (AN$72-AN37)/($AI$72-$AI37)*($AI38-$AI37)+AN37),
          TRUE, IFERROR(_xlfn.XLOOKUP($AI38, 'USHE Projections'!$A:$A, IFERROR(_xlfn.XLOOKUP(AN$1, 'USHE Projections'!$A$1:$E$1, 'USHE Projections'!$A:$E), "NONE"), (AN$72-AN37)/($AI$72-$AI37)*($AI38-$AI37)+AN37), (AN$72-AN37)/($AI$72-$AI37)*($AI38-$AI37)+AN37)
        )
      )
    )
  ), 0)</f>
        <v>37514</v>
      </c>
      <c r="AO38" s="104" cm="1">
        <f t="array" ref="AO38">ROUND(
  IF(AND(AO$1="Ensign", $AI38&gt;=2021, $AI38&lt;=2024),
    _xlfn.XLOOKUP($AI38, Ensign!$A$2:$A$12, Ensign!$B$2:$B$12),
    _xlfn.XLOOKUP($AI38, 'Historic (IPEDS &amp; 2019 RTP)'!$A:$A, _xlfn.XLOOKUP(AO$1, 'Historic (IPEDS &amp; 2019 RTP)'!$A$1:$H$1, 'Historic (IPEDS &amp; 2019 RTP)'!$A:$H),
      IFERROR(_xlfn.XLOOKUP($AI38, 'USHE Historic'!$A$3:$A$13, _xlfn.XLOOKUP(AO$1, 'USHE Historic'!$A$2:$E$2, 'USHE Historic'!$A$3:$E$13)),
        _xlfn.IFS(
          AO$1="BYU", IFERROR(_xlfn.XLOOKUP($AI38, 'MAG College Enrollment Forecast'!$A:$A, 'MAG College Enrollment Forecast'!$B:$B), (AO$72-AO37)/($AI$72-$AI37)*($AI38-$AI37)+AO37),
          AO$1="UVU", IFERROR(_xlfn.XLOOKUP($AI38, 'MAG College Enrollment Forecast'!$A:$A, 'MAG College Enrollment Forecast'!$C:$C+'MAG College Enrollment Forecast'!$D:$D+'MAG College Enrollment Forecast'!$E:$E+'MAG College Enrollment Forecast'!$F:$F+'MAG College Enrollment Forecast'!$G:$G+'MAG College Enrollment Forecast'!$H:$H), (AO$72-AO37)/($AI$72-$AI37)*($AI38-$AI37)+AO37),
          TRUE, IFERROR(_xlfn.XLOOKUP($AI38, 'USHE Projections'!$A:$A, IFERROR(_xlfn.XLOOKUP(AO$1, 'USHE Projections'!$A$1:$E$1, 'USHE Projections'!$A:$E), "NONE"), (AO$72-AO37)/($AI$72-$AI37)*($AI38-$AI37)+AO37), (AO$72-AO37)/($AI$72-$AI37)*($AI38-$AI37)+AO37)
        )
      )
    )
  ), 0)</f>
        <v>2007</v>
      </c>
      <c r="AP38" s="104" cm="1">
        <f t="array" ref="AP38">ROUND(
  IF(AND(AP$1="Ensign", $AI38&gt;=2021, $AI38&lt;=2024),
    _xlfn.XLOOKUP($AI38, Ensign!$A$2:$A$12, Ensign!$B$2:$B$12),
    _xlfn.XLOOKUP($AI38, 'Historic (IPEDS &amp; 2019 RTP)'!$A:$A, _xlfn.XLOOKUP(AP$1, 'Historic (IPEDS &amp; 2019 RTP)'!$A$1:$H$1, 'Historic (IPEDS &amp; 2019 RTP)'!$A:$H),
      IFERROR(_xlfn.XLOOKUP($AI38, 'USHE Historic'!$A$3:$A$13, _xlfn.XLOOKUP(AP$1, 'USHE Historic'!$A$2:$E$2, 'USHE Historic'!$A$3:$E$13)),
        _xlfn.IFS(
          AP$1="BYU", IFERROR(_xlfn.XLOOKUP($AI38, 'MAG College Enrollment Forecast'!$A:$A, 'MAG College Enrollment Forecast'!$B:$B), (AP$72-AP37)/($AI$72-$AI37)*($AI38-$AI37)+AP37),
          AP$1="UVU", IFERROR(_xlfn.XLOOKUP($AI38, 'MAG College Enrollment Forecast'!$A:$A, 'MAG College Enrollment Forecast'!$C:$C+'MAG College Enrollment Forecast'!$D:$D+'MAG College Enrollment Forecast'!$E:$E+'MAG College Enrollment Forecast'!$F:$F+'MAG College Enrollment Forecast'!$G:$G+'MAG College Enrollment Forecast'!$H:$H), (AP$72-AP37)/($AI$72-$AI37)*($AI38-$AI37)+AP37),
          TRUE, IFERROR(_xlfn.XLOOKUP($AI38, 'USHE Projections'!$A:$A, IFERROR(_xlfn.XLOOKUP(AP$1, 'USHE Projections'!$A$1:$E$1, 'USHE Projections'!$A:$E), "NONE"), (AP$72-AP37)/($AI$72-$AI37)*($AI38-$AI37)+AP37), (AP$72-AP37)/($AI$72-$AI37)*($AI38-$AI37)+AP37)
        )
      )
    )
  ), 0)</f>
        <v>1400</v>
      </c>
      <c r="AQ38" s="7"/>
      <c r="AR38" s="107" t="s">
        <v>201</v>
      </c>
    </row>
    <row r="39" spans="35:44">
      <c r="AI39" s="3">
        <v>2027</v>
      </c>
      <c r="AJ39" s="113" cm="1">
        <f t="array" ref="AJ39">ROUND(
  IF(AND(AJ$1="Ensign", $AI39&gt;=2021, $AI39&lt;=2024),
    _xlfn.XLOOKUP($AI39, Ensign!$A$2:$A$12, Ensign!$B$2:$B$12),
    _xlfn.XLOOKUP($AI39, 'Historic (IPEDS &amp; 2019 RTP)'!$A:$A, _xlfn.XLOOKUP(AJ$1, 'Historic (IPEDS &amp; 2019 RTP)'!$A$1:$H$1, 'Historic (IPEDS &amp; 2019 RTP)'!$A:$H),
      IFERROR(_xlfn.XLOOKUP($AI39, 'USHE Historic'!$A$3:$A$13, _xlfn.XLOOKUP(AJ$1, 'USHE Historic'!$A$2:$E$2, 'USHE Historic'!$A$3:$E$13)),
        _xlfn.IFS(
          AJ$1="BYU", IFERROR(_xlfn.XLOOKUP($AI39, 'MAG College Enrollment Forecast'!$A:$A, 'MAG College Enrollment Forecast'!$B:$B), (AJ$72-AJ38)/($AI$72-$AI38)*($AI39-$AI38)+AJ38),
          AJ$1="UVU", IFERROR(_xlfn.XLOOKUP($AI39, 'MAG College Enrollment Forecast'!$A:$A, 'MAG College Enrollment Forecast'!$C:$C+'MAG College Enrollment Forecast'!$D:$D+'MAG College Enrollment Forecast'!$E:$E+'MAG College Enrollment Forecast'!$F:$F+'MAG College Enrollment Forecast'!$G:$G+'MAG College Enrollment Forecast'!$H:$H), (AJ$72-AJ38)/($AI$72-$AI38)*($AI39-$AI38)+AJ38),
          TRUE, IFERROR(_xlfn.XLOOKUP($AI39, 'USHE Projections'!$A:$A, IFERROR(_xlfn.XLOOKUP(AJ$1, 'USHE Projections'!$A$1:$E$1, 'USHE Projections'!$A:$E), "NONE"), (AJ$72-AJ38)/($AI$72-$AI38)*($AI39-$AI38)+AJ38), (AJ$72-AJ38)/($AI$72-$AI38)*($AI39-$AI38)+AJ38)
        )
      )
    )
  ), 0)</f>
        <v>37266</v>
      </c>
      <c r="AK39" s="113" cm="1">
        <f t="array" ref="AK39">ROUND(
  IF(AND(AK$1="Ensign", $AI39&gt;=2021, $AI39&lt;=2024),
    _xlfn.XLOOKUP($AI39, Ensign!$A$2:$A$12, Ensign!$B$2:$B$12),
    _xlfn.XLOOKUP($AI39, 'Historic (IPEDS &amp; 2019 RTP)'!$A:$A, _xlfn.XLOOKUP(AK$1, 'Historic (IPEDS &amp; 2019 RTP)'!$A$1:$H$1, 'Historic (IPEDS &amp; 2019 RTP)'!$A:$H),
      IFERROR(_xlfn.XLOOKUP($AI39, 'USHE Historic'!$A$3:$A$13, _xlfn.XLOOKUP(AK$1, 'USHE Historic'!$A$2:$E$2, 'USHE Historic'!$A$3:$E$13)),
        _xlfn.IFS(
          AK$1="BYU", IFERROR(_xlfn.XLOOKUP($AI39, 'MAG College Enrollment Forecast'!$A:$A, 'MAG College Enrollment Forecast'!$B:$B), (AK$72-AK38)/($AI$72-$AI38)*($AI39-$AI38)+AK38),
          AK$1="UVU", IFERROR(_xlfn.XLOOKUP($AI39, 'MAG College Enrollment Forecast'!$A:$A, 'MAG College Enrollment Forecast'!$C:$C+'MAG College Enrollment Forecast'!$D:$D+'MAG College Enrollment Forecast'!$E:$E+'MAG College Enrollment Forecast'!$F:$F+'MAG College Enrollment Forecast'!$G:$G+'MAG College Enrollment Forecast'!$H:$H), (AK$72-AK38)/($AI$72-$AI38)*($AI39-$AI38)+AK38),
          TRUE, IFERROR(_xlfn.XLOOKUP($AI39, 'USHE Projections'!$A:$A, IFERROR(_xlfn.XLOOKUP(AK$1, 'USHE Projections'!$A$1:$E$1, 'USHE Projections'!$A:$E), "NONE"), (AK$72-AK38)/($AI$72-$AI38)*($AI39-$AI38)+AK38), (AK$72-AK38)/($AI$72-$AI38)*($AI39-$AI38)+AK38)
        )
      )
    )
  ), 0)</f>
        <v>32709</v>
      </c>
      <c r="AL39" s="35" cm="1">
        <f t="array" ref="AL39">ROUND(
  IF(AND(AL$1="Ensign", $AI39&gt;=2021, $AI39&lt;=2024),
    _xlfn.XLOOKUP($AI39, Ensign!$A$2:$A$12, Ensign!$B$2:$B$12),
    _xlfn.XLOOKUP($AI39, 'Historic (IPEDS &amp; 2019 RTP)'!$A:$A, _xlfn.XLOOKUP(AL$1, 'Historic (IPEDS &amp; 2019 RTP)'!$A$1:$H$1, 'Historic (IPEDS &amp; 2019 RTP)'!$A:$H),
      IFERROR(_xlfn.XLOOKUP($AI39, 'USHE Historic'!$A$3:$A$13, _xlfn.XLOOKUP(AL$1, 'USHE Historic'!$A$2:$E$2, 'USHE Historic'!$A$3:$E$13)),
        _xlfn.IFS(
          AL$1="BYU", IFERROR(_xlfn.XLOOKUP($AI39, 'MAG College Enrollment Forecast'!$A:$A, 'MAG College Enrollment Forecast'!$B:$B), (AL$72-AL38)/($AI$72-$AI38)*($AI39-$AI38)+AL38),
          AL$1="UVU", IFERROR(_xlfn.XLOOKUP($AI39, 'MAG College Enrollment Forecast'!$A:$A, 'MAG College Enrollment Forecast'!$C:$C+'MAG College Enrollment Forecast'!$D:$D+'MAG College Enrollment Forecast'!$E:$E+'MAG College Enrollment Forecast'!$F:$F+'MAG College Enrollment Forecast'!$G:$G+'MAG College Enrollment Forecast'!$H:$H), (AL$72-AL38)/($AI$72-$AI38)*($AI39-$AI38)+AL38),
          TRUE, IFERROR(_xlfn.XLOOKUP($AI39, 'USHE Projections'!$A:$A, IFERROR(_xlfn.XLOOKUP(AL$1, 'USHE Projections'!$A$1:$E$1, 'USHE Projections'!$A:$E), "NONE"), (AL$72-AL38)/($AI$72-$AI38)*($AI39-$AI38)+AL38), (AL$72-AL38)/($AI$72-$AI38)*($AI39-$AI38)+AL38)
        )
      )
    )
  ), 0)</f>
        <v>50678</v>
      </c>
      <c r="AM39" s="113" cm="1">
        <f t="array" ref="AM39">ROUND(
  IF(AND(AM$1="Ensign", $AI39&gt;=2021, $AI39&lt;=2024),
    _xlfn.XLOOKUP($AI39, Ensign!$A$2:$A$12, Ensign!$B$2:$B$12),
    _xlfn.XLOOKUP($AI39, 'Historic (IPEDS &amp; 2019 RTP)'!$A:$A, _xlfn.XLOOKUP(AM$1, 'Historic (IPEDS &amp; 2019 RTP)'!$A$1:$H$1, 'Historic (IPEDS &amp; 2019 RTP)'!$A:$H),
      IFERROR(_xlfn.XLOOKUP($AI39, 'USHE Historic'!$A$3:$A$13, _xlfn.XLOOKUP(AM$1, 'USHE Historic'!$A$2:$E$2, 'USHE Historic'!$A$3:$E$13)),
        _xlfn.IFS(
          AM$1="BYU", IFERROR(_xlfn.XLOOKUP($AI39, 'MAG College Enrollment Forecast'!$A:$A, 'MAG College Enrollment Forecast'!$B:$B), (AM$72-AM38)/($AI$72-$AI38)*($AI39-$AI38)+AM38),
          AM$1="UVU", IFERROR(_xlfn.XLOOKUP($AI39, 'MAG College Enrollment Forecast'!$A:$A, 'MAG College Enrollment Forecast'!$C:$C+'MAG College Enrollment Forecast'!$D:$D+'MAG College Enrollment Forecast'!$E:$E+'MAG College Enrollment Forecast'!$F:$F+'MAG College Enrollment Forecast'!$G:$G+'MAG College Enrollment Forecast'!$H:$H), (AM$72-AM38)/($AI$72-$AI38)*($AI39-$AI38)+AM38),
          TRUE, IFERROR(_xlfn.XLOOKUP($AI39, 'USHE Projections'!$A:$A, IFERROR(_xlfn.XLOOKUP(AM$1, 'USHE Projections'!$A$1:$E$1, 'USHE Projections'!$A:$E), "NONE"), (AM$72-AM38)/($AI$72-$AI38)*($AI39-$AI38)+AM38), (AM$72-AM38)/($AI$72-$AI38)*($AI39-$AI38)+AM38)
        )
      )
    )
  ), 0)</f>
        <v>32395</v>
      </c>
      <c r="AN39" s="35" cm="1">
        <f t="array" ref="AN39">ROUND(
  IF(AND(AN$1="Ensign", $AI39&gt;=2021, $AI39&lt;=2024),
    _xlfn.XLOOKUP($AI39, Ensign!$A$2:$A$12, Ensign!$B$2:$B$12),
    _xlfn.XLOOKUP($AI39, 'Historic (IPEDS &amp; 2019 RTP)'!$A:$A, _xlfn.XLOOKUP(AN$1, 'Historic (IPEDS &amp; 2019 RTP)'!$A$1:$H$1, 'Historic (IPEDS &amp; 2019 RTP)'!$A:$H),
      IFERROR(_xlfn.XLOOKUP($AI39, 'USHE Historic'!$A$3:$A$13, _xlfn.XLOOKUP(AN$1, 'USHE Historic'!$A$2:$E$2, 'USHE Historic'!$A$3:$E$13)),
        _xlfn.IFS(
          AN$1="BYU", IFERROR(_xlfn.XLOOKUP($AI39, 'MAG College Enrollment Forecast'!$A:$A, 'MAG College Enrollment Forecast'!$B:$B), (AN$72-AN38)/($AI$72-$AI38)*($AI39-$AI38)+AN38),
          AN$1="UVU", IFERROR(_xlfn.XLOOKUP($AI39, 'MAG College Enrollment Forecast'!$A:$A, 'MAG College Enrollment Forecast'!$C:$C+'MAG College Enrollment Forecast'!$D:$D+'MAG College Enrollment Forecast'!$E:$E+'MAG College Enrollment Forecast'!$F:$F+'MAG College Enrollment Forecast'!$G:$G+'MAG College Enrollment Forecast'!$H:$H), (AN$72-AN38)/($AI$72-$AI38)*($AI39-$AI38)+AN38),
          TRUE, IFERROR(_xlfn.XLOOKUP($AI39, 'USHE Projections'!$A:$A, IFERROR(_xlfn.XLOOKUP(AN$1, 'USHE Projections'!$A$1:$E$1, 'USHE Projections'!$A:$E), "NONE"), (AN$72-AN38)/($AI$72-$AI38)*($AI39-$AI38)+AN38), (AN$72-AN38)/($AI$72-$AI38)*($AI39-$AI38)+AN38)
        )
      )
    )
  ), 0)</f>
        <v>37551</v>
      </c>
      <c r="AO39" s="104" cm="1">
        <f t="array" ref="AO39">ROUND(
  IF(AND(AO$1="Ensign", $AI39&gt;=2021, $AI39&lt;=2024),
    _xlfn.XLOOKUP($AI39, Ensign!$A$2:$A$12, Ensign!$B$2:$B$12),
    _xlfn.XLOOKUP($AI39, 'Historic (IPEDS &amp; 2019 RTP)'!$A:$A, _xlfn.XLOOKUP(AO$1, 'Historic (IPEDS &amp; 2019 RTP)'!$A$1:$H$1, 'Historic (IPEDS &amp; 2019 RTP)'!$A:$H),
      IFERROR(_xlfn.XLOOKUP($AI39, 'USHE Historic'!$A$3:$A$13, _xlfn.XLOOKUP(AO$1, 'USHE Historic'!$A$2:$E$2, 'USHE Historic'!$A$3:$E$13)),
        _xlfn.IFS(
          AO$1="BYU", IFERROR(_xlfn.XLOOKUP($AI39, 'MAG College Enrollment Forecast'!$A:$A, 'MAG College Enrollment Forecast'!$B:$B), (AO$72-AO38)/($AI$72-$AI38)*($AI39-$AI38)+AO38),
          AO$1="UVU", IFERROR(_xlfn.XLOOKUP($AI39, 'MAG College Enrollment Forecast'!$A:$A, 'MAG College Enrollment Forecast'!$C:$C+'MAG College Enrollment Forecast'!$D:$D+'MAG College Enrollment Forecast'!$E:$E+'MAG College Enrollment Forecast'!$F:$F+'MAG College Enrollment Forecast'!$G:$G+'MAG College Enrollment Forecast'!$H:$H), (AO$72-AO38)/($AI$72-$AI38)*($AI39-$AI38)+AO38),
          TRUE, IFERROR(_xlfn.XLOOKUP($AI39, 'USHE Projections'!$A:$A, IFERROR(_xlfn.XLOOKUP(AO$1, 'USHE Projections'!$A$1:$E$1, 'USHE Projections'!$A:$E), "NONE"), (AO$72-AO38)/($AI$72-$AI38)*($AI39-$AI38)+AO38), (AO$72-AO38)/($AI$72-$AI38)*($AI39-$AI38)+AO38)
        )
      )
    )
  ), 0)</f>
        <v>2042</v>
      </c>
      <c r="AP39" s="104" cm="1">
        <f t="array" ref="AP39">ROUND(
  IF(AND(AP$1="Ensign", $AI39&gt;=2021, $AI39&lt;=2024),
    _xlfn.XLOOKUP($AI39, Ensign!$A$2:$A$12, Ensign!$B$2:$B$12),
    _xlfn.XLOOKUP($AI39, 'Historic (IPEDS &amp; 2019 RTP)'!$A:$A, _xlfn.XLOOKUP(AP$1, 'Historic (IPEDS &amp; 2019 RTP)'!$A$1:$H$1, 'Historic (IPEDS &amp; 2019 RTP)'!$A:$H),
      IFERROR(_xlfn.XLOOKUP($AI39, 'USHE Historic'!$A$3:$A$13, _xlfn.XLOOKUP(AP$1, 'USHE Historic'!$A$2:$E$2, 'USHE Historic'!$A$3:$E$13)),
        _xlfn.IFS(
          AP$1="BYU", IFERROR(_xlfn.XLOOKUP($AI39, 'MAG College Enrollment Forecast'!$A:$A, 'MAG College Enrollment Forecast'!$B:$B), (AP$72-AP38)/($AI$72-$AI38)*($AI39-$AI38)+AP38),
          AP$1="UVU", IFERROR(_xlfn.XLOOKUP($AI39, 'MAG College Enrollment Forecast'!$A:$A, 'MAG College Enrollment Forecast'!$C:$C+'MAG College Enrollment Forecast'!$D:$D+'MAG College Enrollment Forecast'!$E:$E+'MAG College Enrollment Forecast'!$F:$F+'MAG College Enrollment Forecast'!$G:$G+'MAG College Enrollment Forecast'!$H:$H), (AP$72-AP38)/($AI$72-$AI38)*($AI39-$AI38)+AP38),
          TRUE, IFERROR(_xlfn.XLOOKUP($AI39, 'USHE Projections'!$A:$A, IFERROR(_xlfn.XLOOKUP(AP$1, 'USHE Projections'!$A$1:$E$1, 'USHE Projections'!$A:$E), "NONE"), (AP$72-AP38)/($AI$72-$AI38)*($AI39-$AI38)+AP38), (AP$72-AP38)/($AI$72-$AI38)*($AI39-$AI38)+AP38)
        )
      )
    )
  ), 0)</f>
        <v>1462</v>
      </c>
      <c r="AQ39" s="7"/>
      <c r="AR39" s="109" t="s">
        <v>203</v>
      </c>
    </row>
    <row r="40" spans="35:44">
      <c r="AI40" s="3">
        <v>2028</v>
      </c>
      <c r="AJ40" s="113" cm="1">
        <f t="array" ref="AJ40">ROUND(
  IF(AND(AJ$1="Ensign", $AI40&gt;=2021, $AI40&lt;=2024),
    _xlfn.XLOOKUP($AI40, Ensign!$A$2:$A$12, Ensign!$B$2:$B$12),
    _xlfn.XLOOKUP($AI40, 'Historic (IPEDS &amp; 2019 RTP)'!$A:$A, _xlfn.XLOOKUP(AJ$1, 'Historic (IPEDS &amp; 2019 RTP)'!$A$1:$H$1, 'Historic (IPEDS &amp; 2019 RTP)'!$A:$H),
      IFERROR(_xlfn.XLOOKUP($AI40, 'USHE Historic'!$A$3:$A$13, _xlfn.XLOOKUP(AJ$1, 'USHE Historic'!$A$2:$E$2, 'USHE Historic'!$A$3:$E$13)),
        _xlfn.IFS(
          AJ$1="BYU", IFERROR(_xlfn.XLOOKUP($AI40, 'MAG College Enrollment Forecast'!$A:$A, 'MAG College Enrollment Forecast'!$B:$B), (AJ$72-AJ39)/($AI$72-$AI39)*($AI40-$AI39)+AJ39),
          AJ$1="UVU", IFERROR(_xlfn.XLOOKUP($AI40, 'MAG College Enrollment Forecast'!$A:$A, 'MAG College Enrollment Forecast'!$C:$C+'MAG College Enrollment Forecast'!$D:$D+'MAG College Enrollment Forecast'!$E:$E+'MAG College Enrollment Forecast'!$F:$F+'MAG College Enrollment Forecast'!$G:$G+'MAG College Enrollment Forecast'!$H:$H), (AJ$72-AJ39)/($AI$72-$AI39)*($AI40-$AI39)+AJ39),
          TRUE, IFERROR(_xlfn.XLOOKUP($AI40, 'USHE Projections'!$A:$A, IFERROR(_xlfn.XLOOKUP(AJ$1, 'USHE Projections'!$A$1:$E$1, 'USHE Projections'!$A:$E), "NONE"), (AJ$72-AJ39)/($AI$72-$AI39)*($AI40-$AI39)+AJ39), (AJ$72-AJ39)/($AI$72-$AI39)*($AI40-$AI39)+AJ39)
        )
      )
    )
  ), 0)</f>
        <v>37324</v>
      </c>
      <c r="AK40" s="113" cm="1">
        <f t="array" ref="AK40">ROUND(
  IF(AND(AK$1="Ensign", $AI40&gt;=2021, $AI40&lt;=2024),
    _xlfn.XLOOKUP($AI40, Ensign!$A$2:$A$12, Ensign!$B$2:$B$12),
    _xlfn.XLOOKUP($AI40, 'Historic (IPEDS &amp; 2019 RTP)'!$A:$A, _xlfn.XLOOKUP(AK$1, 'Historic (IPEDS &amp; 2019 RTP)'!$A$1:$H$1, 'Historic (IPEDS &amp; 2019 RTP)'!$A:$H),
      IFERROR(_xlfn.XLOOKUP($AI40, 'USHE Historic'!$A$3:$A$13, _xlfn.XLOOKUP(AK$1, 'USHE Historic'!$A$2:$E$2, 'USHE Historic'!$A$3:$E$13)),
        _xlfn.IFS(
          AK$1="BYU", IFERROR(_xlfn.XLOOKUP($AI40, 'MAG College Enrollment Forecast'!$A:$A, 'MAG College Enrollment Forecast'!$B:$B), (AK$72-AK39)/($AI$72-$AI39)*($AI40-$AI39)+AK39),
          AK$1="UVU", IFERROR(_xlfn.XLOOKUP($AI40, 'MAG College Enrollment Forecast'!$A:$A, 'MAG College Enrollment Forecast'!$C:$C+'MAG College Enrollment Forecast'!$D:$D+'MAG College Enrollment Forecast'!$E:$E+'MAG College Enrollment Forecast'!$F:$F+'MAG College Enrollment Forecast'!$G:$G+'MAG College Enrollment Forecast'!$H:$H), (AK$72-AK39)/($AI$72-$AI39)*($AI40-$AI39)+AK39),
          TRUE, IFERROR(_xlfn.XLOOKUP($AI40, 'USHE Projections'!$A:$A, IFERROR(_xlfn.XLOOKUP(AK$1, 'USHE Projections'!$A$1:$E$1, 'USHE Projections'!$A:$E), "NONE"), (AK$72-AK39)/($AI$72-$AI39)*($AI40-$AI39)+AK39), (AK$72-AK39)/($AI$72-$AI39)*($AI40-$AI39)+AK39)
        )
      )
    )
  ), 0)</f>
        <v>33073</v>
      </c>
      <c r="AL40" s="35" cm="1">
        <f t="array" ref="AL40">ROUND(
  IF(AND(AL$1="Ensign", $AI40&gt;=2021, $AI40&lt;=2024),
    _xlfn.XLOOKUP($AI40, Ensign!$A$2:$A$12, Ensign!$B$2:$B$12),
    _xlfn.XLOOKUP($AI40, 'Historic (IPEDS &amp; 2019 RTP)'!$A:$A, _xlfn.XLOOKUP(AL$1, 'Historic (IPEDS &amp; 2019 RTP)'!$A$1:$H$1, 'Historic (IPEDS &amp; 2019 RTP)'!$A:$H),
      IFERROR(_xlfn.XLOOKUP($AI40, 'USHE Historic'!$A$3:$A$13, _xlfn.XLOOKUP(AL$1, 'USHE Historic'!$A$2:$E$2, 'USHE Historic'!$A$3:$E$13)),
        _xlfn.IFS(
          AL$1="BYU", IFERROR(_xlfn.XLOOKUP($AI40, 'MAG College Enrollment Forecast'!$A:$A, 'MAG College Enrollment Forecast'!$B:$B), (AL$72-AL39)/($AI$72-$AI39)*($AI40-$AI39)+AL39),
          AL$1="UVU", IFERROR(_xlfn.XLOOKUP($AI40, 'MAG College Enrollment Forecast'!$A:$A, 'MAG College Enrollment Forecast'!$C:$C+'MAG College Enrollment Forecast'!$D:$D+'MAG College Enrollment Forecast'!$E:$E+'MAG College Enrollment Forecast'!$F:$F+'MAG College Enrollment Forecast'!$G:$G+'MAG College Enrollment Forecast'!$H:$H), (AL$72-AL39)/($AI$72-$AI39)*($AI40-$AI39)+AL39),
          TRUE, IFERROR(_xlfn.XLOOKUP($AI40, 'USHE Projections'!$A:$A, IFERROR(_xlfn.XLOOKUP(AL$1, 'USHE Projections'!$A$1:$E$1, 'USHE Projections'!$A:$E), "NONE"), (AL$72-AL39)/($AI$72-$AI39)*($AI40-$AI39)+AL39), (AL$72-AL39)/($AI$72-$AI39)*($AI40-$AI39)+AL39)
        )
      )
    )
  ), 0)</f>
        <v>51665</v>
      </c>
      <c r="AM40" s="113" cm="1">
        <f t="array" ref="AM40">ROUND(
  IF(AND(AM$1="Ensign", $AI40&gt;=2021, $AI40&lt;=2024),
    _xlfn.XLOOKUP($AI40, Ensign!$A$2:$A$12, Ensign!$B$2:$B$12),
    _xlfn.XLOOKUP($AI40, 'Historic (IPEDS &amp; 2019 RTP)'!$A:$A, _xlfn.XLOOKUP(AM$1, 'Historic (IPEDS &amp; 2019 RTP)'!$A$1:$H$1, 'Historic (IPEDS &amp; 2019 RTP)'!$A:$H),
      IFERROR(_xlfn.XLOOKUP($AI40, 'USHE Historic'!$A$3:$A$13, _xlfn.XLOOKUP(AM$1, 'USHE Historic'!$A$2:$E$2, 'USHE Historic'!$A$3:$E$13)),
        _xlfn.IFS(
          AM$1="BYU", IFERROR(_xlfn.XLOOKUP($AI40, 'MAG College Enrollment Forecast'!$A:$A, 'MAG College Enrollment Forecast'!$B:$B), (AM$72-AM39)/($AI$72-$AI39)*($AI40-$AI39)+AM39),
          AM$1="UVU", IFERROR(_xlfn.XLOOKUP($AI40, 'MAG College Enrollment Forecast'!$A:$A, 'MAG College Enrollment Forecast'!$C:$C+'MAG College Enrollment Forecast'!$D:$D+'MAG College Enrollment Forecast'!$E:$E+'MAG College Enrollment Forecast'!$F:$F+'MAG College Enrollment Forecast'!$G:$G+'MAG College Enrollment Forecast'!$H:$H), (AM$72-AM39)/($AI$72-$AI39)*($AI40-$AI39)+AM39),
          TRUE, IFERROR(_xlfn.XLOOKUP($AI40, 'USHE Projections'!$A:$A, IFERROR(_xlfn.XLOOKUP(AM$1, 'USHE Projections'!$A$1:$E$1, 'USHE Projections'!$A:$E), "NONE"), (AM$72-AM39)/($AI$72-$AI39)*($AI40-$AI39)+AM39), (AM$72-AM39)/($AI$72-$AI39)*($AI40-$AI39)+AM39)
        )
      )
    )
  ), 0)</f>
        <v>32219</v>
      </c>
      <c r="AN40" s="35" cm="1">
        <f t="array" ref="AN40">ROUND(
  IF(AND(AN$1="Ensign", $AI40&gt;=2021, $AI40&lt;=2024),
    _xlfn.XLOOKUP($AI40, Ensign!$A$2:$A$12, Ensign!$B$2:$B$12),
    _xlfn.XLOOKUP($AI40, 'Historic (IPEDS &amp; 2019 RTP)'!$A:$A, _xlfn.XLOOKUP(AN$1, 'Historic (IPEDS &amp; 2019 RTP)'!$A$1:$H$1, 'Historic (IPEDS &amp; 2019 RTP)'!$A:$H),
      IFERROR(_xlfn.XLOOKUP($AI40, 'USHE Historic'!$A$3:$A$13, _xlfn.XLOOKUP(AN$1, 'USHE Historic'!$A$2:$E$2, 'USHE Historic'!$A$3:$E$13)),
        _xlfn.IFS(
          AN$1="BYU", IFERROR(_xlfn.XLOOKUP($AI40, 'MAG College Enrollment Forecast'!$A:$A, 'MAG College Enrollment Forecast'!$B:$B), (AN$72-AN39)/($AI$72-$AI39)*($AI40-$AI39)+AN39),
          AN$1="UVU", IFERROR(_xlfn.XLOOKUP($AI40, 'MAG College Enrollment Forecast'!$A:$A, 'MAG College Enrollment Forecast'!$C:$C+'MAG College Enrollment Forecast'!$D:$D+'MAG College Enrollment Forecast'!$E:$E+'MAG College Enrollment Forecast'!$F:$F+'MAG College Enrollment Forecast'!$G:$G+'MAG College Enrollment Forecast'!$H:$H), (AN$72-AN39)/($AI$72-$AI39)*($AI40-$AI39)+AN39),
          TRUE, IFERROR(_xlfn.XLOOKUP($AI40, 'USHE Projections'!$A:$A, IFERROR(_xlfn.XLOOKUP(AN$1, 'USHE Projections'!$A$1:$E$1, 'USHE Projections'!$A:$E), "NONE"), (AN$72-AN39)/($AI$72-$AI39)*($AI40-$AI39)+AN39), (AN$72-AN39)/($AI$72-$AI39)*($AI40-$AI39)+AN39)
        )
      )
    )
  ), 0)</f>
        <v>37588</v>
      </c>
      <c r="AO40" s="104" cm="1">
        <f t="array" ref="AO40">ROUND(
  IF(AND(AO$1="Ensign", $AI40&gt;=2021, $AI40&lt;=2024),
    _xlfn.XLOOKUP($AI40, Ensign!$A$2:$A$12, Ensign!$B$2:$B$12),
    _xlfn.XLOOKUP($AI40, 'Historic (IPEDS &amp; 2019 RTP)'!$A:$A, _xlfn.XLOOKUP(AO$1, 'Historic (IPEDS &amp; 2019 RTP)'!$A$1:$H$1, 'Historic (IPEDS &amp; 2019 RTP)'!$A:$H),
      IFERROR(_xlfn.XLOOKUP($AI40, 'USHE Historic'!$A$3:$A$13, _xlfn.XLOOKUP(AO$1, 'USHE Historic'!$A$2:$E$2, 'USHE Historic'!$A$3:$E$13)),
        _xlfn.IFS(
          AO$1="BYU", IFERROR(_xlfn.XLOOKUP($AI40, 'MAG College Enrollment Forecast'!$A:$A, 'MAG College Enrollment Forecast'!$B:$B), (AO$72-AO39)/($AI$72-$AI39)*($AI40-$AI39)+AO39),
          AO$1="UVU", IFERROR(_xlfn.XLOOKUP($AI40, 'MAG College Enrollment Forecast'!$A:$A, 'MAG College Enrollment Forecast'!$C:$C+'MAG College Enrollment Forecast'!$D:$D+'MAG College Enrollment Forecast'!$E:$E+'MAG College Enrollment Forecast'!$F:$F+'MAG College Enrollment Forecast'!$G:$G+'MAG College Enrollment Forecast'!$H:$H), (AO$72-AO39)/($AI$72-$AI39)*($AI40-$AI39)+AO39),
          TRUE, IFERROR(_xlfn.XLOOKUP($AI40, 'USHE Projections'!$A:$A, IFERROR(_xlfn.XLOOKUP(AO$1, 'USHE Projections'!$A$1:$E$1, 'USHE Projections'!$A:$E), "NONE"), (AO$72-AO39)/($AI$72-$AI39)*($AI40-$AI39)+AO39), (AO$72-AO39)/($AI$72-$AI39)*($AI40-$AI39)+AO39)
        )
      )
    )
  ), 0)</f>
        <v>2077</v>
      </c>
      <c r="AP40" s="104" cm="1">
        <f t="array" ref="AP40">ROUND(
  IF(AND(AP$1="Ensign", $AI40&gt;=2021, $AI40&lt;=2024),
    _xlfn.XLOOKUP($AI40, Ensign!$A$2:$A$12, Ensign!$B$2:$B$12),
    _xlfn.XLOOKUP($AI40, 'Historic (IPEDS &amp; 2019 RTP)'!$A:$A, _xlfn.XLOOKUP(AP$1, 'Historic (IPEDS &amp; 2019 RTP)'!$A$1:$H$1, 'Historic (IPEDS &amp; 2019 RTP)'!$A:$H),
      IFERROR(_xlfn.XLOOKUP($AI40, 'USHE Historic'!$A$3:$A$13, _xlfn.XLOOKUP(AP$1, 'USHE Historic'!$A$2:$E$2, 'USHE Historic'!$A$3:$E$13)),
        _xlfn.IFS(
          AP$1="BYU", IFERROR(_xlfn.XLOOKUP($AI40, 'MAG College Enrollment Forecast'!$A:$A, 'MAG College Enrollment Forecast'!$B:$B), (AP$72-AP39)/($AI$72-$AI39)*($AI40-$AI39)+AP39),
          AP$1="UVU", IFERROR(_xlfn.XLOOKUP($AI40, 'MAG College Enrollment Forecast'!$A:$A, 'MAG College Enrollment Forecast'!$C:$C+'MAG College Enrollment Forecast'!$D:$D+'MAG College Enrollment Forecast'!$E:$E+'MAG College Enrollment Forecast'!$F:$F+'MAG College Enrollment Forecast'!$G:$G+'MAG College Enrollment Forecast'!$H:$H), (AP$72-AP39)/($AI$72-$AI39)*($AI40-$AI39)+AP39),
          TRUE, IFERROR(_xlfn.XLOOKUP($AI40, 'USHE Projections'!$A:$A, IFERROR(_xlfn.XLOOKUP(AP$1, 'USHE Projections'!$A$1:$E$1, 'USHE Projections'!$A:$E), "NONE"), (AP$72-AP39)/($AI$72-$AI39)*($AI40-$AI39)+AP39), (AP$72-AP39)/($AI$72-$AI39)*($AI40-$AI39)+AP39)
        )
      )
    )
  ), 0)</f>
        <v>1524</v>
      </c>
      <c r="AQ40" s="7"/>
      <c r="AR40" s="108" t="s">
        <v>202</v>
      </c>
    </row>
    <row r="41" spans="35:44">
      <c r="AI41" s="3">
        <v>2029</v>
      </c>
      <c r="AJ41" s="104" cm="1">
        <f t="array" ref="AJ41">ROUND(
  IF(AND(AJ$1="Ensign", $AI41&gt;=2021, $AI41&lt;=2024),
    _xlfn.XLOOKUP($AI41, Ensign!$A$2:$A$12, Ensign!$B$2:$B$12),
    _xlfn.XLOOKUP($AI41, 'Historic (IPEDS &amp; 2019 RTP)'!$A:$A, _xlfn.XLOOKUP(AJ$1, 'Historic (IPEDS &amp; 2019 RTP)'!$A$1:$H$1, 'Historic (IPEDS &amp; 2019 RTP)'!$A:$H),
      IFERROR(_xlfn.XLOOKUP($AI41, 'USHE Historic'!$A$3:$A$13, _xlfn.XLOOKUP(AJ$1, 'USHE Historic'!$A$2:$E$2, 'USHE Historic'!$A$3:$E$13)),
        _xlfn.IFS(
          AJ$1="BYU", IFERROR(_xlfn.XLOOKUP($AI41, 'MAG College Enrollment Forecast'!$A:$A, 'MAG College Enrollment Forecast'!$B:$B), (AJ$72-AJ40)/($AI$72-$AI40)*($AI41-$AI40)+AJ40),
          AJ$1="UVU", IFERROR(_xlfn.XLOOKUP($AI41, 'MAG College Enrollment Forecast'!$A:$A, 'MAG College Enrollment Forecast'!$C:$C+'MAG College Enrollment Forecast'!$D:$D+'MAG College Enrollment Forecast'!$E:$E+'MAG College Enrollment Forecast'!$F:$F+'MAG College Enrollment Forecast'!$G:$G+'MAG College Enrollment Forecast'!$H:$H), (AJ$72-AJ40)/($AI$72-$AI40)*($AI41-$AI40)+AJ40),
          TRUE, IFERROR(_xlfn.XLOOKUP($AI41, 'USHE Projections'!$A:$A, IFERROR(_xlfn.XLOOKUP(AJ$1, 'USHE Projections'!$A$1:$E$1, 'USHE Projections'!$A:$E), "NONE"), (AJ$72-AJ40)/($AI$72-$AI40)*($AI41-$AI40)+AJ40), (AJ$72-AJ40)/($AI$72-$AI40)*($AI41-$AI40)+AJ40)
        )
      )
    )
  ), 0)</f>
        <v>37626</v>
      </c>
      <c r="AK41" s="104" cm="1">
        <f t="array" ref="AK41">ROUND(
  IF(AND(AK$1="Ensign", $AI41&gt;=2021, $AI41&lt;=2024),
    _xlfn.XLOOKUP($AI41, Ensign!$A$2:$A$12, Ensign!$B$2:$B$12),
    _xlfn.XLOOKUP($AI41, 'Historic (IPEDS &amp; 2019 RTP)'!$A:$A, _xlfn.XLOOKUP(AK$1, 'Historic (IPEDS &amp; 2019 RTP)'!$A$1:$H$1, 'Historic (IPEDS &amp; 2019 RTP)'!$A:$H),
      IFERROR(_xlfn.XLOOKUP($AI41, 'USHE Historic'!$A$3:$A$13, _xlfn.XLOOKUP(AK$1, 'USHE Historic'!$A$2:$E$2, 'USHE Historic'!$A$3:$E$13)),
        _xlfn.IFS(
          AK$1="BYU", IFERROR(_xlfn.XLOOKUP($AI41, 'MAG College Enrollment Forecast'!$A:$A, 'MAG College Enrollment Forecast'!$B:$B), (AK$72-AK40)/($AI$72-$AI40)*($AI41-$AI40)+AK40),
          AK$1="UVU", IFERROR(_xlfn.XLOOKUP($AI41, 'MAG College Enrollment Forecast'!$A:$A, 'MAG College Enrollment Forecast'!$C:$C+'MAG College Enrollment Forecast'!$D:$D+'MAG College Enrollment Forecast'!$E:$E+'MAG College Enrollment Forecast'!$F:$F+'MAG College Enrollment Forecast'!$G:$G+'MAG College Enrollment Forecast'!$H:$H), (AK$72-AK40)/($AI$72-$AI40)*($AI41-$AI40)+AK40),
          TRUE, IFERROR(_xlfn.XLOOKUP($AI41, 'USHE Projections'!$A:$A, IFERROR(_xlfn.XLOOKUP(AK$1, 'USHE Projections'!$A$1:$E$1, 'USHE Projections'!$A:$E), "NONE"), (AK$72-AK40)/($AI$72-$AI40)*($AI41-$AI40)+AK40), (AK$72-AK40)/($AI$72-$AI40)*($AI41-$AI40)+AK40)
        )
      )
    )
  ), 0)</f>
        <v>33539</v>
      </c>
      <c r="AL41" s="35" cm="1">
        <f t="array" ref="AL41">ROUND(
  IF(AND(AL$1="Ensign", $AI41&gt;=2021, $AI41&lt;=2024),
    _xlfn.XLOOKUP($AI41, Ensign!$A$2:$A$12, Ensign!$B$2:$B$12),
    _xlfn.XLOOKUP($AI41, 'Historic (IPEDS &amp; 2019 RTP)'!$A:$A, _xlfn.XLOOKUP(AL$1, 'Historic (IPEDS &amp; 2019 RTP)'!$A$1:$H$1, 'Historic (IPEDS &amp; 2019 RTP)'!$A:$H),
      IFERROR(_xlfn.XLOOKUP($AI41, 'USHE Historic'!$A$3:$A$13, _xlfn.XLOOKUP(AL$1, 'USHE Historic'!$A$2:$E$2, 'USHE Historic'!$A$3:$E$13)),
        _xlfn.IFS(
          AL$1="BYU", IFERROR(_xlfn.XLOOKUP($AI41, 'MAG College Enrollment Forecast'!$A:$A, 'MAG College Enrollment Forecast'!$B:$B), (AL$72-AL40)/($AI$72-$AI40)*($AI41-$AI40)+AL40),
          AL$1="UVU", IFERROR(_xlfn.XLOOKUP($AI41, 'MAG College Enrollment Forecast'!$A:$A, 'MAG College Enrollment Forecast'!$C:$C+'MAG College Enrollment Forecast'!$D:$D+'MAG College Enrollment Forecast'!$E:$E+'MAG College Enrollment Forecast'!$F:$F+'MAG College Enrollment Forecast'!$G:$G+'MAG College Enrollment Forecast'!$H:$H), (AL$72-AL40)/($AI$72-$AI40)*($AI41-$AI40)+AL40),
          TRUE, IFERROR(_xlfn.XLOOKUP($AI41, 'USHE Projections'!$A:$A, IFERROR(_xlfn.XLOOKUP(AL$1, 'USHE Projections'!$A$1:$E$1, 'USHE Projections'!$A:$E), "NONE"), (AL$72-AL40)/($AI$72-$AI40)*($AI41-$AI40)+AL40), (AL$72-AL40)/($AI$72-$AI40)*($AI41-$AI40)+AL40)
        )
      )
    )
  ), 0)</f>
        <v>52522</v>
      </c>
      <c r="AM41" s="104" cm="1">
        <f t="array" ref="AM41">ROUND(
  IF(AND(AM$1="Ensign", $AI41&gt;=2021, $AI41&lt;=2024),
    _xlfn.XLOOKUP($AI41, Ensign!$A$2:$A$12, Ensign!$B$2:$B$12),
    _xlfn.XLOOKUP($AI41, 'Historic (IPEDS &amp; 2019 RTP)'!$A:$A, _xlfn.XLOOKUP(AM$1, 'Historic (IPEDS &amp; 2019 RTP)'!$A$1:$H$1, 'Historic (IPEDS &amp; 2019 RTP)'!$A:$H),
      IFERROR(_xlfn.XLOOKUP($AI41, 'USHE Historic'!$A$3:$A$13, _xlfn.XLOOKUP(AM$1, 'USHE Historic'!$A$2:$E$2, 'USHE Historic'!$A$3:$E$13)),
        _xlfn.IFS(
          AM$1="BYU", IFERROR(_xlfn.XLOOKUP($AI41, 'MAG College Enrollment Forecast'!$A:$A, 'MAG College Enrollment Forecast'!$B:$B), (AM$72-AM40)/($AI$72-$AI40)*($AI41-$AI40)+AM40),
          AM$1="UVU", IFERROR(_xlfn.XLOOKUP($AI41, 'MAG College Enrollment Forecast'!$A:$A, 'MAG College Enrollment Forecast'!$C:$C+'MAG College Enrollment Forecast'!$D:$D+'MAG College Enrollment Forecast'!$E:$E+'MAG College Enrollment Forecast'!$F:$F+'MAG College Enrollment Forecast'!$G:$G+'MAG College Enrollment Forecast'!$H:$H), (AM$72-AM40)/($AI$72-$AI40)*($AI41-$AI40)+AM40),
          TRUE, IFERROR(_xlfn.XLOOKUP($AI41, 'USHE Projections'!$A:$A, IFERROR(_xlfn.XLOOKUP(AM$1, 'USHE Projections'!$A$1:$E$1, 'USHE Projections'!$A:$E), "NONE"), (AM$72-AM40)/($AI$72-$AI40)*($AI41-$AI40)+AM40), (AM$72-AM40)/($AI$72-$AI40)*($AI41-$AI40)+AM40)
        )
      )
    )
  ), 0)</f>
        <v>32556</v>
      </c>
      <c r="AN41" s="35" cm="1">
        <f t="array" ref="AN41">ROUND(
  IF(AND(AN$1="Ensign", $AI41&gt;=2021, $AI41&lt;=2024),
    _xlfn.XLOOKUP($AI41, Ensign!$A$2:$A$12, Ensign!$B$2:$B$12),
    _xlfn.XLOOKUP($AI41, 'Historic (IPEDS &amp; 2019 RTP)'!$A:$A, _xlfn.XLOOKUP(AN$1, 'Historic (IPEDS &amp; 2019 RTP)'!$A$1:$H$1, 'Historic (IPEDS &amp; 2019 RTP)'!$A:$H),
      IFERROR(_xlfn.XLOOKUP($AI41, 'USHE Historic'!$A$3:$A$13, _xlfn.XLOOKUP(AN$1, 'USHE Historic'!$A$2:$E$2, 'USHE Historic'!$A$3:$E$13)),
        _xlfn.IFS(
          AN$1="BYU", IFERROR(_xlfn.XLOOKUP($AI41, 'MAG College Enrollment Forecast'!$A:$A, 'MAG College Enrollment Forecast'!$B:$B), (AN$72-AN40)/($AI$72-$AI40)*($AI41-$AI40)+AN40),
          AN$1="UVU", IFERROR(_xlfn.XLOOKUP($AI41, 'MAG College Enrollment Forecast'!$A:$A, 'MAG College Enrollment Forecast'!$C:$C+'MAG College Enrollment Forecast'!$D:$D+'MAG College Enrollment Forecast'!$E:$E+'MAG College Enrollment Forecast'!$F:$F+'MAG College Enrollment Forecast'!$G:$G+'MAG College Enrollment Forecast'!$H:$H), (AN$72-AN40)/($AI$72-$AI40)*($AI41-$AI40)+AN40),
          TRUE, IFERROR(_xlfn.XLOOKUP($AI41, 'USHE Projections'!$A:$A, IFERROR(_xlfn.XLOOKUP(AN$1, 'USHE Projections'!$A$1:$E$1, 'USHE Projections'!$A:$E), "NONE"), (AN$72-AN40)/($AI$72-$AI40)*($AI41-$AI40)+AN40), (AN$72-AN40)/($AI$72-$AI40)*($AI41-$AI40)+AN40)
        )
      )
    )
  ), 0)</f>
        <v>37625</v>
      </c>
      <c r="AO41" s="104" cm="1">
        <f t="array" ref="AO41">ROUND(
  IF(AND(AO$1="Ensign", $AI41&gt;=2021, $AI41&lt;=2024),
    _xlfn.XLOOKUP($AI41, Ensign!$A$2:$A$12, Ensign!$B$2:$B$12),
    _xlfn.XLOOKUP($AI41, 'Historic (IPEDS &amp; 2019 RTP)'!$A:$A, _xlfn.XLOOKUP(AO$1, 'Historic (IPEDS &amp; 2019 RTP)'!$A$1:$H$1, 'Historic (IPEDS &amp; 2019 RTP)'!$A:$H),
      IFERROR(_xlfn.XLOOKUP($AI41, 'USHE Historic'!$A$3:$A$13, _xlfn.XLOOKUP(AO$1, 'USHE Historic'!$A$2:$E$2, 'USHE Historic'!$A$3:$E$13)),
        _xlfn.IFS(
          AO$1="BYU", IFERROR(_xlfn.XLOOKUP($AI41, 'MAG College Enrollment Forecast'!$A:$A, 'MAG College Enrollment Forecast'!$B:$B), (AO$72-AO40)/($AI$72-$AI40)*($AI41-$AI40)+AO40),
          AO$1="UVU", IFERROR(_xlfn.XLOOKUP($AI41, 'MAG College Enrollment Forecast'!$A:$A, 'MAG College Enrollment Forecast'!$C:$C+'MAG College Enrollment Forecast'!$D:$D+'MAG College Enrollment Forecast'!$E:$E+'MAG College Enrollment Forecast'!$F:$F+'MAG College Enrollment Forecast'!$G:$G+'MAG College Enrollment Forecast'!$H:$H), (AO$72-AO40)/($AI$72-$AI40)*($AI41-$AI40)+AO40),
          TRUE, IFERROR(_xlfn.XLOOKUP($AI41, 'USHE Projections'!$A:$A, IFERROR(_xlfn.XLOOKUP(AO$1, 'USHE Projections'!$A$1:$E$1, 'USHE Projections'!$A:$E), "NONE"), (AO$72-AO40)/($AI$72-$AI40)*($AI41-$AI40)+AO40), (AO$72-AO40)/($AI$72-$AI40)*($AI41-$AI40)+AO40)
        )
      )
    )
  ), 0)</f>
        <v>2112</v>
      </c>
      <c r="AP41" s="104" cm="1">
        <f t="array" ref="AP41">ROUND(
  IF(AND(AP$1="Ensign", $AI41&gt;=2021, $AI41&lt;=2024),
    _xlfn.XLOOKUP($AI41, Ensign!$A$2:$A$12, Ensign!$B$2:$B$12),
    _xlfn.XLOOKUP($AI41, 'Historic (IPEDS &amp; 2019 RTP)'!$A:$A, _xlfn.XLOOKUP(AP$1, 'Historic (IPEDS &amp; 2019 RTP)'!$A$1:$H$1, 'Historic (IPEDS &amp; 2019 RTP)'!$A:$H),
      IFERROR(_xlfn.XLOOKUP($AI41, 'USHE Historic'!$A$3:$A$13, _xlfn.XLOOKUP(AP$1, 'USHE Historic'!$A$2:$E$2, 'USHE Historic'!$A$3:$E$13)),
        _xlfn.IFS(
          AP$1="BYU", IFERROR(_xlfn.XLOOKUP($AI41, 'MAG College Enrollment Forecast'!$A:$A, 'MAG College Enrollment Forecast'!$B:$B), (AP$72-AP40)/($AI$72-$AI40)*($AI41-$AI40)+AP40),
          AP$1="UVU", IFERROR(_xlfn.XLOOKUP($AI41, 'MAG College Enrollment Forecast'!$A:$A, 'MAG College Enrollment Forecast'!$C:$C+'MAG College Enrollment Forecast'!$D:$D+'MAG College Enrollment Forecast'!$E:$E+'MAG College Enrollment Forecast'!$F:$F+'MAG College Enrollment Forecast'!$G:$G+'MAG College Enrollment Forecast'!$H:$H), (AP$72-AP40)/($AI$72-$AI40)*($AI41-$AI40)+AP40),
          TRUE, IFERROR(_xlfn.XLOOKUP($AI41, 'USHE Projections'!$A:$A, IFERROR(_xlfn.XLOOKUP(AP$1, 'USHE Projections'!$A$1:$E$1, 'USHE Projections'!$A:$E), "NONE"), (AP$72-AP40)/($AI$72-$AI40)*($AI41-$AI40)+AP40), (AP$72-AP40)/($AI$72-$AI40)*($AI41-$AI40)+AP40)
        )
      )
    )
  ), 0)</f>
        <v>1586</v>
      </c>
    </row>
    <row r="42" spans="35:44">
      <c r="AI42" s="3">
        <v>2030</v>
      </c>
      <c r="AJ42" s="104" cm="1">
        <f t="array" ref="AJ42">ROUND(
  IF(AND(AJ$1="Ensign", $AI42&gt;=2021, $AI42&lt;=2024),
    _xlfn.XLOOKUP($AI42, Ensign!$A$2:$A$12, Ensign!$B$2:$B$12),
    _xlfn.XLOOKUP($AI42, 'Historic (IPEDS &amp; 2019 RTP)'!$A:$A, _xlfn.XLOOKUP(AJ$1, 'Historic (IPEDS &amp; 2019 RTP)'!$A$1:$H$1, 'Historic (IPEDS &amp; 2019 RTP)'!$A:$H),
      IFERROR(_xlfn.XLOOKUP($AI42, 'USHE Historic'!$A$3:$A$13, _xlfn.XLOOKUP(AJ$1, 'USHE Historic'!$A$2:$E$2, 'USHE Historic'!$A$3:$E$13)),
        _xlfn.IFS(
          AJ$1="BYU", IFERROR(_xlfn.XLOOKUP($AI42, 'MAG College Enrollment Forecast'!$A:$A, 'MAG College Enrollment Forecast'!$B:$B), (AJ$72-AJ41)/($AI$72-$AI41)*($AI42-$AI41)+AJ41),
          AJ$1="UVU", IFERROR(_xlfn.XLOOKUP($AI42, 'MAG College Enrollment Forecast'!$A:$A, 'MAG College Enrollment Forecast'!$C:$C+'MAG College Enrollment Forecast'!$D:$D+'MAG College Enrollment Forecast'!$E:$E+'MAG College Enrollment Forecast'!$F:$F+'MAG College Enrollment Forecast'!$G:$G+'MAG College Enrollment Forecast'!$H:$H), (AJ$72-AJ41)/($AI$72-$AI41)*($AI42-$AI41)+AJ41),
          TRUE, IFERROR(_xlfn.XLOOKUP($AI42, 'USHE Projections'!$A:$A, IFERROR(_xlfn.XLOOKUP(AJ$1, 'USHE Projections'!$A$1:$E$1, 'USHE Projections'!$A:$E), "NONE"), (AJ$72-AJ41)/($AI$72-$AI41)*($AI42-$AI41)+AJ41), (AJ$72-AJ41)/($AI$72-$AI41)*($AI42-$AI41)+AJ41)
        )
      )
    )
  ), 0)</f>
        <v>37928</v>
      </c>
      <c r="AK42" s="104" cm="1">
        <f t="array" ref="AK42">ROUND(
  IF(AND(AK$1="Ensign", $AI42&gt;=2021, $AI42&lt;=2024),
    _xlfn.XLOOKUP($AI42, Ensign!$A$2:$A$12, Ensign!$B$2:$B$12),
    _xlfn.XLOOKUP($AI42, 'Historic (IPEDS &amp; 2019 RTP)'!$A:$A, _xlfn.XLOOKUP(AK$1, 'Historic (IPEDS &amp; 2019 RTP)'!$A$1:$H$1, 'Historic (IPEDS &amp; 2019 RTP)'!$A:$H),
      IFERROR(_xlfn.XLOOKUP($AI42, 'USHE Historic'!$A$3:$A$13, _xlfn.XLOOKUP(AK$1, 'USHE Historic'!$A$2:$E$2, 'USHE Historic'!$A$3:$E$13)),
        _xlfn.IFS(
          AK$1="BYU", IFERROR(_xlfn.XLOOKUP($AI42, 'MAG College Enrollment Forecast'!$A:$A, 'MAG College Enrollment Forecast'!$B:$B), (AK$72-AK41)/($AI$72-$AI41)*($AI42-$AI41)+AK41),
          AK$1="UVU", IFERROR(_xlfn.XLOOKUP($AI42, 'MAG College Enrollment Forecast'!$A:$A, 'MAG College Enrollment Forecast'!$C:$C+'MAG College Enrollment Forecast'!$D:$D+'MAG College Enrollment Forecast'!$E:$E+'MAG College Enrollment Forecast'!$F:$F+'MAG College Enrollment Forecast'!$G:$G+'MAG College Enrollment Forecast'!$H:$H), (AK$72-AK41)/($AI$72-$AI41)*($AI42-$AI41)+AK41),
          TRUE, IFERROR(_xlfn.XLOOKUP($AI42, 'USHE Projections'!$A:$A, IFERROR(_xlfn.XLOOKUP(AK$1, 'USHE Projections'!$A$1:$E$1, 'USHE Projections'!$A:$E), "NONE"), (AK$72-AK41)/($AI$72-$AI41)*($AI42-$AI41)+AK41), (AK$72-AK41)/($AI$72-$AI41)*($AI42-$AI41)+AK41)
        )
      )
    )
  ), 0)</f>
        <v>34005</v>
      </c>
      <c r="AL42" s="35" cm="1">
        <f t="array" ref="AL42">ROUND(
  IF(AND(AL$1="Ensign", $AI42&gt;=2021, $AI42&lt;=2024),
    _xlfn.XLOOKUP($AI42, Ensign!$A$2:$A$12, Ensign!$B$2:$B$12),
    _xlfn.XLOOKUP($AI42, 'Historic (IPEDS &amp; 2019 RTP)'!$A:$A, _xlfn.XLOOKUP(AL$1, 'Historic (IPEDS &amp; 2019 RTP)'!$A$1:$H$1, 'Historic (IPEDS &amp; 2019 RTP)'!$A:$H),
      IFERROR(_xlfn.XLOOKUP($AI42, 'USHE Historic'!$A$3:$A$13, _xlfn.XLOOKUP(AL$1, 'USHE Historic'!$A$2:$E$2, 'USHE Historic'!$A$3:$E$13)),
        _xlfn.IFS(
          AL$1="BYU", IFERROR(_xlfn.XLOOKUP($AI42, 'MAG College Enrollment Forecast'!$A:$A, 'MAG College Enrollment Forecast'!$B:$B), (AL$72-AL41)/($AI$72-$AI41)*($AI42-$AI41)+AL41),
          AL$1="UVU", IFERROR(_xlfn.XLOOKUP($AI42, 'MAG College Enrollment Forecast'!$A:$A, 'MAG College Enrollment Forecast'!$C:$C+'MAG College Enrollment Forecast'!$D:$D+'MAG College Enrollment Forecast'!$E:$E+'MAG College Enrollment Forecast'!$F:$F+'MAG College Enrollment Forecast'!$G:$G+'MAG College Enrollment Forecast'!$H:$H), (AL$72-AL41)/($AI$72-$AI41)*($AI42-$AI41)+AL41),
          TRUE, IFERROR(_xlfn.XLOOKUP($AI42, 'USHE Projections'!$A:$A, IFERROR(_xlfn.XLOOKUP(AL$1, 'USHE Projections'!$A$1:$E$1, 'USHE Projections'!$A:$E), "NONE"), (AL$72-AL41)/($AI$72-$AI41)*($AI42-$AI41)+AL41), (AL$72-AL41)/($AI$72-$AI41)*($AI42-$AI41)+AL41)
        )
      )
    )
  ), 0)</f>
        <v>53756</v>
      </c>
      <c r="AM42" s="104" cm="1">
        <f t="array" ref="AM42">ROUND(
  IF(AND(AM$1="Ensign", $AI42&gt;=2021, $AI42&lt;=2024),
    _xlfn.XLOOKUP($AI42, Ensign!$A$2:$A$12, Ensign!$B$2:$B$12),
    _xlfn.XLOOKUP($AI42, 'Historic (IPEDS &amp; 2019 RTP)'!$A:$A, _xlfn.XLOOKUP(AM$1, 'Historic (IPEDS &amp; 2019 RTP)'!$A$1:$H$1, 'Historic (IPEDS &amp; 2019 RTP)'!$A:$H),
      IFERROR(_xlfn.XLOOKUP($AI42, 'USHE Historic'!$A$3:$A$13, _xlfn.XLOOKUP(AM$1, 'USHE Historic'!$A$2:$E$2, 'USHE Historic'!$A$3:$E$13)),
        _xlfn.IFS(
          AM$1="BYU", IFERROR(_xlfn.XLOOKUP($AI42, 'MAG College Enrollment Forecast'!$A:$A, 'MAG College Enrollment Forecast'!$B:$B), (AM$72-AM41)/($AI$72-$AI41)*($AI42-$AI41)+AM41),
          AM$1="UVU", IFERROR(_xlfn.XLOOKUP($AI42, 'MAG College Enrollment Forecast'!$A:$A, 'MAG College Enrollment Forecast'!$C:$C+'MAG College Enrollment Forecast'!$D:$D+'MAG College Enrollment Forecast'!$E:$E+'MAG College Enrollment Forecast'!$F:$F+'MAG College Enrollment Forecast'!$G:$G+'MAG College Enrollment Forecast'!$H:$H), (AM$72-AM41)/($AI$72-$AI41)*($AI42-$AI41)+AM41),
          TRUE, IFERROR(_xlfn.XLOOKUP($AI42, 'USHE Projections'!$A:$A, IFERROR(_xlfn.XLOOKUP(AM$1, 'USHE Projections'!$A$1:$E$1, 'USHE Projections'!$A:$E), "NONE"), (AM$72-AM41)/($AI$72-$AI41)*($AI42-$AI41)+AM41), (AM$72-AM41)/($AI$72-$AI41)*($AI42-$AI41)+AM41)
        )
      )
    )
  ), 0)</f>
        <v>32893</v>
      </c>
      <c r="AN42" s="35" cm="1">
        <f t="array" ref="AN42">ROUND(
  IF(AND(AN$1="Ensign", $AI42&gt;=2021, $AI42&lt;=2024),
    _xlfn.XLOOKUP($AI42, Ensign!$A$2:$A$12, Ensign!$B$2:$B$12),
    _xlfn.XLOOKUP($AI42, 'Historic (IPEDS &amp; 2019 RTP)'!$A:$A, _xlfn.XLOOKUP(AN$1, 'Historic (IPEDS &amp; 2019 RTP)'!$A$1:$H$1, 'Historic (IPEDS &amp; 2019 RTP)'!$A:$H),
      IFERROR(_xlfn.XLOOKUP($AI42, 'USHE Historic'!$A$3:$A$13, _xlfn.XLOOKUP(AN$1, 'USHE Historic'!$A$2:$E$2, 'USHE Historic'!$A$3:$E$13)),
        _xlfn.IFS(
          AN$1="BYU", IFERROR(_xlfn.XLOOKUP($AI42, 'MAG College Enrollment Forecast'!$A:$A, 'MAG College Enrollment Forecast'!$B:$B), (AN$72-AN41)/($AI$72-$AI41)*($AI42-$AI41)+AN41),
          AN$1="UVU", IFERROR(_xlfn.XLOOKUP($AI42, 'MAG College Enrollment Forecast'!$A:$A, 'MAG College Enrollment Forecast'!$C:$C+'MAG College Enrollment Forecast'!$D:$D+'MAG College Enrollment Forecast'!$E:$E+'MAG College Enrollment Forecast'!$F:$F+'MAG College Enrollment Forecast'!$G:$G+'MAG College Enrollment Forecast'!$H:$H), (AN$72-AN41)/($AI$72-$AI41)*($AI42-$AI41)+AN41),
          TRUE, IFERROR(_xlfn.XLOOKUP($AI42, 'USHE Projections'!$A:$A, IFERROR(_xlfn.XLOOKUP(AN$1, 'USHE Projections'!$A$1:$E$1, 'USHE Projections'!$A:$E), "NONE"), (AN$72-AN41)/($AI$72-$AI41)*($AI42-$AI41)+AN41), (AN$72-AN41)/($AI$72-$AI41)*($AI42-$AI41)+AN41)
        )
      )
    )
  ), 0)</f>
        <v>37662</v>
      </c>
      <c r="AO42" s="104" cm="1">
        <f t="array" ref="AO42">ROUND(
  IF(AND(AO$1="Ensign", $AI42&gt;=2021, $AI42&lt;=2024),
    _xlfn.XLOOKUP($AI42, Ensign!$A$2:$A$12, Ensign!$B$2:$B$12),
    _xlfn.XLOOKUP($AI42, 'Historic (IPEDS &amp; 2019 RTP)'!$A:$A, _xlfn.XLOOKUP(AO$1, 'Historic (IPEDS &amp; 2019 RTP)'!$A$1:$H$1, 'Historic (IPEDS &amp; 2019 RTP)'!$A:$H),
      IFERROR(_xlfn.XLOOKUP($AI42, 'USHE Historic'!$A$3:$A$13, _xlfn.XLOOKUP(AO$1, 'USHE Historic'!$A$2:$E$2, 'USHE Historic'!$A$3:$E$13)),
        _xlfn.IFS(
          AO$1="BYU", IFERROR(_xlfn.XLOOKUP($AI42, 'MAG College Enrollment Forecast'!$A:$A, 'MAG College Enrollment Forecast'!$B:$B), (AO$72-AO41)/($AI$72-$AI41)*($AI42-$AI41)+AO41),
          AO$1="UVU", IFERROR(_xlfn.XLOOKUP($AI42, 'MAG College Enrollment Forecast'!$A:$A, 'MAG College Enrollment Forecast'!$C:$C+'MAG College Enrollment Forecast'!$D:$D+'MAG College Enrollment Forecast'!$E:$E+'MAG College Enrollment Forecast'!$F:$F+'MAG College Enrollment Forecast'!$G:$G+'MAG College Enrollment Forecast'!$H:$H), (AO$72-AO41)/($AI$72-$AI41)*($AI42-$AI41)+AO41),
          TRUE, IFERROR(_xlfn.XLOOKUP($AI42, 'USHE Projections'!$A:$A, IFERROR(_xlfn.XLOOKUP(AO$1, 'USHE Projections'!$A$1:$E$1, 'USHE Projections'!$A:$E), "NONE"), (AO$72-AO41)/($AI$72-$AI41)*($AI42-$AI41)+AO41), (AO$72-AO41)/($AI$72-$AI41)*($AI42-$AI41)+AO41)
        )
      )
    )
  ), 0)</f>
        <v>2147</v>
      </c>
      <c r="AP42" s="104" cm="1">
        <f t="array" ref="AP42">ROUND(
  IF(AND(AP$1="Ensign", $AI42&gt;=2021, $AI42&lt;=2024),
    _xlfn.XLOOKUP($AI42, Ensign!$A$2:$A$12, Ensign!$B$2:$B$12),
    _xlfn.XLOOKUP($AI42, 'Historic (IPEDS &amp; 2019 RTP)'!$A:$A, _xlfn.XLOOKUP(AP$1, 'Historic (IPEDS &amp; 2019 RTP)'!$A$1:$H$1, 'Historic (IPEDS &amp; 2019 RTP)'!$A:$H),
      IFERROR(_xlfn.XLOOKUP($AI42, 'USHE Historic'!$A$3:$A$13, _xlfn.XLOOKUP(AP$1, 'USHE Historic'!$A$2:$E$2, 'USHE Historic'!$A$3:$E$13)),
        _xlfn.IFS(
          AP$1="BYU", IFERROR(_xlfn.XLOOKUP($AI42, 'MAG College Enrollment Forecast'!$A:$A, 'MAG College Enrollment Forecast'!$B:$B), (AP$72-AP41)/($AI$72-$AI41)*($AI42-$AI41)+AP41),
          AP$1="UVU", IFERROR(_xlfn.XLOOKUP($AI42, 'MAG College Enrollment Forecast'!$A:$A, 'MAG College Enrollment Forecast'!$C:$C+'MAG College Enrollment Forecast'!$D:$D+'MAG College Enrollment Forecast'!$E:$E+'MAG College Enrollment Forecast'!$F:$F+'MAG College Enrollment Forecast'!$G:$G+'MAG College Enrollment Forecast'!$H:$H), (AP$72-AP41)/($AI$72-$AI41)*($AI42-$AI41)+AP41),
          TRUE, IFERROR(_xlfn.XLOOKUP($AI42, 'USHE Projections'!$A:$A, IFERROR(_xlfn.XLOOKUP(AP$1, 'USHE Projections'!$A$1:$E$1, 'USHE Projections'!$A:$E), "NONE"), (AP$72-AP41)/($AI$72-$AI41)*($AI42-$AI41)+AP41), (AP$72-AP41)/($AI$72-$AI41)*($AI42-$AI41)+AP41)
        )
      )
    )
  ), 0)</f>
        <v>1648</v>
      </c>
    </row>
    <row r="43" spans="35:44">
      <c r="AI43" s="3">
        <v>2031</v>
      </c>
      <c r="AJ43" s="104" cm="1">
        <f t="array" ref="AJ43">ROUND(
  IF(AND(AJ$1="Ensign", $AI43&gt;=2021, $AI43&lt;=2024),
    _xlfn.XLOOKUP($AI43, Ensign!$A$2:$A$12, Ensign!$B$2:$B$12),
    _xlfn.XLOOKUP($AI43, 'Historic (IPEDS &amp; 2019 RTP)'!$A:$A, _xlfn.XLOOKUP(AJ$1, 'Historic (IPEDS &amp; 2019 RTP)'!$A$1:$H$1, 'Historic (IPEDS &amp; 2019 RTP)'!$A:$H),
      IFERROR(_xlfn.XLOOKUP($AI43, 'USHE Historic'!$A$3:$A$13, _xlfn.XLOOKUP(AJ$1, 'USHE Historic'!$A$2:$E$2, 'USHE Historic'!$A$3:$E$13)),
        _xlfn.IFS(
          AJ$1="BYU", IFERROR(_xlfn.XLOOKUP($AI43, 'MAG College Enrollment Forecast'!$A:$A, 'MAG College Enrollment Forecast'!$B:$B), (AJ$72-AJ42)/($AI$72-$AI42)*($AI43-$AI42)+AJ42),
          AJ$1="UVU", IFERROR(_xlfn.XLOOKUP($AI43, 'MAG College Enrollment Forecast'!$A:$A, 'MAG College Enrollment Forecast'!$C:$C+'MAG College Enrollment Forecast'!$D:$D+'MAG College Enrollment Forecast'!$E:$E+'MAG College Enrollment Forecast'!$F:$F+'MAG College Enrollment Forecast'!$G:$G+'MAG College Enrollment Forecast'!$H:$H), (AJ$72-AJ42)/($AI$72-$AI42)*($AI43-$AI42)+AJ42),
          TRUE, IFERROR(_xlfn.XLOOKUP($AI43, 'USHE Projections'!$A:$A, IFERROR(_xlfn.XLOOKUP(AJ$1, 'USHE Projections'!$A$1:$E$1, 'USHE Projections'!$A:$E), "NONE"), (AJ$72-AJ42)/($AI$72-$AI42)*($AI43-$AI42)+AJ42), (AJ$72-AJ42)/($AI$72-$AI42)*($AI43-$AI42)+AJ42)
        )
      )
    )
  ), 0)</f>
        <v>38230</v>
      </c>
      <c r="AK43" s="104" cm="1">
        <f t="array" ref="AK43">ROUND(
  IF(AND(AK$1="Ensign", $AI43&gt;=2021, $AI43&lt;=2024),
    _xlfn.XLOOKUP($AI43, Ensign!$A$2:$A$12, Ensign!$B$2:$B$12),
    _xlfn.XLOOKUP($AI43, 'Historic (IPEDS &amp; 2019 RTP)'!$A:$A, _xlfn.XLOOKUP(AK$1, 'Historic (IPEDS &amp; 2019 RTP)'!$A$1:$H$1, 'Historic (IPEDS &amp; 2019 RTP)'!$A:$H),
      IFERROR(_xlfn.XLOOKUP($AI43, 'USHE Historic'!$A$3:$A$13, _xlfn.XLOOKUP(AK$1, 'USHE Historic'!$A$2:$E$2, 'USHE Historic'!$A$3:$E$13)),
        _xlfn.IFS(
          AK$1="BYU", IFERROR(_xlfn.XLOOKUP($AI43, 'MAG College Enrollment Forecast'!$A:$A, 'MAG College Enrollment Forecast'!$B:$B), (AK$72-AK42)/($AI$72-$AI42)*($AI43-$AI42)+AK42),
          AK$1="UVU", IFERROR(_xlfn.XLOOKUP($AI43, 'MAG College Enrollment Forecast'!$A:$A, 'MAG College Enrollment Forecast'!$C:$C+'MAG College Enrollment Forecast'!$D:$D+'MAG College Enrollment Forecast'!$E:$E+'MAG College Enrollment Forecast'!$F:$F+'MAG College Enrollment Forecast'!$G:$G+'MAG College Enrollment Forecast'!$H:$H), (AK$72-AK42)/($AI$72-$AI42)*($AI43-$AI42)+AK42),
          TRUE, IFERROR(_xlfn.XLOOKUP($AI43, 'USHE Projections'!$A:$A, IFERROR(_xlfn.XLOOKUP(AK$1, 'USHE Projections'!$A$1:$E$1, 'USHE Projections'!$A:$E), "NONE"), (AK$72-AK42)/($AI$72-$AI42)*($AI43-$AI42)+AK42), (AK$72-AK42)/($AI$72-$AI42)*($AI43-$AI42)+AK42)
        )
      )
    )
  ), 0)</f>
        <v>34472</v>
      </c>
      <c r="AL43" s="35" cm="1">
        <f t="array" ref="AL43">ROUND(
  IF(AND(AL$1="Ensign", $AI43&gt;=2021, $AI43&lt;=2024),
    _xlfn.XLOOKUP($AI43, Ensign!$A$2:$A$12, Ensign!$B$2:$B$12),
    _xlfn.XLOOKUP($AI43, 'Historic (IPEDS &amp; 2019 RTP)'!$A:$A, _xlfn.XLOOKUP(AL$1, 'Historic (IPEDS &amp; 2019 RTP)'!$A$1:$H$1, 'Historic (IPEDS &amp; 2019 RTP)'!$A:$H),
      IFERROR(_xlfn.XLOOKUP($AI43, 'USHE Historic'!$A$3:$A$13, _xlfn.XLOOKUP(AL$1, 'USHE Historic'!$A$2:$E$2, 'USHE Historic'!$A$3:$E$13)),
        _xlfn.IFS(
          AL$1="BYU", IFERROR(_xlfn.XLOOKUP($AI43, 'MAG College Enrollment Forecast'!$A:$A, 'MAG College Enrollment Forecast'!$B:$B), (AL$72-AL42)/($AI$72-$AI42)*($AI43-$AI42)+AL42),
          AL$1="UVU", IFERROR(_xlfn.XLOOKUP($AI43, 'MAG College Enrollment Forecast'!$A:$A, 'MAG College Enrollment Forecast'!$C:$C+'MAG College Enrollment Forecast'!$D:$D+'MAG College Enrollment Forecast'!$E:$E+'MAG College Enrollment Forecast'!$F:$F+'MAG College Enrollment Forecast'!$G:$G+'MAG College Enrollment Forecast'!$H:$H), (AL$72-AL42)/($AI$72-$AI42)*($AI43-$AI42)+AL42),
          TRUE, IFERROR(_xlfn.XLOOKUP($AI43, 'USHE Projections'!$A:$A, IFERROR(_xlfn.XLOOKUP(AL$1, 'USHE Projections'!$A$1:$E$1, 'USHE Projections'!$A:$E), "NONE"), (AL$72-AL42)/($AI$72-$AI42)*($AI43-$AI42)+AL42), (AL$72-AL42)/($AI$72-$AI42)*($AI43-$AI42)+AL42)
        )
      )
    )
  ), 0)</f>
        <v>54990</v>
      </c>
      <c r="AM43" s="104" cm="1">
        <f t="array" ref="AM43">ROUND(
  IF(AND(AM$1="Ensign", $AI43&gt;=2021, $AI43&lt;=2024),
    _xlfn.XLOOKUP($AI43, Ensign!$A$2:$A$12, Ensign!$B$2:$B$12),
    _xlfn.XLOOKUP($AI43, 'Historic (IPEDS &amp; 2019 RTP)'!$A:$A, _xlfn.XLOOKUP(AM$1, 'Historic (IPEDS &amp; 2019 RTP)'!$A$1:$H$1, 'Historic (IPEDS &amp; 2019 RTP)'!$A:$H),
      IFERROR(_xlfn.XLOOKUP($AI43, 'USHE Historic'!$A$3:$A$13, _xlfn.XLOOKUP(AM$1, 'USHE Historic'!$A$2:$E$2, 'USHE Historic'!$A$3:$E$13)),
        _xlfn.IFS(
          AM$1="BYU", IFERROR(_xlfn.XLOOKUP($AI43, 'MAG College Enrollment Forecast'!$A:$A, 'MAG College Enrollment Forecast'!$B:$B), (AM$72-AM42)/($AI$72-$AI42)*($AI43-$AI42)+AM42),
          AM$1="UVU", IFERROR(_xlfn.XLOOKUP($AI43, 'MAG College Enrollment Forecast'!$A:$A, 'MAG College Enrollment Forecast'!$C:$C+'MAG College Enrollment Forecast'!$D:$D+'MAG College Enrollment Forecast'!$E:$E+'MAG College Enrollment Forecast'!$F:$F+'MAG College Enrollment Forecast'!$G:$G+'MAG College Enrollment Forecast'!$H:$H), (AM$72-AM42)/($AI$72-$AI42)*($AI43-$AI42)+AM42),
          TRUE, IFERROR(_xlfn.XLOOKUP($AI43, 'USHE Projections'!$A:$A, IFERROR(_xlfn.XLOOKUP(AM$1, 'USHE Projections'!$A$1:$E$1, 'USHE Projections'!$A:$E), "NONE"), (AM$72-AM42)/($AI$72-$AI42)*($AI43-$AI42)+AM42), (AM$72-AM42)/($AI$72-$AI42)*($AI43-$AI42)+AM42)
        )
      )
    )
  ), 0)</f>
        <v>33230</v>
      </c>
      <c r="AN43" s="35" cm="1">
        <f t="array" ref="AN43">ROUND(
  IF(AND(AN$1="Ensign", $AI43&gt;=2021, $AI43&lt;=2024),
    _xlfn.XLOOKUP($AI43, Ensign!$A$2:$A$12, Ensign!$B$2:$B$12),
    _xlfn.XLOOKUP($AI43, 'Historic (IPEDS &amp; 2019 RTP)'!$A:$A, _xlfn.XLOOKUP(AN$1, 'Historic (IPEDS &amp; 2019 RTP)'!$A$1:$H$1, 'Historic (IPEDS &amp; 2019 RTP)'!$A:$H),
      IFERROR(_xlfn.XLOOKUP($AI43, 'USHE Historic'!$A$3:$A$13, _xlfn.XLOOKUP(AN$1, 'USHE Historic'!$A$2:$E$2, 'USHE Historic'!$A$3:$E$13)),
        _xlfn.IFS(
          AN$1="BYU", IFERROR(_xlfn.XLOOKUP($AI43, 'MAG College Enrollment Forecast'!$A:$A, 'MAG College Enrollment Forecast'!$B:$B), (AN$72-AN42)/($AI$72-$AI42)*($AI43-$AI42)+AN42),
          AN$1="UVU", IFERROR(_xlfn.XLOOKUP($AI43, 'MAG College Enrollment Forecast'!$A:$A, 'MAG College Enrollment Forecast'!$C:$C+'MAG College Enrollment Forecast'!$D:$D+'MAG College Enrollment Forecast'!$E:$E+'MAG College Enrollment Forecast'!$F:$F+'MAG College Enrollment Forecast'!$G:$G+'MAG College Enrollment Forecast'!$H:$H), (AN$72-AN42)/($AI$72-$AI42)*($AI43-$AI42)+AN42),
          TRUE, IFERROR(_xlfn.XLOOKUP($AI43, 'USHE Projections'!$A:$A, IFERROR(_xlfn.XLOOKUP(AN$1, 'USHE Projections'!$A$1:$E$1, 'USHE Projections'!$A:$E), "NONE"), (AN$72-AN42)/($AI$72-$AI42)*($AI43-$AI42)+AN42), (AN$72-AN42)/($AI$72-$AI42)*($AI43-$AI42)+AN42)
        )
      )
    )
  ), 0)</f>
        <v>37699</v>
      </c>
      <c r="AO43" s="104" cm="1">
        <f t="array" ref="AO43">ROUND(
  IF(AND(AO$1="Ensign", $AI43&gt;=2021, $AI43&lt;=2024),
    _xlfn.XLOOKUP($AI43, Ensign!$A$2:$A$12, Ensign!$B$2:$B$12),
    _xlfn.XLOOKUP($AI43, 'Historic (IPEDS &amp; 2019 RTP)'!$A:$A, _xlfn.XLOOKUP(AO$1, 'Historic (IPEDS &amp; 2019 RTP)'!$A$1:$H$1, 'Historic (IPEDS &amp; 2019 RTP)'!$A:$H),
      IFERROR(_xlfn.XLOOKUP($AI43, 'USHE Historic'!$A$3:$A$13, _xlfn.XLOOKUP(AO$1, 'USHE Historic'!$A$2:$E$2, 'USHE Historic'!$A$3:$E$13)),
        _xlfn.IFS(
          AO$1="BYU", IFERROR(_xlfn.XLOOKUP($AI43, 'MAG College Enrollment Forecast'!$A:$A, 'MAG College Enrollment Forecast'!$B:$B), (AO$72-AO42)/($AI$72-$AI42)*($AI43-$AI42)+AO42),
          AO$1="UVU", IFERROR(_xlfn.XLOOKUP($AI43, 'MAG College Enrollment Forecast'!$A:$A, 'MAG College Enrollment Forecast'!$C:$C+'MAG College Enrollment Forecast'!$D:$D+'MAG College Enrollment Forecast'!$E:$E+'MAG College Enrollment Forecast'!$F:$F+'MAG College Enrollment Forecast'!$G:$G+'MAG College Enrollment Forecast'!$H:$H), (AO$72-AO42)/($AI$72-$AI42)*($AI43-$AI42)+AO42),
          TRUE, IFERROR(_xlfn.XLOOKUP($AI43, 'USHE Projections'!$A:$A, IFERROR(_xlfn.XLOOKUP(AO$1, 'USHE Projections'!$A$1:$E$1, 'USHE Projections'!$A:$E), "NONE"), (AO$72-AO42)/($AI$72-$AI42)*($AI43-$AI42)+AO42), (AO$72-AO42)/($AI$72-$AI42)*($AI43-$AI42)+AO42)
        )
      )
    )
  ), 0)</f>
        <v>2182</v>
      </c>
      <c r="AP43" s="104" cm="1">
        <f t="array" ref="AP43">ROUND(
  IF(AND(AP$1="Ensign", $AI43&gt;=2021, $AI43&lt;=2024),
    _xlfn.XLOOKUP($AI43, Ensign!$A$2:$A$12, Ensign!$B$2:$B$12),
    _xlfn.XLOOKUP($AI43, 'Historic (IPEDS &amp; 2019 RTP)'!$A:$A, _xlfn.XLOOKUP(AP$1, 'Historic (IPEDS &amp; 2019 RTP)'!$A$1:$H$1, 'Historic (IPEDS &amp; 2019 RTP)'!$A:$H),
      IFERROR(_xlfn.XLOOKUP($AI43, 'USHE Historic'!$A$3:$A$13, _xlfn.XLOOKUP(AP$1, 'USHE Historic'!$A$2:$E$2, 'USHE Historic'!$A$3:$E$13)),
        _xlfn.IFS(
          AP$1="BYU", IFERROR(_xlfn.XLOOKUP($AI43, 'MAG College Enrollment Forecast'!$A:$A, 'MAG College Enrollment Forecast'!$B:$B), (AP$72-AP42)/($AI$72-$AI42)*($AI43-$AI42)+AP42),
          AP$1="UVU", IFERROR(_xlfn.XLOOKUP($AI43, 'MAG College Enrollment Forecast'!$A:$A, 'MAG College Enrollment Forecast'!$C:$C+'MAG College Enrollment Forecast'!$D:$D+'MAG College Enrollment Forecast'!$E:$E+'MAG College Enrollment Forecast'!$F:$F+'MAG College Enrollment Forecast'!$G:$G+'MAG College Enrollment Forecast'!$H:$H), (AP$72-AP42)/($AI$72-$AI42)*($AI43-$AI42)+AP42),
          TRUE, IFERROR(_xlfn.XLOOKUP($AI43, 'USHE Projections'!$A:$A, IFERROR(_xlfn.XLOOKUP(AP$1, 'USHE Projections'!$A$1:$E$1, 'USHE Projections'!$A:$E), "NONE"), (AP$72-AP42)/($AI$72-$AI42)*($AI43-$AI42)+AP42), (AP$72-AP42)/($AI$72-$AI42)*($AI43-$AI42)+AP42)
        )
      )
    )
  ), 0)</f>
        <v>1710</v>
      </c>
    </row>
    <row r="44" spans="35:44">
      <c r="AI44" s="3">
        <v>2032</v>
      </c>
      <c r="AJ44" s="104" cm="1">
        <f t="array" ref="AJ44">ROUND(
  IF(AND(AJ$1="Ensign", $AI44&gt;=2021, $AI44&lt;=2024),
    _xlfn.XLOOKUP($AI44, Ensign!$A$2:$A$12, Ensign!$B$2:$B$12),
    _xlfn.XLOOKUP($AI44, 'Historic (IPEDS &amp; 2019 RTP)'!$A:$A, _xlfn.XLOOKUP(AJ$1, 'Historic (IPEDS &amp; 2019 RTP)'!$A$1:$H$1, 'Historic (IPEDS &amp; 2019 RTP)'!$A:$H),
      IFERROR(_xlfn.XLOOKUP($AI44, 'USHE Historic'!$A$3:$A$13, _xlfn.XLOOKUP(AJ$1, 'USHE Historic'!$A$2:$E$2, 'USHE Historic'!$A$3:$E$13)),
        _xlfn.IFS(
          AJ$1="BYU", IFERROR(_xlfn.XLOOKUP($AI44, 'MAG College Enrollment Forecast'!$A:$A, 'MAG College Enrollment Forecast'!$B:$B), (AJ$72-AJ43)/($AI$72-$AI43)*($AI44-$AI43)+AJ43),
          AJ$1="UVU", IFERROR(_xlfn.XLOOKUP($AI44, 'MAG College Enrollment Forecast'!$A:$A, 'MAG College Enrollment Forecast'!$C:$C+'MAG College Enrollment Forecast'!$D:$D+'MAG College Enrollment Forecast'!$E:$E+'MAG College Enrollment Forecast'!$F:$F+'MAG College Enrollment Forecast'!$G:$G+'MAG College Enrollment Forecast'!$H:$H), (AJ$72-AJ43)/($AI$72-$AI43)*($AI44-$AI43)+AJ43),
          TRUE, IFERROR(_xlfn.XLOOKUP($AI44, 'USHE Projections'!$A:$A, IFERROR(_xlfn.XLOOKUP(AJ$1, 'USHE Projections'!$A$1:$E$1, 'USHE Projections'!$A:$E), "NONE"), (AJ$72-AJ43)/($AI$72-$AI43)*($AI44-$AI43)+AJ43), (AJ$72-AJ43)/($AI$72-$AI43)*($AI44-$AI43)+AJ43)
        )
      )
    )
  ), 0)</f>
        <v>38532</v>
      </c>
      <c r="AK44" s="104" cm="1">
        <f t="array" ref="AK44">ROUND(
  IF(AND(AK$1="Ensign", $AI44&gt;=2021, $AI44&lt;=2024),
    _xlfn.XLOOKUP($AI44, Ensign!$A$2:$A$12, Ensign!$B$2:$B$12),
    _xlfn.XLOOKUP($AI44, 'Historic (IPEDS &amp; 2019 RTP)'!$A:$A, _xlfn.XLOOKUP(AK$1, 'Historic (IPEDS &amp; 2019 RTP)'!$A$1:$H$1, 'Historic (IPEDS &amp; 2019 RTP)'!$A:$H),
      IFERROR(_xlfn.XLOOKUP($AI44, 'USHE Historic'!$A$3:$A$13, _xlfn.XLOOKUP(AK$1, 'USHE Historic'!$A$2:$E$2, 'USHE Historic'!$A$3:$E$13)),
        _xlfn.IFS(
          AK$1="BYU", IFERROR(_xlfn.XLOOKUP($AI44, 'MAG College Enrollment Forecast'!$A:$A, 'MAG College Enrollment Forecast'!$B:$B), (AK$72-AK43)/($AI$72-$AI43)*($AI44-$AI43)+AK43),
          AK$1="UVU", IFERROR(_xlfn.XLOOKUP($AI44, 'MAG College Enrollment Forecast'!$A:$A, 'MAG College Enrollment Forecast'!$C:$C+'MAG College Enrollment Forecast'!$D:$D+'MAG College Enrollment Forecast'!$E:$E+'MAG College Enrollment Forecast'!$F:$F+'MAG College Enrollment Forecast'!$G:$G+'MAG College Enrollment Forecast'!$H:$H), (AK$72-AK43)/($AI$72-$AI43)*($AI44-$AI43)+AK43),
          TRUE, IFERROR(_xlfn.XLOOKUP($AI44, 'USHE Projections'!$A:$A, IFERROR(_xlfn.XLOOKUP(AK$1, 'USHE Projections'!$A$1:$E$1, 'USHE Projections'!$A:$E), "NONE"), (AK$72-AK43)/($AI$72-$AI43)*($AI44-$AI43)+AK43), (AK$72-AK43)/($AI$72-$AI43)*($AI44-$AI43)+AK43)
        )
      )
    )
  ), 0)</f>
        <v>34938</v>
      </c>
      <c r="AL44" s="35" cm="1">
        <f t="array" ref="AL44">ROUND(
  IF(AND(AL$1="Ensign", $AI44&gt;=2021, $AI44&lt;=2024),
    _xlfn.XLOOKUP($AI44, Ensign!$A$2:$A$12, Ensign!$B$2:$B$12),
    _xlfn.XLOOKUP($AI44, 'Historic (IPEDS &amp; 2019 RTP)'!$A:$A, _xlfn.XLOOKUP(AL$1, 'Historic (IPEDS &amp; 2019 RTP)'!$A$1:$H$1, 'Historic (IPEDS &amp; 2019 RTP)'!$A:$H),
      IFERROR(_xlfn.XLOOKUP($AI44, 'USHE Historic'!$A$3:$A$13, _xlfn.XLOOKUP(AL$1, 'USHE Historic'!$A$2:$E$2, 'USHE Historic'!$A$3:$E$13)),
        _xlfn.IFS(
          AL$1="BYU", IFERROR(_xlfn.XLOOKUP($AI44, 'MAG College Enrollment Forecast'!$A:$A, 'MAG College Enrollment Forecast'!$B:$B), (AL$72-AL43)/($AI$72-$AI43)*($AI44-$AI43)+AL43),
          AL$1="UVU", IFERROR(_xlfn.XLOOKUP($AI44, 'MAG College Enrollment Forecast'!$A:$A, 'MAG College Enrollment Forecast'!$C:$C+'MAG College Enrollment Forecast'!$D:$D+'MAG College Enrollment Forecast'!$E:$E+'MAG College Enrollment Forecast'!$F:$F+'MAG College Enrollment Forecast'!$G:$G+'MAG College Enrollment Forecast'!$H:$H), (AL$72-AL43)/($AI$72-$AI43)*($AI44-$AI43)+AL43),
          TRUE, IFERROR(_xlfn.XLOOKUP($AI44, 'USHE Projections'!$A:$A, IFERROR(_xlfn.XLOOKUP(AL$1, 'USHE Projections'!$A$1:$E$1, 'USHE Projections'!$A:$E), "NONE"), (AL$72-AL43)/($AI$72-$AI43)*($AI44-$AI43)+AL43), (AL$72-AL43)/($AI$72-$AI43)*($AI44-$AI43)+AL43)
        )
      )
    )
  ), 0)</f>
        <v>56223</v>
      </c>
      <c r="AM44" s="104" cm="1">
        <f t="array" ref="AM44">ROUND(
  IF(AND(AM$1="Ensign", $AI44&gt;=2021, $AI44&lt;=2024),
    _xlfn.XLOOKUP($AI44, Ensign!$A$2:$A$12, Ensign!$B$2:$B$12),
    _xlfn.XLOOKUP($AI44, 'Historic (IPEDS &amp; 2019 RTP)'!$A:$A, _xlfn.XLOOKUP(AM$1, 'Historic (IPEDS &amp; 2019 RTP)'!$A$1:$H$1, 'Historic (IPEDS &amp; 2019 RTP)'!$A:$H),
      IFERROR(_xlfn.XLOOKUP($AI44, 'USHE Historic'!$A$3:$A$13, _xlfn.XLOOKUP(AM$1, 'USHE Historic'!$A$2:$E$2, 'USHE Historic'!$A$3:$E$13)),
        _xlfn.IFS(
          AM$1="BYU", IFERROR(_xlfn.XLOOKUP($AI44, 'MAG College Enrollment Forecast'!$A:$A, 'MAG College Enrollment Forecast'!$B:$B), (AM$72-AM43)/($AI$72-$AI43)*($AI44-$AI43)+AM43),
          AM$1="UVU", IFERROR(_xlfn.XLOOKUP($AI44, 'MAG College Enrollment Forecast'!$A:$A, 'MAG College Enrollment Forecast'!$C:$C+'MAG College Enrollment Forecast'!$D:$D+'MAG College Enrollment Forecast'!$E:$E+'MAG College Enrollment Forecast'!$F:$F+'MAG College Enrollment Forecast'!$G:$G+'MAG College Enrollment Forecast'!$H:$H), (AM$72-AM43)/($AI$72-$AI43)*($AI44-$AI43)+AM43),
          TRUE, IFERROR(_xlfn.XLOOKUP($AI44, 'USHE Projections'!$A:$A, IFERROR(_xlfn.XLOOKUP(AM$1, 'USHE Projections'!$A$1:$E$1, 'USHE Projections'!$A:$E), "NONE"), (AM$72-AM43)/($AI$72-$AI43)*($AI44-$AI43)+AM43), (AM$72-AM43)/($AI$72-$AI43)*($AI44-$AI43)+AM43)
        )
      )
    )
  ), 0)</f>
        <v>33567</v>
      </c>
      <c r="AN44" s="35" cm="1">
        <f t="array" ref="AN44">ROUND(
  IF(AND(AN$1="Ensign", $AI44&gt;=2021, $AI44&lt;=2024),
    _xlfn.XLOOKUP($AI44, Ensign!$A$2:$A$12, Ensign!$B$2:$B$12),
    _xlfn.XLOOKUP($AI44, 'Historic (IPEDS &amp; 2019 RTP)'!$A:$A, _xlfn.XLOOKUP(AN$1, 'Historic (IPEDS &amp; 2019 RTP)'!$A$1:$H$1, 'Historic (IPEDS &amp; 2019 RTP)'!$A:$H),
      IFERROR(_xlfn.XLOOKUP($AI44, 'USHE Historic'!$A$3:$A$13, _xlfn.XLOOKUP(AN$1, 'USHE Historic'!$A$2:$E$2, 'USHE Historic'!$A$3:$E$13)),
        _xlfn.IFS(
          AN$1="BYU", IFERROR(_xlfn.XLOOKUP($AI44, 'MAG College Enrollment Forecast'!$A:$A, 'MAG College Enrollment Forecast'!$B:$B), (AN$72-AN43)/($AI$72-$AI43)*($AI44-$AI43)+AN43),
          AN$1="UVU", IFERROR(_xlfn.XLOOKUP($AI44, 'MAG College Enrollment Forecast'!$A:$A, 'MAG College Enrollment Forecast'!$C:$C+'MAG College Enrollment Forecast'!$D:$D+'MAG College Enrollment Forecast'!$E:$E+'MAG College Enrollment Forecast'!$F:$F+'MAG College Enrollment Forecast'!$G:$G+'MAG College Enrollment Forecast'!$H:$H), (AN$72-AN43)/($AI$72-$AI43)*($AI44-$AI43)+AN43),
          TRUE, IFERROR(_xlfn.XLOOKUP($AI44, 'USHE Projections'!$A:$A, IFERROR(_xlfn.XLOOKUP(AN$1, 'USHE Projections'!$A$1:$E$1, 'USHE Projections'!$A:$E), "NONE"), (AN$72-AN43)/($AI$72-$AI43)*($AI44-$AI43)+AN43), (AN$72-AN43)/($AI$72-$AI43)*($AI44-$AI43)+AN43)
        )
      )
    )
  ), 0)</f>
        <v>37736</v>
      </c>
      <c r="AO44" s="104" cm="1">
        <f t="array" ref="AO44">ROUND(
  IF(AND(AO$1="Ensign", $AI44&gt;=2021, $AI44&lt;=2024),
    _xlfn.XLOOKUP($AI44, Ensign!$A$2:$A$12, Ensign!$B$2:$B$12),
    _xlfn.XLOOKUP($AI44, 'Historic (IPEDS &amp; 2019 RTP)'!$A:$A, _xlfn.XLOOKUP(AO$1, 'Historic (IPEDS &amp; 2019 RTP)'!$A$1:$H$1, 'Historic (IPEDS &amp; 2019 RTP)'!$A:$H),
      IFERROR(_xlfn.XLOOKUP($AI44, 'USHE Historic'!$A$3:$A$13, _xlfn.XLOOKUP(AO$1, 'USHE Historic'!$A$2:$E$2, 'USHE Historic'!$A$3:$E$13)),
        _xlfn.IFS(
          AO$1="BYU", IFERROR(_xlfn.XLOOKUP($AI44, 'MAG College Enrollment Forecast'!$A:$A, 'MAG College Enrollment Forecast'!$B:$B), (AO$72-AO43)/($AI$72-$AI43)*($AI44-$AI43)+AO43),
          AO$1="UVU", IFERROR(_xlfn.XLOOKUP($AI44, 'MAG College Enrollment Forecast'!$A:$A, 'MAG College Enrollment Forecast'!$C:$C+'MAG College Enrollment Forecast'!$D:$D+'MAG College Enrollment Forecast'!$E:$E+'MAG College Enrollment Forecast'!$F:$F+'MAG College Enrollment Forecast'!$G:$G+'MAG College Enrollment Forecast'!$H:$H), (AO$72-AO43)/($AI$72-$AI43)*($AI44-$AI43)+AO43),
          TRUE, IFERROR(_xlfn.XLOOKUP($AI44, 'USHE Projections'!$A:$A, IFERROR(_xlfn.XLOOKUP(AO$1, 'USHE Projections'!$A$1:$E$1, 'USHE Projections'!$A:$E), "NONE"), (AO$72-AO43)/($AI$72-$AI43)*($AI44-$AI43)+AO43), (AO$72-AO43)/($AI$72-$AI43)*($AI44-$AI43)+AO43)
        )
      )
    )
  ), 0)</f>
        <v>2217</v>
      </c>
      <c r="AP44" s="104" cm="1">
        <f t="array" ref="AP44">ROUND(
  IF(AND(AP$1="Ensign", $AI44&gt;=2021, $AI44&lt;=2024),
    _xlfn.XLOOKUP($AI44, Ensign!$A$2:$A$12, Ensign!$B$2:$B$12),
    _xlfn.XLOOKUP($AI44, 'Historic (IPEDS &amp; 2019 RTP)'!$A:$A, _xlfn.XLOOKUP(AP$1, 'Historic (IPEDS &amp; 2019 RTP)'!$A$1:$H$1, 'Historic (IPEDS &amp; 2019 RTP)'!$A:$H),
      IFERROR(_xlfn.XLOOKUP($AI44, 'USHE Historic'!$A$3:$A$13, _xlfn.XLOOKUP(AP$1, 'USHE Historic'!$A$2:$E$2, 'USHE Historic'!$A$3:$E$13)),
        _xlfn.IFS(
          AP$1="BYU", IFERROR(_xlfn.XLOOKUP($AI44, 'MAG College Enrollment Forecast'!$A:$A, 'MAG College Enrollment Forecast'!$B:$B), (AP$72-AP43)/($AI$72-$AI43)*($AI44-$AI43)+AP43),
          AP$1="UVU", IFERROR(_xlfn.XLOOKUP($AI44, 'MAG College Enrollment Forecast'!$A:$A, 'MAG College Enrollment Forecast'!$C:$C+'MAG College Enrollment Forecast'!$D:$D+'MAG College Enrollment Forecast'!$E:$E+'MAG College Enrollment Forecast'!$F:$F+'MAG College Enrollment Forecast'!$G:$G+'MAG College Enrollment Forecast'!$H:$H), (AP$72-AP43)/($AI$72-$AI43)*($AI44-$AI43)+AP43),
          TRUE, IFERROR(_xlfn.XLOOKUP($AI44, 'USHE Projections'!$A:$A, IFERROR(_xlfn.XLOOKUP(AP$1, 'USHE Projections'!$A$1:$E$1, 'USHE Projections'!$A:$E), "NONE"), (AP$72-AP43)/($AI$72-$AI43)*($AI44-$AI43)+AP43), (AP$72-AP43)/($AI$72-$AI43)*($AI44-$AI43)+AP43)
        )
      )
    )
  ), 0)</f>
        <v>1772</v>
      </c>
    </row>
    <row r="45" spans="35:44">
      <c r="AI45" s="3">
        <v>2033</v>
      </c>
      <c r="AJ45" s="104" cm="1">
        <f t="array" ref="AJ45">ROUND(
  IF(AND(AJ$1="Ensign", $AI45&gt;=2021, $AI45&lt;=2024),
    _xlfn.XLOOKUP($AI45, Ensign!$A$2:$A$12, Ensign!$B$2:$B$12),
    _xlfn.XLOOKUP($AI45, 'Historic (IPEDS &amp; 2019 RTP)'!$A:$A, _xlfn.XLOOKUP(AJ$1, 'Historic (IPEDS &amp; 2019 RTP)'!$A$1:$H$1, 'Historic (IPEDS &amp; 2019 RTP)'!$A:$H),
      IFERROR(_xlfn.XLOOKUP($AI45, 'USHE Historic'!$A$3:$A$13, _xlfn.XLOOKUP(AJ$1, 'USHE Historic'!$A$2:$E$2, 'USHE Historic'!$A$3:$E$13)),
        _xlfn.IFS(
          AJ$1="BYU", IFERROR(_xlfn.XLOOKUP($AI45, 'MAG College Enrollment Forecast'!$A:$A, 'MAG College Enrollment Forecast'!$B:$B), (AJ$72-AJ44)/($AI$72-$AI44)*($AI45-$AI44)+AJ44),
          AJ$1="UVU", IFERROR(_xlfn.XLOOKUP($AI45, 'MAG College Enrollment Forecast'!$A:$A, 'MAG College Enrollment Forecast'!$C:$C+'MAG College Enrollment Forecast'!$D:$D+'MAG College Enrollment Forecast'!$E:$E+'MAG College Enrollment Forecast'!$F:$F+'MAG College Enrollment Forecast'!$G:$G+'MAG College Enrollment Forecast'!$H:$H), (AJ$72-AJ44)/($AI$72-$AI44)*($AI45-$AI44)+AJ44),
          TRUE, IFERROR(_xlfn.XLOOKUP($AI45, 'USHE Projections'!$A:$A, IFERROR(_xlfn.XLOOKUP(AJ$1, 'USHE Projections'!$A$1:$E$1, 'USHE Projections'!$A:$E), "NONE"), (AJ$72-AJ44)/($AI$72-$AI44)*($AI45-$AI44)+AJ44), (AJ$72-AJ44)/($AI$72-$AI44)*($AI45-$AI44)+AJ44)
        )
      )
    )
  ), 0)</f>
        <v>38834</v>
      </c>
      <c r="AK45" s="104" cm="1">
        <f t="array" ref="AK45">ROUND(
  IF(AND(AK$1="Ensign", $AI45&gt;=2021, $AI45&lt;=2024),
    _xlfn.XLOOKUP($AI45, Ensign!$A$2:$A$12, Ensign!$B$2:$B$12),
    _xlfn.XLOOKUP($AI45, 'Historic (IPEDS &amp; 2019 RTP)'!$A:$A, _xlfn.XLOOKUP(AK$1, 'Historic (IPEDS &amp; 2019 RTP)'!$A$1:$H$1, 'Historic (IPEDS &amp; 2019 RTP)'!$A:$H),
      IFERROR(_xlfn.XLOOKUP($AI45, 'USHE Historic'!$A$3:$A$13, _xlfn.XLOOKUP(AK$1, 'USHE Historic'!$A$2:$E$2, 'USHE Historic'!$A$3:$E$13)),
        _xlfn.IFS(
          AK$1="BYU", IFERROR(_xlfn.XLOOKUP($AI45, 'MAG College Enrollment Forecast'!$A:$A, 'MAG College Enrollment Forecast'!$B:$B), (AK$72-AK44)/($AI$72-$AI44)*($AI45-$AI44)+AK44),
          AK$1="UVU", IFERROR(_xlfn.XLOOKUP($AI45, 'MAG College Enrollment Forecast'!$A:$A, 'MAG College Enrollment Forecast'!$C:$C+'MAG College Enrollment Forecast'!$D:$D+'MAG College Enrollment Forecast'!$E:$E+'MAG College Enrollment Forecast'!$F:$F+'MAG College Enrollment Forecast'!$G:$G+'MAG College Enrollment Forecast'!$H:$H), (AK$72-AK44)/($AI$72-$AI44)*($AI45-$AI44)+AK44),
          TRUE, IFERROR(_xlfn.XLOOKUP($AI45, 'USHE Projections'!$A:$A, IFERROR(_xlfn.XLOOKUP(AK$1, 'USHE Projections'!$A$1:$E$1, 'USHE Projections'!$A:$E), "NONE"), (AK$72-AK44)/($AI$72-$AI44)*($AI45-$AI44)+AK44), (AK$72-AK44)/($AI$72-$AI44)*($AI45-$AI44)+AK44)
        )
      )
    )
  ), 0)</f>
        <v>35405</v>
      </c>
      <c r="AL45" s="35" cm="1">
        <f t="array" ref="AL45">ROUND(
  IF(AND(AL$1="Ensign", $AI45&gt;=2021, $AI45&lt;=2024),
    _xlfn.XLOOKUP($AI45, Ensign!$A$2:$A$12, Ensign!$B$2:$B$12),
    _xlfn.XLOOKUP($AI45, 'Historic (IPEDS &amp; 2019 RTP)'!$A:$A, _xlfn.XLOOKUP(AL$1, 'Historic (IPEDS &amp; 2019 RTP)'!$A$1:$H$1, 'Historic (IPEDS &amp; 2019 RTP)'!$A:$H),
      IFERROR(_xlfn.XLOOKUP($AI45, 'USHE Historic'!$A$3:$A$13, _xlfn.XLOOKUP(AL$1, 'USHE Historic'!$A$2:$E$2, 'USHE Historic'!$A$3:$E$13)),
        _xlfn.IFS(
          AL$1="BYU", IFERROR(_xlfn.XLOOKUP($AI45, 'MAG College Enrollment Forecast'!$A:$A, 'MAG College Enrollment Forecast'!$B:$B), (AL$72-AL44)/($AI$72-$AI44)*($AI45-$AI44)+AL44),
          AL$1="UVU", IFERROR(_xlfn.XLOOKUP($AI45, 'MAG College Enrollment Forecast'!$A:$A, 'MAG College Enrollment Forecast'!$C:$C+'MAG College Enrollment Forecast'!$D:$D+'MAG College Enrollment Forecast'!$E:$E+'MAG College Enrollment Forecast'!$F:$F+'MAG College Enrollment Forecast'!$G:$G+'MAG College Enrollment Forecast'!$H:$H), (AL$72-AL44)/($AI$72-$AI44)*($AI45-$AI44)+AL44),
          TRUE, IFERROR(_xlfn.XLOOKUP($AI45, 'USHE Projections'!$A:$A, IFERROR(_xlfn.XLOOKUP(AL$1, 'USHE Projections'!$A$1:$E$1, 'USHE Projections'!$A:$E), "NONE"), (AL$72-AL44)/($AI$72-$AI44)*($AI45-$AI44)+AL44), (AL$72-AL44)/($AI$72-$AI44)*($AI45-$AI44)+AL44)
        )
      )
    )
  ), 0)</f>
        <v>57457</v>
      </c>
      <c r="AM45" s="104" cm="1">
        <f t="array" ref="AM45">ROUND(
  IF(AND(AM$1="Ensign", $AI45&gt;=2021, $AI45&lt;=2024),
    _xlfn.XLOOKUP($AI45, Ensign!$A$2:$A$12, Ensign!$B$2:$B$12),
    _xlfn.XLOOKUP($AI45, 'Historic (IPEDS &amp; 2019 RTP)'!$A:$A, _xlfn.XLOOKUP(AM$1, 'Historic (IPEDS &amp; 2019 RTP)'!$A$1:$H$1, 'Historic (IPEDS &amp; 2019 RTP)'!$A:$H),
      IFERROR(_xlfn.XLOOKUP($AI45, 'USHE Historic'!$A$3:$A$13, _xlfn.XLOOKUP(AM$1, 'USHE Historic'!$A$2:$E$2, 'USHE Historic'!$A$3:$E$13)),
        _xlfn.IFS(
          AM$1="BYU", IFERROR(_xlfn.XLOOKUP($AI45, 'MAG College Enrollment Forecast'!$A:$A, 'MAG College Enrollment Forecast'!$B:$B), (AM$72-AM44)/($AI$72-$AI44)*($AI45-$AI44)+AM44),
          AM$1="UVU", IFERROR(_xlfn.XLOOKUP($AI45, 'MAG College Enrollment Forecast'!$A:$A, 'MAG College Enrollment Forecast'!$C:$C+'MAG College Enrollment Forecast'!$D:$D+'MAG College Enrollment Forecast'!$E:$E+'MAG College Enrollment Forecast'!$F:$F+'MAG College Enrollment Forecast'!$G:$G+'MAG College Enrollment Forecast'!$H:$H), (AM$72-AM44)/($AI$72-$AI44)*($AI45-$AI44)+AM44),
          TRUE, IFERROR(_xlfn.XLOOKUP($AI45, 'USHE Projections'!$A:$A, IFERROR(_xlfn.XLOOKUP(AM$1, 'USHE Projections'!$A$1:$E$1, 'USHE Projections'!$A:$E), "NONE"), (AM$72-AM44)/($AI$72-$AI44)*($AI45-$AI44)+AM44), (AM$72-AM44)/($AI$72-$AI44)*($AI45-$AI44)+AM44)
        )
      )
    )
  ), 0)</f>
        <v>33904</v>
      </c>
      <c r="AN45" s="35" cm="1">
        <f t="array" ref="AN45">ROUND(
  IF(AND(AN$1="Ensign", $AI45&gt;=2021, $AI45&lt;=2024),
    _xlfn.XLOOKUP($AI45, Ensign!$A$2:$A$12, Ensign!$B$2:$B$12),
    _xlfn.XLOOKUP($AI45, 'Historic (IPEDS &amp; 2019 RTP)'!$A:$A, _xlfn.XLOOKUP(AN$1, 'Historic (IPEDS &amp; 2019 RTP)'!$A$1:$H$1, 'Historic (IPEDS &amp; 2019 RTP)'!$A:$H),
      IFERROR(_xlfn.XLOOKUP($AI45, 'USHE Historic'!$A$3:$A$13, _xlfn.XLOOKUP(AN$1, 'USHE Historic'!$A$2:$E$2, 'USHE Historic'!$A$3:$E$13)),
        _xlfn.IFS(
          AN$1="BYU", IFERROR(_xlfn.XLOOKUP($AI45, 'MAG College Enrollment Forecast'!$A:$A, 'MAG College Enrollment Forecast'!$B:$B), (AN$72-AN44)/($AI$72-$AI44)*($AI45-$AI44)+AN44),
          AN$1="UVU", IFERROR(_xlfn.XLOOKUP($AI45, 'MAG College Enrollment Forecast'!$A:$A, 'MAG College Enrollment Forecast'!$C:$C+'MAG College Enrollment Forecast'!$D:$D+'MAG College Enrollment Forecast'!$E:$E+'MAG College Enrollment Forecast'!$F:$F+'MAG College Enrollment Forecast'!$G:$G+'MAG College Enrollment Forecast'!$H:$H), (AN$72-AN44)/($AI$72-$AI44)*($AI45-$AI44)+AN44),
          TRUE, IFERROR(_xlfn.XLOOKUP($AI45, 'USHE Projections'!$A:$A, IFERROR(_xlfn.XLOOKUP(AN$1, 'USHE Projections'!$A$1:$E$1, 'USHE Projections'!$A:$E), "NONE"), (AN$72-AN44)/($AI$72-$AI44)*($AI45-$AI44)+AN44), (AN$72-AN44)/($AI$72-$AI44)*($AI45-$AI44)+AN44)
        )
      )
    )
  ), 0)</f>
        <v>37773</v>
      </c>
      <c r="AO45" s="104" cm="1">
        <f t="array" ref="AO45">ROUND(
  IF(AND(AO$1="Ensign", $AI45&gt;=2021, $AI45&lt;=2024),
    _xlfn.XLOOKUP($AI45, Ensign!$A$2:$A$12, Ensign!$B$2:$B$12),
    _xlfn.XLOOKUP($AI45, 'Historic (IPEDS &amp; 2019 RTP)'!$A:$A, _xlfn.XLOOKUP(AO$1, 'Historic (IPEDS &amp; 2019 RTP)'!$A$1:$H$1, 'Historic (IPEDS &amp; 2019 RTP)'!$A:$H),
      IFERROR(_xlfn.XLOOKUP($AI45, 'USHE Historic'!$A$3:$A$13, _xlfn.XLOOKUP(AO$1, 'USHE Historic'!$A$2:$E$2, 'USHE Historic'!$A$3:$E$13)),
        _xlfn.IFS(
          AO$1="BYU", IFERROR(_xlfn.XLOOKUP($AI45, 'MAG College Enrollment Forecast'!$A:$A, 'MAG College Enrollment Forecast'!$B:$B), (AO$72-AO44)/($AI$72-$AI44)*($AI45-$AI44)+AO44),
          AO$1="UVU", IFERROR(_xlfn.XLOOKUP($AI45, 'MAG College Enrollment Forecast'!$A:$A, 'MAG College Enrollment Forecast'!$C:$C+'MAG College Enrollment Forecast'!$D:$D+'MAG College Enrollment Forecast'!$E:$E+'MAG College Enrollment Forecast'!$F:$F+'MAG College Enrollment Forecast'!$G:$G+'MAG College Enrollment Forecast'!$H:$H), (AO$72-AO44)/($AI$72-$AI44)*($AI45-$AI44)+AO44),
          TRUE, IFERROR(_xlfn.XLOOKUP($AI45, 'USHE Projections'!$A:$A, IFERROR(_xlfn.XLOOKUP(AO$1, 'USHE Projections'!$A$1:$E$1, 'USHE Projections'!$A:$E), "NONE"), (AO$72-AO44)/($AI$72-$AI44)*($AI45-$AI44)+AO44), (AO$72-AO44)/($AI$72-$AI44)*($AI45-$AI44)+AO44)
        )
      )
    )
  ), 0)</f>
        <v>2252</v>
      </c>
      <c r="AP45" s="104" cm="1">
        <f t="array" ref="AP45">ROUND(
  IF(AND(AP$1="Ensign", $AI45&gt;=2021, $AI45&lt;=2024),
    _xlfn.XLOOKUP($AI45, Ensign!$A$2:$A$12, Ensign!$B$2:$B$12),
    _xlfn.XLOOKUP($AI45, 'Historic (IPEDS &amp; 2019 RTP)'!$A:$A, _xlfn.XLOOKUP(AP$1, 'Historic (IPEDS &amp; 2019 RTP)'!$A$1:$H$1, 'Historic (IPEDS &amp; 2019 RTP)'!$A:$H),
      IFERROR(_xlfn.XLOOKUP($AI45, 'USHE Historic'!$A$3:$A$13, _xlfn.XLOOKUP(AP$1, 'USHE Historic'!$A$2:$E$2, 'USHE Historic'!$A$3:$E$13)),
        _xlfn.IFS(
          AP$1="BYU", IFERROR(_xlfn.XLOOKUP($AI45, 'MAG College Enrollment Forecast'!$A:$A, 'MAG College Enrollment Forecast'!$B:$B), (AP$72-AP44)/($AI$72-$AI44)*($AI45-$AI44)+AP44),
          AP$1="UVU", IFERROR(_xlfn.XLOOKUP($AI45, 'MAG College Enrollment Forecast'!$A:$A, 'MAG College Enrollment Forecast'!$C:$C+'MAG College Enrollment Forecast'!$D:$D+'MAG College Enrollment Forecast'!$E:$E+'MAG College Enrollment Forecast'!$F:$F+'MAG College Enrollment Forecast'!$G:$G+'MAG College Enrollment Forecast'!$H:$H), (AP$72-AP44)/($AI$72-$AI44)*($AI45-$AI44)+AP44),
          TRUE, IFERROR(_xlfn.XLOOKUP($AI45, 'USHE Projections'!$A:$A, IFERROR(_xlfn.XLOOKUP(AP$1, 'USHE Projections'!$A$1:$E$1, 'USHE Projections'!$A:$E), "NONE"), (AP$72-AP44)/($AI$72-$AI44)*($AI45-$AI44)+AP44), (AP$72-AP44)/($AI$72-$AI44)*($AI45-$AI44)+AP44)
        )
      )
    )
  ), 0)</f>
        <v>1834</v>
      </c>
    </row>
    <row r="46" spans="35:44">
      <c r="AI46" s="3">
        <v>2034</v>
      </c>
      <c r="AJ46" s="104" cm="1">
        <f t="array" ref="AJ46">ROUND(
  IF(AND(AJ$1="Ensign", $AI46&gt;=2021, $AI46&lt;=2024),
    _xlfn.XLOOKUP($AI46, Ensign!$A$2:$A$12, Ensign!$B$2:$B$12),
    _xlfn.XLOOKUP($AI46, 'Historic (IPEDS &amp; 2019 RTP)'!$A:$A, _xlfn.XLOOKUP(AJ$1, 'Historic (IPEDS &amp; 2019 RTP)'!$A$1:$H$1, 'Historic (IPEDS &amp; 2019 RTP)'!$A:$H),
      IFERROR(_xlfn.XLOOKUP($AI46, 'USHE Historic'!$A$3:$A$13, _xlfn.XLOOKUP(AJ$1, 'USHE Historic'!$A$2:$E$2, 'USHE Historic'!$A$3:$E$13)),
        _xlfn.IFS(
          AJ$1="BYU", IFERROR(_xlfn.XLOOKUP($AI46, 'MAG College Enrollment Forecast'!$A:$A, 'MAG College Enrollment Forecast'!$B:$B), (AJ$72-AJ45)/($AI$72-$AI45)*($AI46-$AI45)+AJ45),
          AJ$1="UVU", IFERROR(_xlfn.XLOOKUP($AI46, 'MAG College Enrollment Forecast'!$A:$A, 'MAG College Enrollment Forecast'!$C:$C+'MAG College Enrollment Forecast'!$D:$D+'MAG College Enrollment Forecast'!$E:$E+'MAG College Enrollment Forecast'!$F:$F+'MAG College Enrollment Forecast'!$G:$G+'MAG College Enrollment Forecast'!$H:$H), (AJ$72-AJ45)/($AI$72-$AI45)*($AI46-$AI45)+AJ45),
          TRUE, IFERROR(_xlfn.XLOOKUP($AI46, 'USHE Projections'!$A:$A, IFERROR(_xlfn.XLOOKUP(AJ$1, 'USHE Projections'!$A$1:$E$1, 'USHE Projections'!$A:$E), "NONE"), (AJ$72-AJ45)/($AI$72-$AI45)*($AI46-$AI45)+AJ45), (AJ$72-AJ45)/($AI$72-$AI45)*($AI46-$AI45)+AJ45)
        )
      )
    )
  ), 0)</f>
        <v>39136</v>
      </c>
      <c r="AK46" s="104" cm="1">
        <f t="array" ref="AK46">ROUND(
  IF(AND(AK$1="Ensign", $AI46&gt;=2021, $AI46&lt;=2024),
    _xlfn.XLOOKUP($AI46, Ensign!$A$2:$A$12, Ensign!$B$2:$B$12),
    _xlfn.XLOOKUP($AI46, 'Historic (IPEDS &amp; 2019 RTP)'!$A:$A, _xlfn.XLOOKUP(AK$1, 'Historic (IPEDS &amp; 2019 RTP)'!$A$1:$H$1, 'Historic (IPEDS &amp; 2019 RTP)'!$A:$H),
      IFERROR(_xlfn.XLOOKUP($AI46, 'USHE Historic'!$A$3:$A$13, _xlfn.XLOOKUP(AK$1, 'USHE Historic'!$A$2:$E$2, 'USHE Historic'!$A$3:$E$13)),
        _xlfn.IFS(
          AK$1="BYU", IFERROR(_xlfn.XLOOKUP($AI46, 'MAG College Enrollment Forecast'!$A:$A, 'MAG College Enrollment Forecast'!$B:$B), (AK$72-AK45)/($AI$72-$AI45)*($AI46-$AI45)+AK45),
          AK$1="UVU", IFERROR(_xlfn.XLOOKUP($AI46, 'MAG College Enrollment Forecast'!$A:$A, 'MAG College Enrollment Forecast'!$C:$C+'MAG College Enrollment Forecast'!$D:$D+'MAG College Enrollment Forecast'!$E:$E+'MAG College Enrollment Forecast'!$F:$F+'MAG College Enrollment Forecast'!$G:$G+'MAG College Enrollment Forecast'!$H:$H), (AK$72-AK45)/($AI$72-$AI45)*($AI46-$AI45)+AK45),
          TRUE, IFERROR(_xlfn.XLOOKUP($AI46, 'USHE Projections'!$A:$A, IFERROR(_xlfn.XLOOKUP(AK$1, 'USHE Projections'!$A$1:$E$1, 'USHE Projections'!$A:$E), "NONE"), (AK$72-AK45)/($AI$72-$AI45)*($AI46-$AI45)+AK45), (AK$72-AK45)/($AI$72-$AI45)*($AI46-$AI45)+AK45)
        )
      )
    )
  ), 0)</f>
        <v>35871</v>
      </c>
      <c r="AL46" s="35" cm="1">
        <f t="array" ref="AL46">ROUND(
  IF(AND(AL$1="Ensign", $AI46&gt;=2021, $AI46&lt;=2024),
    _xlfn.XLOOKUP($AI46, Ensign!$A$2:$A$12, Ensign!$B$2:$B$12),
    _xlfn.XLOOKUP($AI46, 'Historic (IPEDS &amp; 2019 RTP)'!$A:$A, _xlfn.XLOOKUP(AL$1, 'Historic (IPEDS &amp; 2019 RTP)'!$A$1:$H$1, 'Historic (IPEDS &amp; 2019 RTP)'!$A:$H),
      IFERROR(_xlfn.XLOOKUP($AI46, 'USHE Historic'!$A$3:$A$13, _xlfn.XLOOKUP(AL$1, 'USHE Historic'!$A$2:$E$2, 'USHE Historic'!$A$3:$E$13)),
        _xlfn.IFS(
          AL$1="BYU", IFERROR(_xlfn.XLOOKUP($AI46, 'MAG College Enrollment Forecast'!$A:$A, 'MAG College Enrollment Forecast'!$B:$B), (AL$72-AL45)/($AI$72-$AI45)*($AI46-$AI45)+AL45),
          AL$1="UVU", IFERROR(_xlfn.XLOOKUP($AI46, 'MAG College Enrollment Forecast'!$A:$A, 'MAG College Enrollment Forecast'!$C:$C+'MAG College Enrollment Forecast'!$D:$D+'MAG College Enrollment Forecast'!$E:$E+'MAG College Enrollment Forecast'!$F:$F+'MAG College Enrollment Forecast'!$G:$G+'MAG College Enrollment Forecast'!$H:$H), (AL$72-AL45)/($AI$72-$AI45)*($AI46-$AI45)+AL45),
          TRUE, IFERROR(_xlfn.XLOOKUP($AI46, 'USHE Projections'!$A:$A, IFERROR(_xlfn.XLOOKUP(AL$1, 'USHE Projections'!$A$1:$E$1, 'USHE Projections'!$A:$E), "NONE"), (AL$72-AL45)/($AI$72-$AI45)*($AI46-$AI45)+AL45), (AL$72-AL45)/($AI$72-$AI45)*($AI46-$AI45)+AL45)
        )
      )
    )
  ), 0)</f>
        <v>58691</v>
      </c>
      <c r="AM46" s="104" cm="1">
        <f t="array" ref="AM46">ROUND(
  IF(AND(AM$1="Ensign", $AI46&gt;=2021, $AI46&lt;=2024),
    _xlfn.XLOOKUP($AI46, Ensign!$A$2:$A$12, Ensign!$B$2:$B$12),
    _xlfn.XLOOKUP($AI46, 'Historic (IPEDS &amp; 2019 RTP)'!$A:$A, _xlfn.XLOOKUP(AM$1, 'Historic (IPEDS &amp; 2019 RTP)'!$A$1:$H$1, 'Historic (IPEDS &amp; 2019 RTP)'!$A:$H),
      IFERROR(_xlfn.XLOOKUP($AI46, 'USHE Historic'!$A$3:$A$13, _xlfn.XLOOKUP(AM$1, 'USHE Historic'!$A$2:$E$2, 'USHE Historic'!$A$3:$E$13)),
        _xlfn.IFS(
          AM$1="BYU", IFERROR(_xlfn.XLOOKUP($AI46, 'MAG College Enrollment Forecast'!$A:$A, 'MAG College Enrollment Forecast'!$B:$B), (AM$72-AM45)/($AI$72-$AI45)*($AI46-$AI45)+AM45),
          AM$1="UVU", IFERROR(_xlfn.XLOOKUP($AI46, 'MAG College Enrollment Forecast'!$A:$A, 'MAG College Enrollment Forecast'!$C:$C+'MAG College Enrollment Forecast'!$D:$D+'MAG College Enrollment Forecast'!$E:$E+'MAG College Enrollment Forecast'!$F:$F+'MAG College Enrollment Forecast'!$G:$G+'MAG College Enrollment Forecast'!$H:$H), (AM$72-AM45)/($AI$72-$AI45)*($AI46-$AI45)+AM45),
          TRUE, IFERROR(_xlfn.XLOOKUP($AI46, 'USHE Projections'!$A:$A, IFERROR(_xlfn.XLOOKUP(AM$1, 'USHE Projections'!$A$1:$E$1, 'USHE Projections'!$A:$E), "NONE"), (AM$72-AM45)/($AI$72-$AI45)*($AI46-$AI45)+AM45), (AM$72-AM45)/($AI$72-$AI45)*($AI46-$AI45)+AM45)
        )
      )
    )
  ), 0)</f>
        <v>34241</v>
      </c>
      <c r="AN46" s="35" cm="1">
        <f t="array" ref="AN46">ROUND(
  IF(AND(AN$1="Ensign", $AI46&gt;=2021, $AI46&lt;=2024),
    _xlfn.XLOOKUP($AI46, Ensign!$A$2:$A$12, Ensign!$B$2:$B$12),
    _xlfn.XLOOKUP($AI46, 'Historic (IPEDS &amp; 2019 RTP)'!$A:$A, _xlfn.XLOOKUP(AN$1, 'Historic (IPEDS &amp; 2019 RTP)'!$A$1:$H$1, 'Historic (IPEDS &amp; 2019 RTP)'!$A:$H),
      IFERROR(_xlfn.XLOOKUP($AI46, 'USHE Historic'!$A$3:$A$13, _xlfn.XLOOKUP(AN$1, 'USHE Historic'!$A$2:$E$2, 'USHE Historic'!$A$3:$E$13)),
        _xlfn.IFS(
          AN$1="BYU", IFERROR(_xlfn.XLOOKUP($AI46, 'MAG College Enrollment Forecast'!$A:$A, 'MAG College Enrollment Forecast'!$B:$B), (AN$72-AN45)/($AI$72-$AI45)*($AI46-$AI45)+AN45),
          AN$1="UVU", IFERROR(_xlfn.XLOOKUP($AI46, 'MAG College Enrollment Forecast'!$A:$A, 'MAG College Enrollment Forecast'!$C:$C+'MAG College Enrollment Forecast'!$D:$D+'MAG College Enrollment Forecast'!$E:$E+'MAG College Enrollment Forecast'!$F:$F+'MAG College Enrollment Forecast'!$G:$G+'MAG College Enrollment Forecast'!$H:$H), (AN$72-AN45)/($AI$72-$AI45)*($AI46-$AI45)+AN45),
          TRUE, IFERROR(_xlfn.XLOOKUP($AI46, 'USHE Projections'!$A:$A, IFERROR(_xlfn.XLOOKUP(AN$1, 'USHE Projections'!$A$1:$E$1, 'USHE Projections'!$A:$E), "NONE"), (AN$72-AN45)/($AI$72-$AI45)*($AI46-$AI45)+AN45), (AN$72-AN45)/($AI$72-$AI45)*($AI46-$AI45)+AN45)
        )
      )
    )
  ), 0)</f>
        <v>37810</v>
      </c>
      <c r="AO46" s="104" cm="1">
        <f t="array" ref="AO46">ROUND(
  IF(AND(AO$1="Ensign", $AI46&gt;=2021, $AI46&lt;=2024),
    _xlfn.XLOOKUP($AI46, Ensign!$A$2:$A$12, Ensign!$B$2:$B$12),
    _xlfn.XLOOKUP($AI46, 'Historic (IPEDS &amp; 2019 RTP)'!$A:$A, _xlfn.XLOOKUP(AO$1, 'Historic (IPEDS &amp; 2019 RTP)'!$A$1:$H$1, 'Historic (IPEDS &amp; 2019 RTP)'!$A:$H),
      IFERROR(_xlfn.XLOOKUP($AI46, 'USHE Historic'!$A$3:$A$13, _xlfn.XLOOKUP(AO$1, 'USHE Historic'!$A$2:$E$2, 'USHE Historic'!$A$3:$E$13)),
        _xlfn.IFS(
          AO$1="BYU", IFERROR(_xlfn.XLOOKUP($AI46, 'MAG College Enrollment Forecast'!$A:$A, 'MAG College Enrollment Forecast'!$B:$B), (AO$72-AO45)/($AI$72-$AI45)*($AI46-$AI45)+AO45),
          AO$1="UVU", IFERROR(_xlfn.XLOOKUP($AI46, 'MAG College Enrollment Forecast'!$A:$A, 'MAG College Enrollment Forecast'!$C:$C+'MAG College Enrollment Forecast'!$D:$D+'MAG College Enrollment Forecast'!$E:$E+'MAG College Enrollment Forecast'!$F:$F+'MAG College Enrollment Forecast'!$G:$G+'MAG College Enrollment Forecast'!$H:$H), (AO$72-AO45)/($AI$72-$AI45)*($AI46-$AI45)+AO45),
          TRUE, IFERROR(_xlfn.XLOOKUP($AI46, 'USHE Projections'!$A:$A, IFERROR(_xlfn.XLOOKUP(AO$1, 'USHE Projections'!$A$1:$E$1, 'USHE Projections'!$A:$E), "NONE"), (AO$72-AO45)/($AI$72-$AI45)*($AI46-$AI45)+AO45), (AO$72-AO45)/($AI$72-$AI45)*($AI46-$AI45)+AO45)
        )
      )
    )
  ), 0)</f>
        <v>2287</v>
      </c>
      <c r="AP46" s="104" cm="1">
        <f t="array" ref="AP46">ROUND(
  IF(AND(AP$1="Ensign", $AI46&gt;=2021, $AI46&lt;=2024),
    _xlfn.XLOOKUP($AI46, Ensign!$A$2:$A$12, Ensign!$B$2:$B$12),
    _xlfn.XLOOKUP($AI46, 'Historic (IPEDS &amp; 2019 RTP)'!$A:$A, _xlfn.XLOOKUP(AP$1, 'Historic (IPEDS &amp; 2019 RTP)'!$A$1:$H$1, 'Historic (IPEDS &amp; 2019 RTP)'!$A:$H),
      IFERROR(_xlfn.XLOOKUP($AI46, 'USHE Historic'!$A$3:$A$13, _xlfn.XLOOKUP(AP$1, 'USHE Historic'!$A$2:$E$2, 'USHE Historic'!$A$3:$E$13)),
        _xlfn.IFS(
          AP$1="BYU", IFERROR(_xlfn.XLOOKUP($AI46, 'MAG College Enrollment Forecast'!$A:$A, 'MAG College Enrollment Forecast'!$B:$B), (AP$72-AP45)/($AI$72-$AI45)*($AI46-$AI45)+AP45),
          AP$1="UVU", IFERROR(_xlfn.XLOOKUP($AI46, 'MAG College Enrollment Forecast'!$A:$A, 'MAG College Enrollment Forecast'!$C:$C+'MAG College Enrollment Forecast'!$D:$D+'MAG College Enrollment Forecast'!$E:$E+'MAG College Enrollment Forecast'!$F:$F+'MAG College Enrollment Forecast'!$G:$G+'MAG College Enrollment Forecast'!$H:$H), (AP$72-AP45)/($AI$72-$AI45)*($AI46-$AI45)+AP45),
          TRUE, IFERROR(_xlfn.XLOOKUP($AI46, 'USHE Projections'!$A:$A, IFERROR(_xlfn.XLOOKUP(AP$1, 'USHE Projections'!$A$1:$E$1, 'USHE Projections'!$A:$E), "NONE"), (AP$72-AP45)/($AI$72-$AI45)*($AI46-$AI45)+AP45), (AP$72-AP45)/($AI$72-$AI45)*($AI46-$AI45)+AP45)
        )
      )
    )
  ), 0)</f>
        <v>1896</v>
      </c>
    </row>
    <row r="47" spans="35:44">
      <c r="AI47" s="3">
        <v>2035</v>
      </c>
      <c r="AJ47" s="104" cm="1">
        <f t="array" ref="AJ47">ROUND(
  IF(AND(AJ$1="Ensign", $AI47&gt;=2021, $AI47&lt;=2024),
    _xlfn.XLOOKUP($AI47, Ensign!$A$2:$A$12, Ensign!$B$2:$B$12),
    _xlfn.XLOOKUP($AI47, 'Historic (IPEDS &amp; 2019 RTP)'!$A:$A, _xlfn.XLOOKUP(AJ$1, 'Historic (IPEDS &amp; 2019 RTP)'!$A$1:$H$1, 'Historic (IPEDS &amp; 2019 RTP)'!$A:$H),
      IFERROR(_xlfn.XLOOKUP($AI47, 'USHE Historic'!$A$3:$A$13, _xlfn.XLOOKUP(AJ$1, 'USHE Historic'!$A$2:$E$2, 'USHE Historic'!$A$3:$E$13)),
        _xlfn.IFS(
          AJ$1="BYU", IFERROR(_xlfn.XLOOKUP($AI47, 'MAG College Enrollment Forecast'!$A:$A, 'MAG College Enrollment Forecast'!$B:$B), (AJ$72-AJ46)/($AI$72-$AI46)*($AI47-$AI46)+AJ46),
          AJ$1="UVU", IFERROR(_xlfn.XLOOKUP($AI47, 'MAG College Enrollment Forecast'!$A:$A, 'MAG College Enrollment Forecast'!$C:$C+'MAG College Enrollment Forecast'!$D:$D+'MAG College Enrollment Forecast'!$E:$E+'MAG College Enrollment Forecast'!$F:$F+'MAG College Enrollment Forecast'!$G:$G+'MAG College Enrollment Forecast'!$H:$H), (AJ$72-AJ46)/($AI$72-$AI46)*($AI47-$AI46)+AJ46),
          TRUE, IFERROR(_xlfn.XLOOKUP($AI47, 'USHE Projections'!$A:$A, IFERROR(_xlfn.XLOOKUP(AJ$1, 'USHE Projections'!$A$1:$E$1, 'USHE Projections'!$A:$E), "NONE"), (AJ$72-AJ46)/($AI$72-$AI46)*($AI47-$AI46)+AJ46), (AJ$72-AJ46)/($AI$72-$AI46)*($AI47-$AI46)+AJ46)
        )
      )
    )
  ), 0)</f>
        <v>39438</v>
      </c>
      <c r="AK47" s="104" cm="1">
        <f t="array" ref="AK47">ROUND(
  IF(AND(AK$1="Ensign", $AI47&gt;=2021, $AI47&lt;=2024),
    _xlfn.XLOOKUP($AI47, Ensign!$A$2:$A$12, Ensign!$B$2:$B$12),
    _xlfn.XLOOKUP($AI47, 'Historic (IPEDS &amp; 2019 RTP)'!$A:$A, _xlfn.XLOOKUP(AK$1, 'Historic (IPEDS &amp; 2019 RTP)'!$A$1:$H$1, 'Historic (IPEDS &amp; 2019 RTP)'!$A:$H),
      IFERROR(_xlfn.XLOOKUP($AI47, 'USHE Historic'!$A$3:$A$13, _xlfn.XLOOKUP(AK$1, 'USHE Historic'!$A$2:$E$2, 'USHE Historic'!$A$3:$E$13)),
        _xlfn.IFS(
          AK$1="BYU", IFERROR(_xlfn.XLOOKUP($AI47, 'MAG College Enrollment Forecast'!$A:$A, 'MAG College Enrollment Forecast'!$B:$B), (AK$72-AK46)/($AI$72-$AI46)*($AI47-$AI46)+AK46),
          AK$1="UVU", IFERROR(_xlfn.XLOOKUP($AI47, 'MAG College Enrollment Forecast'!$A:$A, 'MAG College Enrollment Forecast'!$C:$C+'MAG College Enrollment Forecast'!$D:$D+'MAG College Enrollment Forecast'!$E:$E+'MAG College Enrollment Forecast'!$F:$F+'MAG College Enrollment Forecast'!$G:$G+'MAG College Enrollment Forecast'!$H:$H), (AK$72-AK46)/($AI$72-$AI46)*($AI47-$AI46)+AK46),
          TRUE, IFERROR(_xlfn.XLOOKUP($AI47, 'USHE Projections'!$A:$A, IFERROR(_xlfn.XLOOKUP(AK$1, 'USHE Projections'!$A$1:$E$1, 'USHE Projections'!$A:$E), "NONE"), (AK$72-AK46)/($AI$72-$AI46)*($AI47-$AI46)+AK46), (AK$72-AK46)/($AI$72-$AI46)*($AI47-$AI46)+AK46)
        )
      )
    )
  ), 0)</f>
        <v>36338</v>
      </c>
      <c r="AL47" s="35" cm="1">
        <f t="array" ref="AL47">ROUND(
  IF(AND(AL$1="Ensign", $AI47&gt;=2021, $AI47&lt;=2024),
    _xlfn.XLOOKUP($AI47, Ensign!$A$2:$A$12, Ensign!$B$2:$B$12),
    _xlfn.XLOOKUP($AI47, 'Historic (IPEDS &amp; 2019 RTP)'!$A:$A, _xlfn.XLOOKUP(AL$1, 'Historic (IPEDS &amp; 2019 RTP)'!$A$1:$H$1, 'Historic (IPEDS &amp; 2019 RTP)'!$A:$H),
      IFERROR(_xlfn.XLOOKUP($AI47, 'USHE Historic'!$A$3:$A$13, _xlfn.XLOOKUP(AL$1, 'USHE Historic'!$A$2:$E$2, 'USHE Historic'!$A$3:$E$13)),
        _xlfn.IFS(
          AL$1="BYU", IFERROR(_xlfn.XLOOKUP($AI47, 'MAG College Enrollment Forecast'!$A:$A, 'MAG College Enrollment Forecast'!$B:$B), (AL$72-AL46)/($AI$72-$AI46)*($AI47-$AI46)+AL46),
          AL$1="UVU", IFERROR(_xlfn.XLOOKUP($AI47, 'MAG College Enrollment Forecast'!$A:$A, 'MAG College Enrollment Forecast'!$C:$C+'MAG College Enrollment Forecast'!$D:$D+'MAG College Enrollment Forecast'!$E:$E+'MAG College Enrollment Forecast'!$F:$F+'MAG College Enrollment Forecast'!$G:$G+'MAG College Enrollment Forecast'!$H:$H), (AL$72-AL46)/($AI$72-$AI46)*($AI47-$AI46)+AL46),
          TRUE, IFERROR(_xlfn.XLOOKUP($AI47, 'USHE Projections'!$A:$A, IFERROR(_xlfn.XLOOKUP(AL$1, 'USHE Projections'!$A$1:$E$1, 'USHE Projections'!$A:$E), "NONE"), (AL$72-AL46)/($AI$72-$AI46)*($AI47-$AI46)+AL46), (AL$72-AL46)/($AI$72-$AI46)*($AI47-$AI46)+AL46)
        )
      )
    )
  ), 0)</f>
        <v>59925</v>
      </c>
      <c r="AM47" s="104" cm="1">
        <f t="array" ref="AM47">ROUND(
  IF(AND(AM$1="Ensign", $AI47&gt;=2021, $AI47&lt;=2024),
    _xlfn.XLOOKUP($AI47, Ensign!$A$2:$A$12, Ensign!$B$2:$B$12),
    _xlfn.XLOOKUP($AI47, 'Historic (IPEDS &amp; 2019 RTP)'!$A:$A, _xlfn.XLOOKUP(AM$1, 'Historic (IPEDS &amp; 2019 RTP)'!$A$1:$H$1, 'Historic (IPEDS &amp; 2019 RTP)'!$A:$H),
      IFERROR(_xlfn.XLOOKUP($AI47, 'USHE Historic'!$A$3:$A$13, _xlfn.XLOOKUP(AM$1, 'USHE Historic'!$A$2:$E$2, 'USHE Historic'!$A$3:$E$13)),
        _xlfn.IFS(
          AM$1="BYU", IFERROR(_xlfn.XLOOKUP($AI47, 'MAG College Enrollment Forecast'!$A:$A, 'MAG College Enrollment Forecast'!$B:$B), (AM$72-AM46)/($AI$72-$AI46)*($AI47-$AI46)+AM46),
          AM$1="UVU", IFERROR(_xlfn.XLOOKUP($AI47, 'MAG College Enrollment Forecast'!$A:$A, 'MAG College Enrollment Forecast'!$C:$C+'MAG College Enrollment Forecast'!$D:$D+'MAG College Enrollment Forecast'!$E:$E+'MAG College Enrollment Forecast'!$F:$F+'MAG College Enrollment Forecast'!$G:$G+'MAG College Enrollment Forecast'!$H:$H), (AM$72-AM46)/($AI$72-$AI46)*($AI47-$AI46)+AM46),
          TRUE, IFERROR(_xlfn.XLOOKUP($AI47, 'USHE Projections'!$A:$A, IFERROR(_xlfn.XLOOKUP(AM$1, 'USHE Projections'!$A$1:$E$1, 'USHE Projections'!$A:$E), "NONE"), (AM$72-AM46)/($AI$72-$AI46)*($AI47-$AI46)+AM46), (AM$72-AM46)/($AI$72-$AI46)*($AI47-$AI46)+AM46)
        )
      )
    )
  ), 0)</f>
        <v>34578</v>
      </c>
      <c r="AN47" s="35" cm="1">
        <f t="array" ref="AN47">ROUND(
  IF(AND(AN$1="Ensign", $AI47&gt;=2021, $AI47&lt;=2024),
    _xlfn.XLOOKUP($AI47, Ensign!$A$2:$A$12, Ensign!$B$2:$B$12),
    _xlfn.XLOOKUP($AI47, 'Historic (IPEDS &amp; 2019 RTP)'!$A:$A, _xlfn.XLOOKUP(AN$1, 'Historic (IPEDS &amp; 2019 RTP)'!$A$1:$H$1, 'Historic (IPEDS &amp; 2019 RTP)'!$A:$H),
      IFERROR(_xlfn.XLOOKUP($AI47, 'USHE Historic'!$A$3:$A$13, _xlfn.XLOOKUP(AN$1, 'USHE Historic'!$A$2:$E$2, 'USHE Historic'!$A$3:$E$13)),
        _xlfn.IFS(
          AN$1="BYU", IFERROR(_xlfn.XLOOKUP($AI47, 'MAG College Enrollment Forecast'!$A:$A, 'MAG College Enrollment Forecast'!$B:$B), (AN$72-AN46)/($AI$72-$AI46)*($AI47-$AI46)+AN46),
          AN$1="UVU", IFERROR(_xlfn.XLOOKUP($AI47, 'MAG College Enrollment Forecast'!$A:$A, 'MAG College Enrollment Forecast'!$C:$C+'MAG College Enrollment Forecast'!$D:$D+'MAG College Enrollment Forecast'!$E:$E+'MAG College Enrollment Forecast'!$F:$F+'MAG College Enrollment Forecast'!$G:$G+'MAG College Enrollment Forecast'!$H:$H), (AN$72-AN46)/($AI$72-$AI46)*($AI47-$AI46)+AN46),
          TRUE, IFERROR(_xlfn.XLOOKUP($AI47, 'USHE Projections'!$A:$A, IFERROR(_xlfn.XLOOKUP(AN$1, 'USHE Projections'!$A$1:$E$1, 'USHE Projections'!$A:$E), "NONE"), (AN$72-AN46)/($AI$72-$AI46)*($AI47-$AI46)+AN46), (AN$72-AN46)/($AI$72-$AI46)*($AI47-$AI46)+AN46)
        )
      )
    )
  ), 0)</f>
        <v>37847</v>
      </c>
      <c r="AO47" s="104" cm="1">
        <f t="array" ref="AO47">ROUND(
  IF(AND(AO$1="Ensign", $AI47&gt;=2021, $AI47&lt;=2024),
    _xlfn.XLOOKUP($AI47, Ensign!$A$2:$A$12, Ensign!$B$2:$B$12),
    _xlfn.XLOOKUP($AI47, 'Historic (IPEDS &amp; 2019 RTP)'!$A:$A, _xlfn.XLOOKUP(AO$1, 'Historic (IPEDS &amp; 2019 RTP)'!$A$1:$H$1, 'Historic (IPEDS &amp; 2019 RTP)'!$A:$H),
      IFERROR(_xlfn.XLOOKUP($AI47, 'USHE Historic'!$A$3:$A$13, _xlfn.XLOOKUP(AO$1, 'USHE Historic'!$A$2:$E$2, 'USHE Historic'!$A$3:$E$13)),
        _xlfn.IFS(
          AO$1="BYU", IFERROR(_xlfn.XLOOKUP($AI47, 'MAG College Enrollment Forecast'!$A:$A, 'MAG College Enrollment Forecast'!$B:$B), (AO$72-AO46)/($AI$72-$AI46)*($AI47-$AI46)+AO46),
          AO$1="UVU", IFERROR(_xlfn.XLOOKUP($AI47, 'MAG College Enrollment Forecast'!$A:$A, 'MAG College Enrollment Forecast'!$C:$C+'MAG College Enrollment Forecast'!$D:$D+'MAG College Enrollment Forecast'!$E:$E+'MAG College Enrollment Forecast'!$F:$F+'MAG College Enrollment Forecast'!$G:$G+'MAG College Enrollment Forecast'!$H:$H), (AO$72-AO46)/($AI$72-$AI46)*($AI47-$AI46)+AO46),
          TRUE, IFERROR(_xlfn.XLOOKUP($AI47, 'USHE Projections'!$A:$A, IFERROR(_xlfn.XLOOKUP(AO$1, 'USHE Projections'!$A$1:$E$1, 'USHE Projections'!$A:$E), "NONE"), (AO$72-AO46)/($AI$72-$AI46)*($AI47-$AI46)+AO46), (AO$72-AO46)/($AI$72-$AI46)*($AI47-$AI46)+AO46)
        )
      )
    )
  ), 0)</f>
        <v>2322</v>
      </c>
      <c r="AP47" s="104" cm="1">
        <f t="array" ref="AP47">ROUND(
  IF(AND(AP$1="Ensign", $AI47&gt;=2021, $AI47&lt;=2024),
    _xlfn.XLOOKUP($AI47, Ensign!$A$2:$A$12, Ensign!$B$2:$B$12),
    _xlfn.XLOOKUP($AI47, 'Historic (IPEDS &amp; 2019 RTP)'!$A:$A, _xlfn.XLOOKUP(AP$1, 'Historic (IPEDS &amp; 2019 RTP)'!$A$1:$H$1, 'Historic (IPEDS &amp; 2019 RTP)'!$A:$H),
      IFERROR(_xlfn.XLOOKUP($AI47, 'USHE Historic'!$A$3:$A$13, _xlfn.XLOOKUP(AP$1, 'USHE Historic'!$A$2:$E$2, 'USHE Historic'!$A$3:$E$13)),
        _xlfn.IFS(
          AP$1="BYU", IFERROR(_xlfn.XLOOKUP($AI47, 'MAG College Enrollment Forecast'!$A:$A, 'MAG College Enrollment Forecast'!$B:$B), (AP$72-AP46)/($AI$72-$AI46)*($AI47-$AI46)+AP46),
          AP$1="UVU", IFERROR(_xlfn.XLOOKUP($AI47, 'MAG College Enrollment Forecast'!$A:$A, 'MAG College Enrollment Forecast'!$C:$C+'MAG College Enrollment Forecast'!$D:$D+'MAG College Enrollment Forecast'!$E:$E+'MAG College Enrollment Forecast'!$F:$F+'MAG College Enrollment Forecast'!$G:$G+'MAG College Enrollment Forecast'!$H:$H), (AP$72-AP46)/($AI$72-$AI46)*($AI47-$AI46)+AP46),
          TRUE, IFERROR(_xlfn.XLOOKUP($AI47, 'USHE Projections'!$A:$A, IFERROR(_xlfn.XLOOKUP(AP$1, 'USHE Projections'!$A$1:$E$1, 'USHE Projections'!$A:$E), "NONE"), (AP$72-AP46)/($AI$72-$AI46)*($AI47-$AI46)+AP46), (AP$72-AP46)/($AI$72-$AI46)*($AI47-$AI46)+AP46)
        )
      )
    )
  ), 0)</f>
        <v>1958</v>
      </c>
    </row>
    <row r="48" spans="35:44">
      <c r="AI48" s="3">
        <v>2036</v>
      </c>
      <c r="AJ48" s="104" cm="1">
        <f t="array" ref="AJ48">ROUND(
  IF(AND(AJ$1="Ensign", $AI48&gt;=2021, $AI48&lt;=2024),
    _xlfn.XLOOKUP($AI48, Ensign!$A$2:$A$12, Ensign!$B$2:$B$12),
    _xlfn.XLOOKUP($AI48, 'Historic (IPEDS &amp; 2019 RTP)'!$A:$A, _xlfn.XLOOKUP(AJ$1, 'Historic (IPEDS &amp; 2019 RTP)'!$A$1:$H$1, 'Historic (IPEDS &amp; 2019 RTP)'!$A:$H),
      IFERROR(_xlfn.XLOOKUP($AI48, 'USHE Historic'!$A$3:$A$13, _xlfn.XLOOKUP(AJ$1, 'USHE Historic'!$A$2:$E$2, 'USHE Historic'!$A$3:$E$13)),
        _xlfn.IFS(
          AJ$1="BYU", IFERROR(_xlfn.XLOOKUP($AI48, 'MAG College Enrollment Forecast'!$A:$A, 'MAG College Enrollment Forecast'!$B:$B), (AJ$72-AJ47)/($AI$72-$AI47)*($AI48-$AI47)+AJ47),
          AJ$1="UVU", IFERROR(_xlfn.XLOOKUP($AI48, 'MAG College Enrollment Forecast'!$A:$A, 'MAG College Enrollment Forecast'!$C:$C+'MAG College Enrollment Forecast'!$D:$D+'MAG College Enrollment Forecast'!$E:$E+'MAG College Enrollment Forecast'!$F:$F+'MAG College Enrollment Forecast'!$G:$G+'MAG College Enrollment Forecast'!$H:$H), (AJ$72-AJ47)/($AI$72-$AI47)*($AI48-$AI47)+AJ47),
          TRUE, IFERROR(_xlfn.XLOOKUP($AI48, 'USHE Projections'!$A:$A, IFERROR(_xlfn.XLOOKUP(AJ$1, 'USHE Projections'!$A$1:$E$1, 'USHE Projections'!$A:$E), "NONE"), (AJ$72-AJ47)/($AI$72-$AI47)*($AI48-$AI47)+AJ47), (AJ$72-AJ47)/($AI$72-$AI47)*($AI48-$AI47)+AJ47)
        )
      )
    )
  ), 0)</f>
        <v>39740</v>
      </c>
      <c r="AK48" s="104" cm="1">
        <f t="array" ref="AK48">ROUND(
  IF(AND(AK$1="Ensign", $AI48&gt;=2021, $AI48&lt;=2024),
    _xlfn.XLOOKUP($AI48, Ensign!$A$2:$A$12, Ensign!$B$2:$B$12),
    _xlfn.XLOOKUP($AI48, 'Historic (IPEDS &amp; 2019 RTP)'!$A:$A, _xlfn.XLOOKUP(AK$1, 'Historic (IPEDS &amp; 2019 RTP)'!$A$1:$H$1, 'Historic (IPEDS &amp; 2019 RTP)'!$A:$H),
      IFERROR(_xlfn.XLOOKUP($AI48, 'USHE Historic'!$A$3:$A$13, _xlfn.XLOOKUP(AK$1, 'USHE Historic'!$A$2:$E$2, 'USHE Historic'!$A$3:$E$13)),
        _xlfn.IFS(
          AK$1="BYU", IFERROR(_xlfn.XLOOKUP($AI48, 'MAG College Enrollment Forecast'!$A:$A, 'MAG College Enrollment Forecast'!$B:$B), (AK$72-AK47)/($AI$72-$AI47)*($AI48-$AI47)+AK47),
          AK$1="UVU", IFERROR(_xlfn.XLOOKUP($AI48, 'MAG College Enrollment Forecast'!$A:$A, 'MAG College Enrollment Forecast'!$C:$C+'MAG College Enrollment Forecast'!$D:$D+'MAG College Enrollment Forecast'!$E:$E+'MAG College Enrollment Forecast'!$F:$F+'MAG College Enrollment Forecast'!$G:$G+'MAG College Enrollment Forecast'!$H:$H), (AK$72-AK47)/($AI$72-$AI47)*($AI48-$AI47)+AK47),
          TRUE, IFERROR(_xlfn.XLOOKUP($AI48, 'USHE Projections'!$A:$A, IFERROR(_xlfn.XLOOKUP(AK$1, 'USHE Projections'!$A$1:$E$1, 'USHE Projections'!$A:$E), "NONE"), (AK$72-AK47)/($AI$72-$AI47)*($AI48-$AI47)+AK47), (AK$72-AK47)/($AI$72-$AI47)*($AI48-$AI47)+AK47)
        )
      )
    )
  ), 0)</f>
        <v>36804</v>
      </c>
      <c r="AL48" s="35" cm="1">
        <f t="array" ref="AL48">ROUND(
  IF(AND(AL$1="Ensign", $AI48&gt;=2021, $AI48&lt;=2024),
    _xlfn.XLOOKUP($AI48, Ensign!$A$2:$A$12, Ensign!$B$2:$B$12),
    _xlfn.XLOOKUP($AI48, 'Historic (IPEDS &amp; 2019 RTP)'!$A:$A, _xlfn.XLOOKUP(AL$1, 'Historic (IPEDS &amp; 2019 RTP)'!$A$1:$H$1, 'Historic (IPEDS &amp; 2019 RTP)'!$A:$H),
      IFERROR(_xlfn.XLOOKUP($AI48, 'USHE Historic'!$A$3:$A$13, _xlfn.XLOOKUP(AL$1, 'USHE Historic'!$A$2:$E$2, 'USHE Historic'!$A$3:$E$13)),
        _xlfn.IFS(
          AL$1="BYU", IFERROR(_xlfn.XLOOKUP($AI48, 'MAG College Enrollment Forecast'!$A:$A, 'MAG College Enrollment Forecast'!$B:$B), (AL$72-AL47)/($AI$72-$AI47)*($AI48-$AI47)+AL47),
          AL$1="UVU", IFERROR(_xlfn.XLOOKUP($AI48, 'MAG College Enrollment Forecast'!$A:$A, 'MAG College Enrollment Forecast'!$C:$C+'MAG College Enrollment Forecast'!$D:$D+'MAG College Enrollment Forecast'!$E:$E+'MAG College Enrollment Forecast'!$F:$F+'MAG College Enrollment Forecast'!$G:$G+'MAG College Enrollment Forecast'!$H:$H), (AL$72-AL47)/($AI$72-$AI47)*($AI48-$AI47)+AL47),
          TRUE, IFERROR(_xlfn.XLOOKUP($AI48, 'USHE Projections'!$A:$A, IFERROR(_xlfn.XLOOKUP(AL$1, 'USHE Projections'!$A$1:$E$1, 'USHE Projections'!$A:$E), "NONE"), (AL$72-AL47)/($AI$72-$AI47)*($AI48-$AI47)+AL47), (AL$72-AL47)/($AI$72-$AI47)*($AI48-$AI47)+AL47)
        )
      )
    )
  ), 0)</f>
        <v>61158</v>
      </c>
      <c r="AM48" s="104" cm="1">
        <f t="array" ref="AM48">ROUND(
  IF(AND(AM$1="Ensign", $AI48&gt;=2021, $AI48&lt;=2024),
    _xlfn.XLOOKUP($AI48, Ensign!$A$2:$A$12, Ensign!$B$2:$B$12),
    _xlfn.XLOOKUP($AI48, 'Historic (IPEDS &amp; 2019 RTP)'!$A:$A, _xlfn.XLOOKUP(AM$1, 'Historic (IPEDS &amp; 2019 RTP)'!$A$1:$H$1, 'Historic (IPEDS &amp; 2019 RTP)'!$A:$H),
      IFERROR(_xlfn.XLOOKUP($AI48, 'USHE Historic'!$A$3:$A$13, _xlfn.XLOOKUP(AM$1, 'USHE Historic'!$A$2:$E$2, 'USHE Historic'!$A$3:$E$13)),
        _xlfn.IFS(
          AM$1="BYU", IFERROR(_xlfn.XLOOKUP($AI48, 'MAG College Enrollment Forecast'!$A:$A, 'MAG College Enrollment Forecast'!$B:$B), (AM$72-AM47)/($AI$72-$AI47)*($AI48-$AI47)+AM47),
          AM$1="UVU", IFERROR(_xlfn.XLOOKUP($AI48, 'MAG College Enrollment Forecast'!$A:$A, 'MAG College Enrollment Forecast'!$C:$C+'MAG College Enrollment Forecast'!$D:$D+'MAG College Enrollment Forecast'!$E:$E+'MAG College Enrollment Forecast'!$F:$F+'MAG College Enrollment Forecast'!$G:$G+'MAG College Enrollment Forecast'!$H:$H), (AM$72-AM47)/($AI$72-$AI47)*($AI48-$AI47)+AM47),
          TRUE, IFERROR(_xlfn.XLOOKUP($AI48, 'USHE Projections'!$A:$A, IFERROR(_xlfn.XLOOKUP(AM$1, 'USHE Projections'!$A$1:$E$1, 'USHE Projections'!$A:$E), "NONE"), (AM$72-AM47)/($AI$72-$AI47)*($AI48-$AI47)+AM47), (AM$72-AM47)/($AI$72-$AI47)*($AI48-$AI47)+AM47)
        )
      )
    )
  ), 0)</f>
        <v>34915</v>
      </c>
      <c r="AN48" s="35" cm="1">
        <f t="array" ref="AN48">ROUND(
  IF(AND(AN$1="Ensign", $AI48&gt;=2021, $AI48&lt;=2024),
    _xlfn.XLOOKUP($AI48, Ensign!$A$2:$A$12, Ensign!$B$2:$B$12),
    _xlfn.XLOOKUP($AI48, 'Historic (IPEDS &amp; 2019 RTP)'!$A:$A, _xlfn.XLOOKUP(AN$1, 'Historic (IPEDS &amp; 2019 RTP)'!$A$1:$H$1, 'Historic (IPEDS &amp; 2019 RTP)'!$A:$H),
      IFERROR(_xlfn.XLOOKUP($AI48, 'USHE Historic'!$A$3:$A$13, _xlfn.XLOOKUP(AN$1, 'USHE Historic'!$A$2:$E$2, 'USHE Historic'!$A$3:$E$13)),
        _xlfn.IFS(
          AN$1="BYU", IFERROR(_xlfn.XLOOKUP($AI48, 'MAG College Enrollment Forecast'!$A:$A, 'MAG College Enrollment Forecast'!$B:$B), (AN$72-AN47)/($AI$72-$AI47)*($AI48-$AI47)+AN47),
          AN$1="UVU", IFERROR(_xlfn.XLOOKUP($AI48, 'MAG College Enrollment Forecast'!$A:$A, 'MAG College Enrollment Forecast'!$C:$C+'MAG College Enrollment Forecast'!$D:$D+'MAG College Enrollment Forecast'!$E:$E+'MAG College Enrollment Forecast'!$F:$F+'MAG College Enrollment Forecast'!$G:$G+'MAG College Enrollment Forecast'!$H:$H), (AN$72-AN47)/($AI$72-$AI47)*($AI48-$AI47)+AN47),
          TRUE, IFERROR(_xlfn.XLOOKUP($AI48, 'USHE Projections'!$A:$A, IFERROR(_xlfn.XLOOKUP(AN$1, 'USHE Projections'!$A$1:$E$1, 'USHE Projections'!$A:$E), "NONE"), (AN$72-AN47)/($AI$72-$AI47)*($AI48-$AI47)+AN47), (AN$72-AN47)/($AI$72-$AI47)*($AI48-$AI47)+AN47)
        )
      )
    )
  ), 0)</f>
        <v>37884</v>
      </c>
      <c r="AO48" s="104" cm="1">
        <f t="array" ref="AO48">ROUND(
  IF(AND(AO$1="Ensign", $AI48&gt;=2021, $AI48&lt;=2024),
    _xlfn.XLOOKUP($AI48, Ensign!$A$2:$A$12, Ensign!$B$2:$B$12),
    _xlfn.XLOOKUP($AI48, 'Historic (IPEDS &amp; 2019 RTP)'!$A:$A, _xlfn.XLOOKUP(AO$1, 'Historic (IPEDS &amp; 2019 RTP)'!$A$1:$H$1, 'Historic (IPEDS &amp; 2019 RTP)'!$A:$H),
      IFERROR(_xlfn.XLOOKUP($AI48, 'USHE Historic'!$A$3:$A$13, _xlfn.XLOOKUP(AO$1, 'USHE Historic'!$A$2:$E$2, 'USHE Historic'!$A$3:$E$13)),
        _xlfn.IFS(
          AO$1="BYU", IFERROR(_xlfn.XLOOKUP($AI48, 'MAG College Enrollment Forecast'!$A:$A, 'MAG College Enrollment Forecast'!$B:$B), (AO$72-AO47)/($AI$72-$AI47)*($AI48-$AI47)+AO47),
          AO$1="UVU", IFERROR(_xlfn.XLOOKUP($AI48, 'MAG College Enrollment Forecast'!$A:$A, 'MAG College Enrollment Forecast'!$C:$C+'MAG College Enrollment Forecast'!$D:$D+'MAG College Enrollment Forecast'!$E:$E+'MAG College Enrollment Forecast'!$F:$F+'MAG College Enrollment Forecast'!$G:$G+'MAG College Enrollment Forecast'!$H:$H), (AO$72-AO47)/($AI$72-$AI47)*($AI48-$AI47)+AO47),
          TRUE, IFERROR(_xlfn.XLOOKUP($AI48, 'USHE Projections'!$A:$A, IFERROR(_xlfn.XLOOKUP(AO$1, 'USHE Projections'!$A$1:$E$1, 'USHE Projections'!$A:$E), "NONE"), (AO$72-AO47)/($AI$72-$AI47)*($AI48-$AI47)+AO47), (AO$72-AO47)/($AI$72-$AI47)*($AI48-$AI47)+AO47)
        )
      )
    )
  ), 0)</f>
        <v>2357</v>
      </c>
      <c r="AP48" s="104" cm="1">
        <f t="array" ref="AP48">ROUND(
  IF(AND(AP$1="Ensign", $AI48&gt;=2021, $AI48&lt;=2024),
    _xlfn.XLOOKUP($AI48, Ensign!$A$2:$A$12, Ensign!$B$2:$B$12),
    _xlfn.XLOOKUP($AI48, 'Historic (IPEDS &amp; 2019 RTP)'!$A:$A, _xlfn.XLOOKUP(AP$1, 'Historic (IPEDS &amp; 2019 RTP)'!$A$1:$H$1, 'Historic (IPEDS &amp; 2019 RTP)'!$A:$H),
      IFERROR(_xlfn.XLOOKUP($AI48, 'USHE Historic'!$A$3:$A$13, _xlfn.XLOOKUP(AP$1, 'USHE Historic'!$A$2:$E$2, 'USHE Historic'!$A$3:$E$13)),
        _xlfn.IFS(
          AP$1="BYU", IFERROR(_xlfn.XLOOKUP($AI48, 'MAG College Enrollment Forecast'!$A:$A, 'MAG College Enrollment Forecast'!$B:$B), (AP$72-AP47)/($AI$72-$AI47)*($AI48-$AI47)+AP47),
          AP$1="UVU", IFERROR(_xlfn.XLOOKUP($AI48, 'MAG College Enrollment Forecast'!$A:$A, 'MAG College Enrollment Forecast'!$C:$C+'MAG College Enrollment Forecast'!$D:$D+'MAG College Enrollment Forecast'!$E:$E+'MAG College Enrollment Forecast'!$F:$F+'MAG College Enrollment Forecast'!$G:$G+'MAG College Enrollment Forecast'!$H:$H), (AP$72-AP47)/($AI$72-$AI47)*($AI48-$AI47)+AP47),
          TRUE, IFERROR(_xlfn.XLOOKUP($AI48, 'USHE Projections'!$A:$A, IFERROR(_xlfn.XLOOKUP(AP$1, 'USHE Projections'!$A$1:$E$1, 'USHE Projections'!$A:$E), "NONE"), (AP$72-AP47)/($AI$72-$AI47)*($AI48-$AI47)+AP47), (AP$72-AP47)/($AI$72-$AI47)*($AI48-$AI47)+AP47)
        )
      )
    )
  ), 0)</f>
        <v>2020</v>
      </c>
    </row>
    <row r="49" spans="35:42">
      <c r="AI49" s="3">
        <v>2037</v>
      </c>
      <c r="AJ49" s="104" cm="1">
        <f t="array" ref="AJ49">ROUND(
  IF(AND(AJ$1="Ensign", $AI49&gt;=2021, $AI49&lt;=2024),
    _xlfn.XLOOKUP($AI49, Ensign!$A$2:$A$12, Ensign!$B$2:$B$12),
    _xlfn.XLOOKUP($AI49, 'Historic (IPEDS &amp; 2019 RTP)'!$A:$A, _xlfn.XLOOKUP(AJ$1, 'Historic (IPEDS &amp; 2019 RTP)'!$A$1:$H$1, 'Historic (IPEDS &amp; 2019 RTP)'!$A:$H),
      IFERROR(_xlfn.XLOOKUP($AI49, 'USHE Historic'!$A$3:$A$13, _xlfn.XLOOKUP(AJ$1, 'USHE Historic'!$A$2:$E$2, 'USHE Historic'!$A$3:$E$13)),
        _xlfn.IFS(
          AJ$1="BYU", IFERROR(_xlfn.XLOOKUP($AI49, 'MAG College Enrollment Forecast'!$A:$A, 'MAG College Enrollment Forecast'!$B:$B), (AJ$72-AJ48)/($AI$72-$AI48)*($AI49-$AI48)+AJ48),
          AJ$1="UVU", IFERROR(_xlfn.XLOOKUP($AI49, 'MAG College Enrollment Forecast'!$A:$A, 'MAG College Enrollment Forecast'!$C:$C+'MAG College Enrollment Forecast'!$D:$D+'MAG College Enrollment Forecast'!$E:$E+'MAG College Enrollment Forecast'!$F:$F+'MAG College Enrollment Forecast'!$G:$G+'MAG College Enrollment Forecast'!$H:$H), (AJ$72-AJ48)/($AI$72-$AI48)*($AI49-$AI48)+AJ48),
          TRUE, IFERROR(_xlfn.XLOOKUP($AI49, 'USHE Projections'!$A:$A, IFERROR(_xlfn.XLOOKUP(AJ$1, 'USHE Projections'!$A$1:$E$1, 'USHE Projections'!$A:$E), "NONE"), (AJ$72-AJ48)/($AI$72-$AI48)*($AI49-$AI48)+AJ48), (AJ$72-AJ48)/($AI$72-$AI48)*($AI49-$AI48)+AJ48)
        )
      )
    )
  ), 0)</f>
        <v>40043</v>
      </c>
      <c r="AK49" s="104" cm="1">
        <f t="array" ref="AK49">ROUND(
  IF(AND(AK$1="Ensign", $AI49&gt;=2021, $AI49&lt;=2024),
    _xlfn.XLOOKUP($AI49, Ensign!$A$2:$A$12, Ensign!$B$2:$B$12),
    _xlfn.XLOOKUP($AI49, 'Historic (IPEDS &amp; 2019 RTP)'!$A:$A, _xlfn.XLOOKUP(AK$1, 'Historic (IPEDS &amp; 2019 RTP)'!$A$1:$H$1, 'Historic (IPEDS &amp; 2019 RTP)'!$A:$H),
      IFERROR(_xlfn.XLOOKUP($AI49, 'USHE Historic'!$A$3:$A$13, _xlfn.XLOOKUP(AK$1, 'USHE Historic'!$A$2:$E$2, 'USHE Historic'!$A$3:$E$13)),
        _xlfn.IFS(
          AK$1="BYU", IFERROR(_xlfn.XLOOKUP($AI49, 'MAG College Enrollment Forecast'!$A:$A, 'MAG College Enrollment Forecast'!$B:$B), (AK$72-AK48)/($AI$72-$AI48)*($AI49-$AI48)+AK48),
          AK$1="UVU", IFERROR(_xlfn.XLOOKUP($AI49, 'MAG College Enrollment Forecast'!$A:$A, 'MAG College Enrollment Forecast'!$C:$C+'MAG College Enrollment Forecast'!$D:$D+'MAG College Enrollment Forecast'!$E:$E+'MAG College Enrollment Forecast'!$F:$F+'MAG College Enrollment Forecast'!$G:$G+'MAG College Enrollment Forecast'!$H:$H), (AK$72-AK48)/($AI$72-$AI48)*($AI49-$AI48)+AK48),
          TRUE, IFERROR(_xlfn.XLOOKUP($AI49, 'USHE Projections'!$A:$A, IFERROR(_xlfn.XLOOKUP(AK$1, 'USHE Projections'!$A$1:$E$1, 'USHE Projections'!$A:$E), "NONE"), (AK$72-AK48)/($AI$72-$AI48)*($AI49-$AI48)+AK48), (AK$72-AK48)/($AI$72-$AI48)*($AI49-$AI48)+AK48)
        )
      )
    )
  ), 0)</f>
        <v>37271</v>
      </c>
      <c r="AL49" s="35" cm="1">
        <f t="array" ref="AL49">ROUND(
  IF(AND(AL$1="Ensign", $AI49&gt;=2021, $AI49&lt;=2024),
    _xlfn.XLOOKUP($AI49, Ensign!$A$2:$A$12, Ensign!$B$2:$B$12),
    _xlfn.XLOOKUP($AI49, 'Historic (IPEDS &amp; 2019 RTP)'!$A:$A, _xlfn.XLOOKUP(AL$1, 'Historic (IPEDS &amp; 2019 RTP)'!$A$1:$H$1, 'Historic (IPEDS &amp; 2019 RTP)'!$A:$H),
      IFERROR(_xlfn.XLOOKUP($AI49, 'USHE Historic'!$A$3:$A$13, _xlfn.XLOOKUP(AL$1, 'USHE Historic'!$A$2:$E$2, 'USHE Historic'!$A$3:$E$13)),
        _xlfn.IFS(
          AL$1="BYU", IFERROR(_xlfn.XLOOKUP($AI49, 'MAG College Enrollment Forecast'!$A:$A, 'MAG College Enrollment Forecast'!$B:$B), (AL$72-AL48)/($AI$72-$AI48)*($AI49-$AI48)+AL48),
          AL$1="UVU", IFERROR(_xlfn.XLOOKUP($AI49, 'MAG College Enrollment Forecast'!$A:$A, 'MAG College Enrollment Forecast'!$C:$C+'MAG College Enrollment Forecast'!$D:$D+'MAG College Enrollment Forecast'!$E:$E+'MAG College Enrollment Forecast'!$F:$F+'MAG College Enrollment Forecast'!$G:$G+'MAG College Enrollment Forecast'!$H:$H), (AL$72-AL48)/($AI$72-$AI48)*($AI49-$AI48)+AL48),
          TRUE, IFERROR(_xlfn.XLOOKUP($AI49, 'USHE Projections'!$A:$A, IFERROR(_xlfn.XLOOKUP(AL$1, 'USHE Projections'!$A$1:$E$1, 'USHE Projections'!$A:$E), "NONE"), (AL$72-AL48)/($AI$72-$AI48)*($AI49-$AI48)+AL48), (AL$72-AL48)/($AI$72-$AI48)*($AI49-$AI48)+AL48)
        )
      )
    )
  ), 0)</f>
        <v>62392</v>
      </c>
      <c r="AM49" s="104" cm="1">
        <f t="array" ref="AM49">ROUND(
  IF(AND(AM$1="Ensign", $AI49&gt;=2021, $AI49&lt;=2024),
    _xlfn.XLOOKUP($AI49, Ensign!$A$2:$A$12, Ensign!$B$2:$B$12),
    _xlfn.XLOOKUP($AI49, 'Historic (IPEDS &amp; 2019 RTP)'!$A:$A, _xlfn.XLOOKUP(AM$1, 'Historic (IPEDS &amp; 2019 RTP)'!$A$1:$H$1, 'Historic (IPEDS &amp; 2019 RTP)'!$A:$H),
      IFERROR(_xlfn.XLOOKUP($AI49, 'USHE Historic'!$A$3:$A$13, _xlfn.XLOOKUP(AM$1, 'USHE Historic'!$A$2:$E$2, 'USHE Historic'!$A$3:$E$13)),
        _xlfn.IFS(
          AM$1="BYU", IFERROR(_xlfn.XLOOKUP($AI49, 'MAG College Enrollment Forecast'!$A:$A, 'MAG College Enrollment Forecast'!$B:$B), (AM$72-AM48)/($AI$72-$AI48)*($AI49-$AI48)+AM48),
          AM$1="UVU", IFERROR(_xlfn.XLOOKUP($AI49, 'MAG College Enrollment Forecast'!$A:$A, 'MAG College Enrollment Forecast'!$C:$C+'MAG College Enrollment Forecast'!$D:$D+'MAG College Enrollment Forecast'!$E:$E+'MAG College Enrollment Forecast'!$F:$F+'MAG College Enrollment Forecast'!$G:$G+'MAG College Enrollment Forecast'!$H:$H), (AM$72-AM48)/($AI$72-$AI48)*($AI49-$AI48)+AM48),
          TRUE, IFERROR(_xlfn.XLOOKUP($AI49, 'USHE Projections'!$A:$A, IFERROR(_xlfn.XLOOKUP(AM$1, 'USHE Projections'!$A$1:$E$1, 'USHE Projections'!$A:$E), "NONE"), (AM$72-AM48)/($AI$72-$AI48)*($AI49-$AI48)+AM48), (AM$72-AM48)/($AI$72-$AI48)*($AI49-$AI48)+AM48)
        )
      )
    )
  ), 0)</f>
        <v>35252</v>
      </c>
      <c r="AN49" s="35" cm="1">
        <f t="array" ref="AN49">ROUND(
  IF(AND(AN$1="Ensign", $AI49&gt;=2021, $AI49&lt;=2024),
    _xlfn.XLOOKUP($AI49, Ensign!$A$2:$A$12, Ensign!$B$2:$B$12),
    _xlfn.XLOOKUP($AI49, 'Historic (IPEDS &amp; 2019 RTP)'!$A:$A, _xlfn.XLOOKUP(AN$1, 'Historic (IPEDS &amp; 2019 RTP)'!$A$1:$H$1, 'Historic (IPEDS &amp; 2019 RTP)'!$A:$H),
      IFERROR(_xlfn.XLOOKUP($AI49, 'USHE Historic'!$A$3:$A$13, _xlfn.XLOOKUP(AN$1, 'USHE Historic'!$A$2:$E$2, 'USHE Historic'!$A$3:$E$13)),
        _xlfn.IFS(
          AN$1="BYU", IFERROR(_xlfn.XLOOKUP($AI49, 'MAG College Enrollment Forecast'!$A:$A, 'MAG College Enrollment Forecast'!$B:$B), (AN$72-AN48)/($AI$72-$AI48)*($AI49-$AI48)+AN48),
          AN$1="UVU", IFERROR(_xlfn.XLOOKUP($AI49, 'MAG College Enrollment Forecast'!$A:$A, 'MAG College Enrollment Forecast'!$C:$C+'MAG College Enrollment Forecast'!$D:$D+'MAG College Enrollment Forecast'!$E:$E+'MAG College Enrollment Forecast'!$F:$F+'MAG College Enrollment Forecast'!$G:$G+'MAG College Enrollment Forecast'!$H:$H), (AN$72-AN48)/($AI$72-$AI48)*($AI49-$AI48)+AN48),
          TRUE, IFERROR(_xlfn.XLOOKUP($AI49, 'USHE Projections'!$A:$A, IFERROR(_xlfn.XLOOKUP(AN$1, 'USHE Projections'!$A$1:$E$1, 'USHE Projections'!$A:$E), "NONE"), (AN$72-AN48)/($AI$72-$AI48)*($AI49-$AI48)+AN48), (AN$72-AN48)/($AI$72-$AI48)*($AI49-$AI48)+AN48)
        )
      )
    )
  ), 0)</f>
        <v>37921</v>
      </c>
      <c r="AO49" s="104" cm="1">
        <f t="array" ref="AO49">ROUND(
  IF(AND(AO$1="Ensign", $AI49&gt;=2021, $AI49&lt;=2024),
    _xlfn.XLOOKUP($AI49, Ensign!$A$2:$A$12, Ensign!$B$2:$B$12),
    _xlfn.XLOOKUP($AI49, 'Historic (IPEDS &amp; 2019 RTP)'!$A:$A, _xlfn.XLOOKUP(AO$1, 'Historic (IPEDS &amp; 2019 RTP)'!$A$1:$H$1, 'Historic (IPEDS &amp; 2019 RTP)'!$A:$H),
      IFERROR(_xlfn.XLOOKUP($AI49, 'USHE Historic'!$A$3:$A$13, _xlfn.XLOOKUP(AO$1, 'USHE Historic'!$A$2:$E$2, 'USHE Historic'!$A$3:$E$13)),
        _xlfn.IFS(
          AO$1="BYU", IFERROR(_xlfn.XLOOKUP($AI49, 'MAG College Enrollment Forecast'!$A:$A, 'MAG College Enrollment Forecast'!$B:$B), (AO$72-AO48)/($AI$72-$AI48)*($AI49-$AI48)+AO48),
          AO$1="UVU", IFERROR(_xlfn.XLOOKUP($AI49, 'MAG College Enrollment Forecast'!$A:$A, 'MAG College Enrollment Forecast'!$C:$C+'MAG College Enrollment Forecast'!$D:$D+'MAG College Enrollment Forecast'!$E:$E+'MAG College Enrollment Forecast'!$F:$F+'MAG College Enrollment Forecast'!$G:$G+'MAG College Enrollment Forecast'!$H:$H), (AO$72-AO48)/($AI$72-$AI48)*($AI49-$AI48)+AO48),
          TRUE, IFERROR(_xlfn.XLOOKUP($AI49, 'USHE Projections'!$A:$A, IFERROR(_xlfn.XLOOKUP(AO$1, 'USHE Projections'!$A$1:$E$1, 'USHE Projections'!$A:$E), "NONE"), (AO$72-AO48)/($AI$72-$AI48)*($AI49-$AI48)+AO48), (AO$72-AO48)/($AI$72-$AI48)*($AI49-$AI48)+AO48)
        )
      )
    )
  ), 0)</f>
        <v>2392</v>
      </c>
      <c r="AP49" s="104" cm="1">
        <f t="array" ref="AP49">ROUND(
  IF(AND(AP$1="Ensign", $AI49&gt;=2021, $AI49&lt;=2024),
    _xlfn.XLOOKUP($AI49, Ensign!$A$2:$A$12, Ensign!$B$2:$B$12),
    _xlfn.XLOOKUP($AI49, 'Historic (IPEDS &amp; 2019 RTP)'!$A:$A, _xlfn.XLOOKUP(AP$1, 'Historic (IPEDS &amp; 2019 RTP)'!$A$1:$H$1, 'Historic (IPEDS &amp; 2019 RTP)'!$A:$H),
      IFERROR(_xlfn.XLOOKUP($AI49, 'USHE Historic'!$A$3:$A$13, _xlfn.XLOOKUP(AP$1, 'USHE Historic'!$A$2:$E$2, 'USHE Historic'!$A$3:$E$13)),
        _xlfn.IFS(
          AP$1="BYU", IFERROR(_xlfn.XLOOKUP($AI49, 'MAG College Enrollment Forecast'!$A:$A, 'MAG College Enrollment Forecast'!$B:$B), (AP$72-AP48)/($AI$72-$AI48)*($AI49-$AI48)+AP48),
          AP$1="UVU", IFERROR(_xlfn.XLOOKUP($AI49, 'MAG College Enrollment Forecast'!$A:$A, 'MAG College Enrollment Forecast'!$C:$C+'MAG College Enrollment Forecast'!$D:$D+'MAG College Enrollment Forecast'!$E:$E+'MAG College Enrollment Forecast'!$F:$F+'MAG College Enrollment Forecast'!$G:$G+'MAG College Enrollment Forecast'!$H:$H), (AP$72-AP48)/($AI$72-$AI48)*($AI49-$AI48)+AP48),
          TRUE, IFERROR(_xlfn.XLOOKUP($AI49, 'USHE Projections'!$A:$A, IFERROR(_xlfn.XLOOKUP(AP$1, 'USHE Projections'!$A$1:$E$1, 'USHE Projections'!$A:$E), "NONE"), (AP$72-AP48)/($AI$72-$AI48)*($AI49-$AI48)+AP48), (AP$72-AP48)/($AI$72-$AI48)*($AI49-$AI48)+AP48)
        )
      )
    )
  ), 0)</f>
        <v>2082</v>
      </c>
    </row>
    <row r="50" spans="35:42">
      <c r="AI50" s="3">
        <v>2038</v>
      </c>
      <c r="AJ50" s="104" cm="1">
        <f t="array" ref="AJ50">ROUND(
  IF(AND(AJ$1="Ensign", $AI50&gt;=2021, $AI50&lt;=2024),
    _xlfn.XLOOKUP($AI50, Ensign!$A$2:$A$12, Ensign!$B$2:$B$12),
    _xlfn.XLOOKUP($AI50, 'Historic (IPEDS &amp; 2019 RTP)'!$A:$A, _xlfn.XLOOKUP(AJ$1, 'Historic (IPEDS &amp; 2019 RTP)'!$A$1:$H$1, 'Historic (IPEDS &amp; 2019 RTP)'!$A:$H),
      IFERROR(_xlfn.XLOOKUP($AI50, 'USHE Historic'!$A$3:$A$13, _xlfn.XLOOKUP(AJ$1, 'USHE Historic'!$A$2:$E$2, 'USHE Historic'!$A$3:$E$13)),
        _xlfn.IFS(
          AJ$1="BYU", IFERROR(_xlfn.XLOOKUP($AI50, 'MAG College Enrollment Forecast'!$A:$A, 'MAG College Enrollment Forecast'!$B:$B), (AJ$72-AJ49)/($AI$72-$AI49)*($AI50-$AI49)+AJ49),
          AJ$1="UVU", IFERROR(_xlfn.XLOOKUP($AI50, 'MAG College Enrollment Forecast'!$A:$A, 'MAG College Enrollment Forecast'!$C:$C+'MAG College Enrollment Forecast'!$D:$D+'MAG College Enrollment Forecast'!$E:$E+'MAG College Enrollment Forecast'!$F:$F+'MAG College Enrollment Forecast'!$G:$G+'MAG College Enrollment Forecast'!$H:$H), (AJ$72-AJ49)/($AI$72-$AI49)*($AI50-$AI49)+AJ49),
          TRUE, IFERROR(_xlfn.XLOOKUP($AI50, 'USHE Projections'!$A:$A, IFERROR(_xlfn.XLOOKUP(AJ$1, 'USHE Projections'!$A$1:$E$1, 'USHE Projections'!$A:$E), "NONE"), (AJ$72-AJ49)/($AI$72-$AI49)*($AI50-$AI49)+AJ49), (AJ$72-AJ49)/($AI$72-$AI49)*($AI50-$AI49)+AJ49)
        )
      )
    )
  ), 0)</f>
        <v>40345</v>
      </c>
      <c r="AK50" s="104" cm="1">
        <f t="array" ref="AK50">ROUND(
  IF(AND(AK$1="Ensign", $AI50&gt;=2021, $AI50&lt;=2024),
    _xlfn.XLOOKUP($AI50, Ensign!$A$2:$A$12, Ensign!$B$2:$B$12),
    _xlfn.XLOOKUP($AI50, 'Historic (IPEDS &amp; 2019 RTP)'!$A:$A, _xlfn.XLOOKUP(AK$1, 'Historic (IPEDS &amp; 2019 RTP)'!$A$1:$H$1, 'Historic (IPEDS &amp; 2019 RTP)'!$A:$H),
      IFERROR(_xlfn.XLOOKUP($AI50, 'USHE Historic'!$A$3:$A$13, _xlfn.XLOOKUP(AK$1, 'USHE Historic'!$A$2:$E$2, 'USHE Historic'!$A$3:$E$13)),
        _xlfn.IFS(
          AK$1="BYU", IFERROR(_xlfn.XLOOKUP($AI50, 'MAG College Enrollment Forecast'!$A:$A, 'MAG College Enrollment Forecast'!$B:$B), (AK$72-AK49)/($AI$72-$AI49)*($AI50-$AI49)+AK49),
          AK$1="UVU", IFERROR(_xlfn.XLOOKUP($AI50, 'MAG College Enrollment Forecast'!$A:$A, 'MAG College Enrollment Forecast'!$C:$C+'MAG College Enrollment Forecast'!$D:$D+'MAG College Enrollment Forecast'!$E:$E+'MAG College Enrollment Forecast'!$F:$F+'MAG College Enrollment Forecast'!$G:$G+'MAG College Enrollment Forecast'!$H:$H), (AK$72-AK49)/($AI$72-$AI49)*($AI50-$AI49)+AK49),
          TRUE, IFERROR(_xlfn.XLOOKUP($AI50, 'USHE Projections'!$A:$A, IFERROR(_xlfn.XLOOKUP(AK$1, 'USHE Projections'!$A$1:$E$1, 'USHE Projections'!$A:$E), "NONE"), (AK$72-AK49)/($AI$72-$AI49)*($AI50-$AI49)+AK49), (AK$72-AK49)/($AI$72-$AI49)*($AI50-$AI49)+AK49)
        )
      )
    )
  ), 0)</f>
        <v>37737</v>
      </c>
      <c r="AL50" s="35" cm="1">
        <f t="array" ref="AL50">ROUND(
  IF(AND(AL$1="Ensign", $AI50&gt;=2021, $AI50&lt;=2024),
    _xlfn.XLOOKUP($AI50, Ensign!$A$2:$A$12, Ensign!$B$2:$B$12),
    _xlfn.XLOOKUP($AI50, 'Historic (IPEDS &amp; 2019 RTP)'!$A:$A, _xlfn.XLOOKUP(AL$1, 'Historic (IPEDS &amp; 2019 RTP)'!$A$1:$H$1, 'Historic (IPEDS &amp; 2019 RTP)'!$A:$H),
      IFERROR(_xlfn.XLOOKUP($AI50, 'USHE Historic'!$A$3:$A$13, _xlfn.XLOOKUP(AL$1, 'USHE Historic'!$A$2:$E$2, 'USHE Historic'!$A$3:$E$13)),
        _xlfn.IFS(
          AL$1="BYU", IFERROR(_xlfn.XLOOKUP($AI50, 'MAG College Enrollment Forecast'!$A:$A, 'MAG College Enrollment Forecast'!$B:$B), (AL$72-AL49)/($AI$72-$AI49)*($AI50-$AI49)+AL49),
          AL$1="UVU", IFERROR(_xlfn.XLOOKUP($AI50, 'MAG College Enrollment Forecast'!$A:$A, 'MAG College Enrollment Forecast'!$C:$C+'MAG College Enrollment Forecast'!$D:$D+'MAG College Enrollment Forecast'!$E:$E+'MAG College Enrollment Forecast'!$F:$F+'MAG College Enrollment Forecast'!$G:$G+'MAG College Enrollment Forecast'!$H:$H), (AL$72-AL49)/($AI$72-$AI49)*($AI50-$AI49)+AL49),
          TRUE, IFERROR(_xlfn.XLOOKUP($AI50, 'USHE Projections'!$A:$A, IFERROR(_xlfn.XLOOKUP(AL$1, 'USHE Projections'!$A$1:$E$1, 'USHE Projections'!$A:$E), "NONE"), (AL$72-AL49)/($AI$72-$AI49)*($AI50-$AI49)+AL49), (AL$72-AL49)/($AI$72-$AI49)*($AI50-$AI49)+AL49)
        )
      )
    )
  ), 0)</f>
        <v>63626</v>
      </c>
      <c r="AM50" s="104" cm="1">
        <f t="array" ref="AM50">ROUND(
  IF(AND(AM$1="Ensign", $AI50&gt;=2021, $AI50&lt;=2024),
    _xlfn.XLOOKUP($AI50, Ensign!$A$2:$A$12, Ensign!$B$2:$B$12),
    _xlfn.XLOOKUP($AI50, 'Historic (IPEDS &amp; 2019 RTP)'!$A:$A, _xlfn.XLOOKUP(AM$1, 'Historic (IPEDS &amp; 2019 RTP)'!$A$1:$H$1, 'Historic (IPEDS &amp; 2019 RTP)'!$A:$H),
      IFERROR(_xlfn.XLOOKUP($AI50, 'USHE Historic'!$A$3:$A$13, _xlfn.XLOOKUP(AM$1, 'USHE Historic'!$A$2:$E$2, 'USHE Historic'!$A$3:$E$13)),
        _xlfn.IFS(
          AM$1="BYU", IFERROR(_xlfn.XLOOKUP($AI50, 'MAG College Enrollment Forecast'!$A:$A, 'MAG College Enrollment Forecast'!$B:$B), (AM$72-AM49)/($AI$72-$AI49)*($AI50-$AI49)+AM49),
          AM$1="UVU", IFERROR(_xlfn.XLOOKUP($AI50, 'MAG College Enrollment Forecast'!$A:$A, 'MAG College Enrollment Forecast'!$C:$C+'MAG College Enrollment Forecast'!$D:$D+'MAG College Enrollment Forecast'!$E:$E+'MAG College Enrollment Forecast'!$F:$F+'MAG College Enrollment Forecast'!$G:$G+'MAG College Enrollment Forecast'!$H:$H), (AM$72-AM49)/($AI$72-$AI49)*($AI50-$AI49)+AM49),
          TRUE, IFERROR(_xlfn.XLOOKUP($AI50, 'USHE Projections'!$A:$A, IFERROR(_xlfn.XLOOKUP(AM$1, 'USHE Projections'!$A$1:$E$1, 'USHE Projections'!$A:$E), "NONE"), (AM$72-AM49)/($AI$72-$AI49)*($AI50-$AI49)+AM49), (AM$72-AM49)/($AI$72-$AI49)*($AI50-$AI49)+AM49)
        )
      )
    )
  ), 0)</f>
        <v>35589</v>
      </c>
      <c r="AN50" s="35" cm="1">
        <f t="array" ref="AN50">ROUND(
  IF(AND(AN$1="Ensign", $AI50&gt;=2021, $AI50&lt;=2024),
    _xlfn.XLOOKUP($AI50, Ensign!$A$2:$A$12, Ensign!$B$2:$B$12),
    _xlfn.XLOOKUP($AI50, 'Historic (IPEDS &amp; 2019 RTP)'!$A:$A, _xlfn.XLOOKUP(AN$1, 'Historic (IPEDS &amp; 2019 RTP)'!$A$1:$H$1, 'Historic (IPEDS &amp; 2019 RTP)'!$A:$H),
      IFERROR(_xlfn.XLOOKUP($AI50, 'USHE Historic'!$A$3:$A$13, _xlfn.XLOOKUP(AN$1, 'USHE Historic'!$A$2:$E$2, 'USHE Historic'!$A$3:$E$13)),
        _xlfn.IFS(
          AN$1="BYU", IFERROR(_xlfn.XLOOKUP($AI50, 'MAG College Enrollment Forecast'!$A:$A, 'MAG College Enrollment Forecast'!$B:$B), (AN$72-AN49)/($AI$72-$AI49)*($AI50-$AI49)+AN49),
          AN$1="UVU", IFERROR(_xlfn.XLOOKUP($AI50, 'MAG College Enrollment Forecast'!$A:$A, 'MAG College Enrollment Forecast'!$C:$C+'MAG College Enrollment Forecast'!$D:$D+'MAG College Enrollment Forecast'!$E:$E+'MAG College Enrollment Forecast'!$F:$F+'MAG College Enrollment Forecast'!$G:$G+'MAG College Enrollment Forecast'!$H:$H), (AN$72-AN49)/($AI$72-$AI49)*($AI50-$AI49)+AN49),
          TRUE, IFERROR(_xlfn.XLOOKUP($AI50, 'USHE Projections'!$A:$A, IFERROR(_xlfn.XLOOKUP(AN$1, 'USHE Projections'!$A$1:$E$1, 'USHE Projections'!$A:$E), "NONE"), (AN$72-AN49)/($AI$72-$AI49)*($AI50-$AI49)+AN49), (AN$72-AN49)/($AI$72-$AI49)*($AI50-$AI49)+AN49)
        )
      )
    )
  ), 0)</f>
        <v>37958</v>
      </c>
      <c r="AO50" s="104" cm="1">
        <f t="array" ref="AO50">ROUND(
  IF(AND(AO$1="Ensign", $AI50&gt;=2021, $AI50&lt;=2024),
    _xlfn.XLOOKUP($AI50, Ensign!$A$2:$A$12, Ensign!$B$2:$B$12),
    _xlfn.XLOOKUP($AI50, 'Historic (IPEDS &amp; 2019 RTP)'!$A:$A, _xlfn.XLOOKUP(AO$1, 'Historic (IPEDS &amp; 2019 RTP)'!$A$1:$H$1, 'Historic (IPEDS &amp; 2019 RTP)'!$A:$H),
      IFERROR(_xlfn.XLOOKUP($AI50, 'USHE Historic'!$A$3:$A$13, _xlfn.XLOOKUP(AO$1, 'USHE Historic'!$A$2:$E$2, 'USHE Historic'!$A$3:$E$13)),
        _xlfn.IFS(
          AO$1="BYU", IFERROR(_xlfn.XLOOKUP($AI50, 'MAG College Enrollment Forecast'!$A:$A, 'MAG College Enrollment Forecast'!$B:$B), (AO$72-AO49)/($AI$72-$AI49)*($AI50-$AI49)+AO49),
          AO$1="UVU", IFERROR(_xlfn.XLOOKUP($AI50, 'MAG College Enrollment Forecast'!$A:$A, 'MAG College Enrollment Forecast'!$C:$C+'MAG College Enrollment Forecast'!$D:$D+'MAG College Enrollment Forecast'!$E:$E+'MAG College Enrollment Forecast'!$F:$F+'MAG College Enrollment Forecast'!$G:$G+'MAG College Enrollment Forecast'!$H:$H), (AO$72-AO49)/($AI$72-$AI49)*($AI50-$AI49)+AO49),
          TRUE, IFERROR(_xlfn.XLOOKUP($AI50, 'USHE Projections'!$A:$A, IFERROR(_xlfn.XLOOKUP(AO$1, 'USHE Projections'!$A$1:$E$1, 'USHE Projections'!$A:$E), "NONE"), (AO$72-AO49)/($AI$72-$AI49)*($AI50-$AI49)+AO49), (AO$72-AO49)/($AI$72-$AI49)*($AI50-$AI49)+AO49)
        )
      )
    )
  ), 0)</f>
        <v>2427</v>
      </c>
      <c r="AP50" s="104" cm="1">
        <f t="array" ref="AP50">ROUND(
  IF(AND(AP$1="Ensign", $AI50&gt;=2021, $AI50&lt;=2024),
    _xlfn.XLOOKUP($AI50, Ensign!$A$2:$A$12, Ensign!$B$2:$B$12),
    _xlfn.XLOOKUP($AI50, 'Historic (IPEDS &amp; 2019 RTP)'!$A:$A, _xlfn.XLOOKUP(AP$1, 'Historic (IPEDS &amp; 2019 RTP)'!$A$1:$H$1, 'Historic (IPEDS &amp; 2019 RTP)'!$A:$H),
      IFERROR(_xlfn.XLOOKUP($AI50, 'USHE Historic'!$A$3:$A$13, _xlfn.XLOOKUP(AP$1, 'USHE Historic'!$A$2:$E$2, 'USHE Historic'!$A$3:$E$13)),
        _xlfn.IFS(
          AP$1="BYU", IFERROR(_xlfn.XLOOKUP($AI50, 'MAG College Enrollment Forecast'!$A:$A, 'MAG College Enrollment Forecast'!$B:$B), (AP$72-AP49)/($AI$72-$AI49)*($AI50-$AI49)+AP49),
          AP$1="UVU", IFERROR(_xlfn.XLOOKUP($AI50, 'MAG College Enrollment Forecast'!$A:$A, 'MAG College Enrollment Forecast'!$C:$C+'MAG College Enrollment Forecast'!$D:$D+'MAG College Enrollment Forecast'!$E:$E+'MAG College Enrollment Forecast'!$F:$F+'MAG College Enrollment Forecast'!$G:$G+'MAG College Enrollment Forecast'!$H:$H), (AP$72-AP49)/($AI$72-$AI49)*($AI50-$AI49)+AP49),
          TRUE, IFERROR(_xlfn.XLOOKUP($AI50, 'USHE Projections'!$A:$A, IFERROR(_xlfn.XLOOKUP(AP$1, 'USHE Projections'!$A$1:$E$1, 'USHE Projections'!$A:$E), "NONE"), (AP$72-AP49)/($AI$72-$AI49)*($AI50-$AI49)+AP49), (AP$72-AP49)/($AI$72-$AI49)*($AI50-$AI49)+AP49)
        )
      )
    )
  ), 0)</f>
        <v>2144</v>
      </c>
    </row>
    <row r="51" spans="35:42">
      <c r="AI51" s="3">
        <v>2039</v>
      </c>
      <c r="AJ51" s="104" cm="1">
        <f t="array" ref="AJ51">ROUND(
  IF(AND(AJ$1="Ensign", $AI51&gt;=2021, $AI51&lt;=2024),
    _xlfn.XLOOKUP($AI51, Ensign!$A$2:$A$12, Ensign!$B$2:$B$12),
    _xlfn.XLOOKUP($AI51, 'Historic (IPEDS &amp; 2019 RTP)'!$A:$A, _xlfn.XLOOKUP(AJ$1, 'Historic (IPEDS &amp; 2019 RTP)'!$A$1:$H$1, 'Historic (IPEDS &amp; 2019 RTP)'!$A:$H),
      IFERROR(_xlfn.XLOOKUP($AI51, 'USHE Historic'!$A$3:$A$13, _xlfn.XLOOKUP(AJ$1, 'USHE Historic'!$A$2:$E$2, 'USHE Historic'!$A$3:$E$13)),
        _xlfn.IFS(
          AJ$1="BYU", IFERROR(_xlfn.XLOOKUP($AI51, 'MAG College Enrollment Forecast'!$A:$A, 'MAG College Enrollment Forecast'!$B:$B), (AJ$72-AJ50)/($AI$72-$AI50)*($AI51-$AI50)+AJ50),
          AJ$1="UVU", IFERROR(_xlfn.XLOOKUP($AI51, 'MAG College Enrollment Forecast'!$A:$A, 'MAG College Enrollment Forecast'!$C:$C+'MAG College Enrollment Forecast'!$D:$D+'MAG College Enrollment Forecast'!$E:$E+'MAG College Enrollment Forecast'!$F:$F+'MAG College Enrollment Forecast'!$G:$G+'MAG College Enrollment Forecast'!$H:$H), (AJ$72-AJ50)/($AI$72-$AI50)*($AI51-$AI50)+AJ50),
          TRUE, IFERROR(_xlfn.XLOOKUP($AI51, 'USHE Projections'!$A:$A, IFERROR(_xlfn.XLOOKUP(AJ$1, 'USHE Projections'!$A$1:$E$1, 'USHE Projections'!$A:$E), "NONE"), (AJ$72-AJ50)/($AI$72-$AI50)*($AI51-$AI50)+AJ50), (AJ$72-AJ50)/($AI$72-$AI50)*($AI51-$AI50)+AJ50)
        )
      )
    )
  ), 0)</f>
        <v>40648</v>
      </c>
      <c r="AK51" s="104" cm="1">
        <f t="array" ref="AK51">ROUND(
  IF(AND(AK$1="Ensign", $AI51&gt;=2021, $AI51&lt;=2024),
    _xlfn.XLOOKUP($AI51, Ensign!$A$2:$A$12, Ensign!$B$2:$B$12),
    _xlfn.XLOOKUP($AI51, 'Historic (IPEDS &amp; 2019 RTP)'!$A:$A, _xlfn.XLOOKUP(AK$1, 'Historic (IPEDS &amp; 2019 RTP)'!$A$1:$H$1, 'Historic (IPEDS &amp; 2019 RTP)'!$A:$H),
      IFERROR(_xlfn.XLOOKUP($AI51, 'USHE Historic'!$A$3:$A$13, _xlfn.XLOOKUP(AK$1, 'USHE Historic'!$A$2:$E$2, 'USHE Historic'!$A$3:$E$13)),
        _xlfn.IFS(
          AK$1="BYU", IFERROR(_xlfn.XLOOKUP($AI51, 'MAG College Enrollment Forecast'!$A:$A, 'MAG College Enrollment Forecast'!$B:$B), (AK$72-AK50)/($AI$72-$AI50)*($AI51-$AI50)+AK50),
          AK$1="UVU", IFERROR(_xlfn.XLOOKUP($AI51, 'MAG College Enrollment Forecast'!$A:$A, 'MAG College Enrollment Forecast'!$C:$C+'MAG College Enrollment Forecast'!$D:$D+'MAG College Enrollment Forecast'!$E:$E+'MAG College Enrollment Forecast'!$F:$F+'MAG College Enrollment Forecast'!$G:$G+'MAG College Enrollment Forecast'!$H:$H), (AK$72-AK50)/($AI$72-$AI50)*($AI51-$AI50)+AK50),
          TRUE, IFERROR(_xlfn.XLOOKUP($AI51, 'USHE Projections'!$A:$A, IFERROR(_xlfn.XLOOKUP(AK$1, 'USHE Projections'!$A$1:$E$1, 'USHE Projections'!$A:$E), "NONE"), (AK$72-AK50)/($AI$72-$AI50)*($AI51-$AI50)+AK50), (AK$72-AK50)/($AI$72-$AI50)*($AI51-$AI50)+AK50)
        )
      )
    )
  ), 0)</f>
        <v>38204</v>
      </c>
      <c r="AL51" s="35" cm="1">
        <f t="array" ref="AL51">ROUND(
  IF(AND(AL$1="Ensign", $AI51&gt;=2021, $AI51&lt;=2024),
    _xlfn.XLOOKUP($AI51, Ensign!$A$2:$A$12, Ensign!$B$2:$B$12),
    _xlfn.XLOOKUP($AI51, 'Historic (IPEDS &amp; 2019 RTP)'!$A:$A, _xlfn.XLOOKUP(AL$1, 'Historic (IPEDS &amp; 2019 RTP)'!$A$1:$H$1, 'Historic (IPEDS &amp; 2019 RTP)'!$A:$H),
      IFERROR(_xlfn.XLOOKUP($AI51, 'USHE Historic'!$A$3:$A$13, _xlfn.XLOOKUP(AL$1, 'USHE Historic'!$A$2:$E$2, 'USHE Historic'!$A$3:$E$13)),
        _xlfn.IFS(
          AL$1="BYU", IFERROR(_xlfn.XLOOKUP($AI51, 'MAG College Enrollment Forecast'!$A:$A, 'MAG College Enrollment Forecast'!$B:$B), (AL$72-AL50)/($AI$72-$AI50)*($AI51-$AI50)+AL50),
          AL$1="UVU", IFERROR(_xlfn.XLOOKUP($AI51, 'MAG College Enrollment Forecast'!$A:$A, 'MAG College Enrollment Forecast'!$C:$C+'MAG College Enrollment Forecast'!$D:$D+'MAG College Enrollment Forecast'!$E:$E+'MAG College Enrollment Forecast'!$F:$F+'MAG College Enrollment Forecast'!$G:$G+'MAG College Enrollment Forecast'!$H:$H), (AL$72-AL50)/($AI$72-$AI50)*($AI51-$AI50)+AL50),
          TRUE, IFERROR(_xlfn.XLOOKUP($AI51, 'USHE Projections'!$A:$A, IFERROR(_xlfn.XLOOKUP(AL$1, 'USHE Projections'!$A$1:$E$1, 'USHE Projections'!$A:$E), "NONE"), (AL$72-AL50)/($AI$72-$AI50)*($AI51-$AI50)+AL50), (AL$72-AL50)/($AI$72-$AI50)*($AI51-$AI50)+AL50)
        )
      )
    )
  ), 0)</f>
        <v>64860</v>
      </c>
      <c r="AM51" s="104" cm="1">
        <f t="array" ref="AM51">ROUND(
  IF(AND(AM$1="Ensign", $AI51&gt;=2021, $AI51&lt;=2024),
    _xlfn.XLOOKUP($AI51, Ensign!$A$2:$A$12, Ensign!$B$2:$B$12),
    _xlfn.XLOOKUP($AI51, 'Historic (IPEDS &amp; 2019 RTP)'!$A:$A, _xlfn.XLOOKUP(AM$1, 'Historic (IPEDS &amp; 2019 RTP)'!$A$1:$H$1, 'Historic (IPEDS &amp; 2019 RTP)'!$A:$H),
      IFERROR(_xlfn.XLOOKUP($AI51, 'USHE Historic'!$A$3:$A$13, _xlfn.XLOOKUP(AM$1, 'USHE Historic'!$A$2:$E$2, 'USHE Historic'!$A$3:$E$13)),
        _xlfn.IFS(
          AM$1="BYU", IFERROR(_xlfn.XLOOKUP($AI51, 'MAG College Enrollment Forecast'!$A:$A, 'MAG College Enrollment Forecast'!$B:$B), (AM$72-AM50)/($AI$72-$AI50)*($AI51-$AI50)+AM50),
          AM$1="UVU", IFERROR(_xlfn.XLOOKUP($AI51, 'MAG College Enrollment Forecast'!$A:$A, 'MAG College Enrollment Forecast'!$C:$C+'MAG College Enrollment Forecast'!$D:$D+'MAG College Enrollment Forecast'!$E:$E+'MAG College Enrollment Forecast'!$F:$F+'MAG College Enrollment Forecast'!$G:$G+'MAG College Enrollment Forecast'!$H:$H), (AM$72-AM50)/($AI$72-$AI50)*($AI51-$AI50)+AM50),
          TRUE, IFERROR(_xlfn.XLOOKUP($AI51, 'USHE Projections'!$A:$A, IFERROR(_xlfn.XLOOKUP(AM$1, 'USHE Projections'!$A$1:$E$1, 'USHE Projections'!$A:$E), "NONE"), (AM$72-AM50)/($AI$72-$AI50)*($AI51-$AI50)+AM50), (AM$72-AM50)/($AI$72-$AI50)*($AI51-$AI50)+AM50)
        )
      )
    )
  ), 0)</f>
        <v>35926</v>
      </c>
      <c r="AN51" s="35" cm="1">
        <f t="array" ref="AN51">ROUND(
  IF(AND(AN$1="Ensign", $AI51&gt;=2021, $AI51&lt;=2024),
    _xlfn.XLOOKUP($AI51, Ensign!$A$2:$A$12, Ensign!$B$2:$B$12),
    _xlfn.XLOOKUP($AI51, 'Historic (IPEDS &amp; 2019 RTP)'!$A:$A, _xlfn.XLOOKUP(AN$1, 'Historic (IPEDS &amp; 2019 RTP)'!$A$1:$H$1, 'Historic (IPEDS &amp; 2019 RTP)'!$A:$H),
      IFERROR(_xlfn.XLOOKUP($AI51, 'USHE Historic'!$A$3:$A$13, _xlfn.XLOOKUP(AN$1, 'USHE Historic'!$A$2:$E$2, 'USHE Historic'!$A$3:$E$13)),
        _xlfn.IFS(
          AN$1="BYU", IFERROR(_xlfn.XLOOKUP($AI51, 'MAG College Enrollment Forecast'!$A:$A, 'MAG College Enrollment Forecast'!$B:$B), (AN$72-AN50)/($AI$72-$AI50)*($AI51-$AI50)+AN50),
          AN$1="UVU", IFERROR(_xlfn.XLOOKUP($AI51, 'MAG College Enrollment Forecast'!$A:$A, 'MAG College Enrollment Forecast'!$C:$C+'MAG College Enrollment Forecast'!$D:$D+'MAG College Enrollment Forecast'!$E:$E+'MAG College Enrollment Forecast'!$F:$F+'MAG College Enrollment Forecast'!$G:$G+'MAG College Enrollment Forecast'!$H:$H), (AN$72-AN50)/($AI$72-$AI50)*($AI51-$AI50)+AN50),
          TRUE, IFERROR(_xlfn.XLOOKUP($AI51, 'USHE Projections'!$A:$A, IFERROR(_xlfn.XLOOKUP(AN$1, 'USHE Projections'!$A$1:$E$1, 'USHE Projections'!$A:$E), "NONE"), (AN$72-AN50)/($AI$72-$AI50)*($AI51-$AI50)+AN50), (AN$72-AN50)/($AI$72-$AI50)*($AI51-$AI50)+AN50)
        )
      )
    )
  ), 0)</f>
        <v>37995</v>
      </c>
      <c r="AO51" s="104" cm="1">
        <f t="array" ref="AO51">ROUND(
  IF(AND(AO$1="Ensign", $AI51&gt;=2021, $AI51&lt;=2024),
    _xlfn.XLOOKUP($AI51, Ensign!$A$2:$A$12, Ensign!$B$2:$B$12),
    _xlfn.XLOOKUP($AI51, 'Historic (IPEDS &amp; 2019 RTP)'!$A:$A, _xlfn.XLOOKUP(AO$1, 'Historic (IPEDS &amp; 2019 RTP)'!$A$1:$H$1, 'Historic (IPEDS &amp; 2019 RTP)'!$A:$H),
      IFERROR(_xlfn.XLOOKUP($AI51, 'USHE Historic'!$A$3:$A$13, _xlfn.XLOOKUP(AO$1, 'USHE Historic'!$A$2:$E$2, 'USHE Historic'!$A$3:$E$13)),
        _xlfn.IFS(
          AO$1="BYU", IFERROR(_xlfn.XLOOKUP($AI51, 'MAG College Enrollment Forecast'!$A:$A, 'MAG College Enrollment Forecast'!$B:$B), (AO$72-AO50)/($AI$72-$AI50)*($AI51-$AI50)+AO50),
          AO$1="UVU", IFERROR(_xlfn.XLOOKUP($AI51, 'MAG College Enrollment Forecast'!$A:$A, 'MAG College Enrollment Forecast'!$C:$C+'MAG College Enrollment Forecast'!$D:$D+'MAG College Enrollment Forecast'!$E:$E+'MAG College Enrollment Forecast'!$F:$F+'MAG College Enrollment Forecast'!$G:$G+'MAG College Enrollment Forecast'!$H:$H), (AO$72-AO50)/($AI$72-$AI50)*($AI51-$AI50)+AO50),
          TRUE, IFERROR(_xlfn.XLOOKUP($AI51, 'USHE Projections'!$A:$A, IFERROR(_xlfn.XLOOKUP(AO$1, 'USHE Projections'!$A$1:$E$1, 'USHE Projections'!$A:$E), "NONE"), (AO$72-AO50)/($AI$72-$AI50)*($AI51-$AI50)+AO50), (AO$72-AO50)/($AI$72-$AI50)*($AI51-$AI50)+AO50)
        )
      )
    )
  ), 0)</f>
        <v>2462</v>
      </c>
      <c r="AP51" s="104" cm="1">
        <f t="array" ref="AP51">ROUND(
  IF(AND(AP$1="Ensign", $AI51&gt;=2021, $AI51&lt;=2024),
    _xlfn.XLOOKUP($AI51, Ensign!$A$2:$A$12, Ensign!$B$2:$B$12),
    _xlfn.XLOOKUP($AI51, 'Historic (IPEDS &amp; 2019 RTP)'!$A:$A, _xlfn.XLOOKUP(AP$1, 'Historic (IPEDS &amp; 2019 RTP)'!$A$1:$H$1, 'Historic (IPEDS &amp; 2019 RTP)'!$A:$H),
      IFERROR(_xlfn.XLOOKUP($AI51, 'USHE Historic'!$A$3:$A$13, _xlfn.XLOOKUP(AP$1, 'USHE Historic'!$A$2:$E$2, 'USHE Historic'!$A$3:$E$13)),
        _xlfn.IFS(
          AP$1="BYU", IFERROR(_xlfn.XLOOKUP($AI51, 'MAG College Enrollment Forecast'!$A:$A, 'MAG College Enrollment Forecast'!$B:$B), (AP$72-AP50)/($AI$72-$AI50)*($AI51-$AI50)+AP50),
          AP$1="UVU", IFERROR(_xlfn.XLOOKUP($AI51, 'MAG College Enrollment Forecast'!$A:$A, 'MAG College Enrollment Forecast'!$C:$C+'MAG College Enrollment Forecast'!$D:$D+'MAG College Enrollment Forecast'!$E:$E+'MAG College Enrollment Forecast'!$F:$F+'MAG College Enrollment Forecast'!$G:$G+'MAG College Enrollment Forecast'!$H:$H), (AP$72-AP50)/($AI$72-$AI50)*($AI51-$AI50)+AP50),
          TRUE, IFERROR(_xlfn.XLOOKUP($AI51, 'USHE Projections'!$A:$A, IFERROR(_xlfn.XLOOKUP(AP$1, 'USHE Projections'!$A$1:$E$1, 'USHE Projections'!$A:$E), "NONE"), (AP$72-AP50)/($AI$72-$AI50)*($AI51-$AI50)+AP50), (AP$72-AP50)/($AI$72-$AI50)*($AI51-$AI50)+AP50)
        )
      )
    )
  ), 0)</f>
        <v>2206</v>
      </c>
    </row>
    <row r="52" spans="35:42">
      <c r="AI52" s="3">
        <v>2040</v>
      </c>
      <c r="AJ52" s="104" cm="1">
        <f t="array" ref="AJ52">ROUND(
  IF(AND(AJ$1="Ensign", $AI52&gt;=2021, $AI52&lt;=2024),
    _xlfn.XLOOKUP($AI52, Ensign!$A$2:$A$12, Ensign!$B$2:$B$12),
    _xlfn.XLOOKUP($AI52, 'Historic (IPEDS &amp; 2019 RTP)'!$A:$A, _xlfn.XLOOKUP(AJ$1, 'Historic (IPEDS &amp; 2019 RTP)'!$A$1:$H$1, 'Historic (IPEDS &amp; 2019 RTP)'!$A:$H),
      IFERROR(_xlfn.XLOOKUP($AI52, 'USHE Historic'!$A$3:$A$13, _xlfn.XLOOKUP(AJ$1, 'USHE Historic'!$A$2:$E$2, 'USHE Historic'!$A$3:$E$13)),
        _xlfn.IFS(
          AJ$1="BYU", IFERROR(_xlfn.XLOOKUP($AI52, 'MAG College Enrollment Forecast'!$A:$A, 'MAG College Enrollment Forecast'!$B:$B), (AJ$72-AJ51)/($AI$72-$AI51)*($AI52-$AI51)+AJ51),
          AJ$1="UVU", IFERROR(_xlfn.XLOOKUP($AI52, 'MAG College Enrollment Forecast'!$A:$A, 'MAG College Enrollment Forecast'!$C:$C+'MAG College Enrollment Forecast'!$D:$D+'MAG College Enrollment Forecast'!$E:$E+'MAG College Enrollment Forecast'!$F:$F+'MAG College Enrollment Forecast'!$G:$G+'MAG College Enrollment Forecast'!$H:$H), (AJ$72-AJ51)/($AI$72-$AI51)*($AI52-$AI51)+AJ51),
          TRUE, IFERROR(_xlfn.XLOOKUP($AI52, 'USHE Projections'!$A:$A, IFERROR(_xlfn.XLOOKUP(AJ$1, 'USHE Projections'!$A$1:$E$1, 'USHE Projections'!$A:$E), "NONE"), (AJ$72-AJ51)/($AI$72-$AI51)*($AI52-$AI51)+AJ51), (AJ$72-AJ51)/($AI$72-$AI51)*($AI52-$AI51)+AJ51)
        )
      )
    )
  ), 0)</f>
        <v>40950</v>
      </c>
      <c r="AK52" s="104" cm="1">
        <f t="array" ref="AK52">ROUND(
  IF(AND(AK$1="Ensign", $AI52&gt;=2021, $AI52&lt;=2024),
    _xlfn.XLOOKUP($AI52, Ensign!$A$2:$A$12, Ensign!$B$2:$B$12),
    _xlfn.XLOOKUP($AI52, 'Historic (IPEDS &amp; 2019 RTP)'!$A:$A, _xlfn.XLOOKUP(AK$1, 'Historic (IPEDS &amp; 2019 RTP)'!$A$1:$H$1, 'Historic (IPEDS &amp; 2019 RTP)'!$A:$H),
      IFERROR(_xlfn.XLOOKUP($AI52, 'USHE Historic'!$A$3:$A$13, _xlfn.XLOOKUP(AK$1, 'USHE Historic'!$A$2:$E$2, 'USHE Historic'!$A$3:$E$13)),
        _xlfn.IFS(
          AK$1="BYU", IFERROR(_xlfn.XLOOKUP($AI52, 'MAG College Enrollment Forecast'!$A:$A, 'MAG College Enrollment Forecast'!$B:$B), (AK$72-AK51)/($AI$72-$AI51)*($AI52-$AI51)+AK51),
          AK$1="UVU", IFERROR(_xlfn.XLOOKUP($AI52, 'MAG College Enrollment Forecast'!$A:$A, 'MAG College Enrollment Forecast'!$C:$C+'MAG College Enrollment Forecast'!$D:$D+'MAG College Enrollment Forecast'!$E:$E+'MAG College Enrollment Forecast'!$F:$F+'MAG College Enrollment Forecast'!$G:$G+'MAG College Enrollment Forecast'!$H:$H), (AK$72-AK51)/($AI$72-$AI51)*($AI52-$AI51)+AK51),
          TRUE, IFERROR(_xlfn.XLOOKUP($AI52, 'USHE Projections'!$A:$A, IFERROR(_xlfn.XLOOKUP(AK$1, 'USHE Projections'!$A$1:$E$1, 'USHE Projections'!$A:$E), "NONE"), (AK$72-AK51)/($AI$72-$AI51)*($AI52-$AI51)+AK51), (AK$72-AK51)/($AI$72-$AI51)*($AI52-$AI51)+AK51)
        )
      )
    )
  ), 0)</f>
        <v>38670</v>
      </c>
      <c r="AL52" s="35" cm="1">
        <f t="array" ref="AL52">ROUND(
  IF(AND(AL$1="Ensign", $AI52&gt;=2021, $AI52&lt;=2024),
    _xlfn.XLOOKUP($AI52, Ensign!$A$2:$A$12, Ensign!$B$2:$B$12),
    _xlfn.XLOOKUP($AI52, 'Historic (IPEDS &amp; 2019 RTP)'!$A:$A, _xlfn.XLOOKUP(AL$1, 'Historic (IPEDS &amp; 2019 RTP)'!$A$1:$H$1, 'Historic (IPEDS &amp; 2019 RTP)'!$A:$H),
      IFERROR(_xlfn.XLOOKUP($AI52, 'USHE Historic'!$A$3:$A$13, _xlfn.XLOOKUP(AL$1, 'USHE Historic'!$A$2:$E$2, 'USHE Historic'!$A$3:$E$13)),
        _xlfn.IFS(
          AL$1="BYU", IFERROR(_xlfn.XLOOKUP($AI52, 'MAG College Enrollment Forecast'!$A:$A, 'MAG College Enrollment Forecast'!$B:$B), (AL$72-AL51)/($AI$72-$AI51)*($AI52-$AI51)+AL51),
          AL$1="UVU", IFERROR(_xlfn.XLOOKUP($AI52, 'MAG College Enrollment Forecast'!$A:$A, 'MAG College Enrollment Forecast'!$C:$C+'MAG College Enrollment Forecast'!$D:$D+'MAG College Enrollment Forecast'!$E:$E+'MAG College Enrollment Forecast'!$F:$F+'MAG College Enrollment Forecast'!$G:$G+'MAG College Enrollment Forecast'!$H:$H), (AL$72-AL51)/($AI$72-$AI51)*($AI52-$AI51)+AL51),
          TRUE, IFERROR(_xlfn.XLOOKUP($AI52, 'USHE Projections'!$A:$A, IFERROR(_xlfn.XLOOKUP(AL$1, 'USHE Projections'!$A$1:$E$1, 'USHE Projections'!$A:$E), "NONE"), (AL$72-AL51)/($AI$72-$AI51)*($AI52-$AI51)+AL51), (AL$72-AL51)/($AI$72-$AI51)*($AI52-$AI51)+AL51)
        )
      )
    )
  ), 0)</f>
        <v>66093</v>
      </c>
      <c r="AM52" s="104" cm="1">
        <f t="array" ref="AM52">ROUND(
  IF(AND(AM$1="Ensign", $AI52&gt;=2021, $AI52&lt;=2024),
    _xlfn.XLOOKUP($AI52, Ensign!$A$2:$A$12, Ensign!$B$2:$B$12),
    _xlfn.XLOOKUP($AI52, 'Historic (IPEDS &amp; 2019 RTP)'!$A:$A, _xlfn.XLOOKUP(AM$1, 'Historic (IPEDS &amp; 2019 RTP)'!$A$1:$H$1, 'Historic (IPEDS &amp; 2019 RTP)'!$A:$H),
      IFERROR(_xlfn.XLOOKUP($AI52, 'USHE Historic'!$A$3:$A$13, _xlfn.XLOOKUP(AM$1, 'USHE Historic'!$A$2:$E$2, 'USHE Historic'!$A$3:$E$13)),
        _xlfn.IFS(
          AM$1="BYU", IFERROR(_xlfn.XLOOKUP($AI52, 'MAG College Enrollment Forecast'!$A:$A, 'MAG College Enrollment Forecast'!$B:$B), (AM$72-AM51)/($AI$72-$AI51)*($AI52-$AI51)+AM51),
          AM$1="UVU", IFERROR(_xlfn.XLOOKUP($AI52, 'MAG College Enrollment Forecast'!$A:$A, 'MAG College Enrollment Forecast'!$C:$C+'MAG College Enrollment Forecast'!$D:$D+'MAG College Enrollment Forecast'!$E:$E+'MAG College Enrollment Forecast'!$F:$F+'MAG College Enrollment Forecast'!$G:$G+'MAG College Enrollment Forecast'!$H:$H), (AM$72-AM51)/($AI$72-$AI51)*($AI52-$AI51)+AM51),
          TRUE, IFERROR(_xlfn.XLOOKUP($AI52, 'USHE Projections'!$A:$A, IFERROR(_xlfn.XLOOKUP(AM$1, 'USHE Projections'!$A$1:$E$1, 'USHE Projections'!$A:$E), "NONE"), (AM$72-AM51)/($AI$72-$AI51)*($AI52-$AI51)+AM51), (AM$72-AM51)/($AI$72-$AI51)*($AI52-$AI51)+AM51)
        )
      )
    )
  ), 0)</f>
        <v>36263</v>
      </c>
      <c r="AN52" s="35" cm="1">
        <f t="array" ref="AN52">ROUND(
  IF(AND(AN$1="Ensign", $AI52&gt;=2021, $AI52&lt;=2024),
    _xlfn.XLOOKUP($AI52, Ensign!$A$2:$A$12, Ensign!$B$2:$B$12),
    _xlfn.XLOOKUP($AI52, 'Historic (IPEDS &amp; 2019 RTP)'!$A:$A, _xlfn.XLOOKUP(AN$1, 'Historic (IPEDS &amp; 2019 RTP)'!$A$1:$H$1, 'Historic (IPEDS &amp; 2019 RTP)'!$A:$H),
      IFERROR(_xlfn.XLOOKUP($AI52, 'USHE Historic'!$A$3:$A$13, _xlfn.XLOOKUP(AN$1, 'USHE Historic'!$A$2:$E$2, 'USHE Historic'!$A$3:$E$13)),
        _xlfn.IFS(
          AN$1="BYU", IFERROR(_xlfn.XLOOKUP($AI52, 'MAG College Enrollment Forecast'!$A:$A, 'MAG College Enrollment Forecast'!$B:$B), (AN$72-AN51)/($AI$72-$AI51)*($AI52-$AI51)+AN51),
          AN$1="UVU", IFERROR(_xlfn.XLOOKUP($AI52, 'MAG College Enrollment Forecast'!$A:$A, 'MAG College Enrollment Forecast'!$C:$C+'MAG College Enrollment Forecast'!$D:$D+'MAG College Enrollment Forecast'!$E:$E+'MAG College Enrollment Forecast'!$F:$F+'MAG College Enrollment Forecast'!$G:$G+'MAG College Enrollment Forecast'!$H:$H), (AN$72-AN51)/($AI$72-$AI51)*($AI52-$AI51)+AN51),
          TRUE, IFERROR(_xlfn.XLOOKUP($AI52, 'USHE Projections'!$A:$A, IFERROR(_xlfn.XLOOKUP(AN$1, 'USHE Projections'!$A$1:$E$1, 'USHE Projections'!$A:$E), "NONE"), (AN$72-AN51)/($AI$72-$AI51)*($AI52-$AI51)+AN51), (AN$72-AN51)/($AI$72-$AI51)*($AI52-$AI51)+AN51)
        )
      )
    )
  ), 0)</f>
        <v>38032</v>
      </c>
      <c r="AO52" s="104" cm="1">
        <f t="array" ref="AO52">ROUND(
  IF(AND(AO$1="Ensign", $AI52&gt;=2021, $AI52&lt;=2024),
    _xlfn.XLOOKUP($AI52, Ensign!$A$2:$A$12, Ensign!$B$2:$B$12),
    _xlfn.XLOOKUP($AI52, 'Historic (IPEDS &amp; 2019 RTP)'!$A:$A, _xlfn.XLOOKUP(AO$1, 'Historic (IPEDS &amp; 2019 RTP)'!$A$1:$H$1, 'Historic (IPEDS &amp; 2019 RTP)'!$A:$H),
      IFERROR(_xlfn.XLOOKUP($AI52, 'USHE Historic'!$A$3:$A$13, _xlfn.XLOOKUP(AO$1, 'USHE Historic'!$A$2:$E$2, 'USHE Historic'!$A$3:$E$13)),
        _xlfn.IFS(
          AO$1="BYU", IFERROR(_xlfn.XLOOKUP($AI52, 'MAG College Enrollment Forecast'!$A:$A, 'MAG College Enrollment Forecast'!$B:$B), (AO$72-AO51)/($AI$72-$AI51)*($AI52-$AI51)+AO51),
          AO$1="UVU", IFERROR(_xlfn.XLOOKUP($AI52, 'MAG College Enrollment Forecast'!$A:$A, 'MAG College Enrollment Forecast'!$C:$C+'MAG College Enrollment Forecast'!$D:$D+'MAG College Enrollment Forecast'!$E:$E+'MAG College Enrollment Forecast'!$F:$F+'MAG College Enrollment Forecast'!$G:$G+'MAG College Enrollment Forecast'!$H:$H), (AO$72-AO51)/($AI$72-$AI51)*($AI52-$AI51)+AO51),
          TRUE, IFERROR(_xlfn.XLOOKUP($AI52, 'USHE Projections'!$A:$A, IFERROR(_xlfn.XLOOKUP(AO$1, 'USHE Projections'!$A$1:$E$1, 'USHE Projections'!$A:$E), "NONE"), (AO$72-AO51)/($AI$72-$AI51)*($AI52-$AI51)+AO51), (AO$72-AO51)/($AI$72-$AI51)*($AI52-$AI51)+AO51)
        )
      )
    )
  ), 0)</f>
        <v>2497</v>
      </c>
      <c r="AP52" s="104" cm="1">
        <f t="array" ref="AP52">ROUND(
  IF(AND(AP$1="Ensign", $AI52&gt;=2021, $AI52&lt;=2024),
    _xlfn.XLOOKUP($AI52, Ensign!$A$2:$A$12, Ensign!$B$2:$B$12),
    _xlfn.XLOOKUP($AI52, 'Historic (IPEDS &amp; 2019 RTP)'!$A:$A, _xlfn.XLOOKUP(AP$1, 'Historic (IPEDS &amp; 2019 RTP)'!$A$1:$H$1, 'Historic (IPEDS &amp; 2019 RTP)'!$A:$H),
      IFERROR(_xlfn.XLOOKUP($AI52, 'USHE Historic'!$A$3:$A$13, _xlfn.XLOOKUP(AP$1, 'USHE Historic'!$A$2:$E$2, 'USHE Historic'!$A$3:$E$13)),
        _xlfn.IFS(
          AP$1="BYU", IFERROR(_xlfn.XLOOKUP($AI52, 'MAG College Enrollment Forecast'!$A:$A, 'MAG College Enrollment Forecast'!$B:$B), (AP$72-AP51)/($AI$72-$AI51)*($AI52-$AI51)+AP51),
          AP$1="UVU", IFERROR(_xlfn.XLOOKUP($AI52, 'MAG College Enrollment Forecast'!$A:$A, 'MAG College Enrollment Forecast'!$C:$C+'MAG College Enrollment Forecast'!$D:$D+'MAG College Enrollment Forecast'!$E:$E+'MAG College Enrollment Forecast'!$F:$F+'MAG College Enrollment Forecast'!$G:$G+'MAG College Enrollment Forecast'!$H:$H), (AP$72-AP51)/($AI$72-$AI51)*($AI52-$AI51)+AP51),
          TRUE, IFERROR(_xlfn.XLOOKUP($AI52, 'USHE Projections'!$A:$A, IFERROR(_xlfn.XLOOKUP(AP$1, 'USHE Projections'!$A$1:$E$1, 'USHE Projections'!$A:$E), "NONE"), (AP$72-AP51)/($AI$72-$AI51)*($AI52-$AI51)+AP51), (AP$72-AP51)/($AI$72-$AI51)*($AI52-$AI51)+AP51)
        )
      )
    )
  ), 0)</f>
        <v>2268</v>
      </c>
    </row>
    <row r="53" spans="35:42">
      <c r="AI53" s="3">
        <v>2041</v>
      </c>
      <c r="AJ53" s="104" cm="1">
        <f t="array" ref="AJ53">ROUND(
  IF(AND(AJ$1="Ensign", $AI53&gt;=2021, $AI53&lt;=2024),
    _xlfn.XLOOKUP($AI53, Ensign!$A$2:$A$12, Ensign!$B$2:$B$12),
    _xlfn.XLOOKUP($AI53, 'Historic (IPEDS &amp; 2019 RTP)'!$A:$A, _xlfn.XLOOKUP(AJ$1, 'Historic (IPEDS &amp; 2019 RTP)'!$A$1:$H$1, 'Historic (IPEDS &amp; 2019 RTP)'!$A:$H),
      IFERROR(_xlfn.XLOOKUP($AI53, 'USHE Historic'!$A$3:$A$13, _xlfn.XLOOKUP(AJ$1, 'USHE Historic'!$A$2:$E$2, 'USHE Historic'!$A$3:$E$13)),
        _xlfn.IFS(
          AJ$1="BYU", IFERROR(_xlfn.XLOOKUP($AI53, 'MAG College Enrollment Forecast'!$A:$A, 'MAG College Enrollment Forecast'!$B:$B), (AJ$72-AJ52)/($AI$72-$AI52)*($AI53-$AI52)+AJ52),
          AJ$1="UVU", IFERROR(_xlfn.XLOOKUP($AI53, 'MAG College Enrollment Forecast'!$A:$A, 'MAG College Enrollment Forecast'!$C:$C+'MAG College Enrollment Forecast'!$D:$D+'MAG College Enrollment Forecast'!$E:$E+'MAG College Enrollment Forecast'!$F:$F+'MAG College Enrollment Forecast'!$G:$G+'MAG College Enrollment Forecast'!$H:$H), (AJ$72-AJ52)/($AI$72-$AI52)*($AI53-$AI52)+AJ52),
          TRUE, IFERROR(_xlfn.XLOOKUP($AI53, 'USHE Projections'!$A:$A, IFERROR(_xlfn.XLOOKUP(AJ$1, 'USHE Projections'!$A$1:$E$1, 'USHE Projections'!$A:$E), "NONE"), (AJ$72-AJ52)/($AI$72-$AI52)*($AI53-$AI52)+AJ52), (AJ$72-AJ52)/($AI$72-$AI52)*($AI53-$AI52)+AJ52)
        )
      )
    )
  ), 0)</f>
        <v>41253</v>
      </c>
      <c r="AK53" s="104" cm="1">
        <f t="array" ref="AK53">ROUND(
  IF(AND(AK$1="Ensign", $AI53&gt;=2021, $AI53&lt;=2024),
    _xlfn.XLOOKUP($AI53, Ensign!$A$2:$A$12, Ensign!$B$2:$B$12),
    _xlfn.XLOOKUP($AI53, 'Historic (IPEDS &amp; 2019 RTP)'!$A:$A, _xlfn.XLOOKUP(AK$1, 'Historic (IPEDS &amp; 2019 RTP)'!$A$1:$H$1, 'Historic (IPEDS &amp; 2019 RTP)'!$A:$H),
      IFERROR(_xlfn.XLOOKUP($AI53, 'USHE Historic'!$A$3:$A$13, _xlfn.XLOOKUP(AK$1, 'USHE Historic'!$A$2:$E$2, 'USHE Historic'!$A$3:$E$13)),
        _xlfn.IFS(
          AK$1="BYU", IFERROR(_xlfn.XLOOKUP($AI53, 'MAG College Enrollment Forecast'!$A:$A, 'MAG College Enrollment Forecast'!$B:$B), (AK$72-AK52)/($AI$72-$AI52)*($AI53-$AI52)+AK52),
          AK$1="UVU", IFERROR(_xlfn.XLOOKUP($AI53, 'MAG College Enrollment Forecast'!$A:$A, 'MAG College Enrollment Forecast'!$C:$C+'MAG College Enrollment Forecast'!$D:$D+'MAG College Enrollment Forecast'!$E:$E+'MAG College Enrollment Forecast'!$F:$F+'MAG College Enrollment Forecast'!$G:$G+'MAG College Enrollment Forecast'!$H:$H), (AK$72-AK52)/($AI$72-$AI52)*($AI53-$AI52)+AK52),
          TRUE, IFERROR(_xlfn.XLOOKUP($AI53, 'USHE Projections'!$A:$A, IFERROR(_xlfn.XLOOKUP(AK$1, 'USHE Projections'!$A$1:$E$1, 'USHE Projections'!$A:$E), "NONE"), (AK$72-AK52)/($AI$72-$AI52)*($AI53-$AI52)+AK52), (AK$72-AK52)/($AI$72-$AI52)*($AI53-$AI52)+AK52)
        )
      )
    )
  ), 0)</f>
        <v>39137</v>
      </c>
      <c r="AL53" s="35" cm="1">
        <f t="array" ref="AL53">ROUND(
  IF(AND(AL$1="Ensign", $AI53&gt;=2021, $AI53&lt;=2024),
    _xlfn.XLOOKUP($AI53, Ensign!$A$2:$A$12, Ensign!$B$2:$B$12),
    _xlfn.XLOOKUP($AI53, 'Historic (IPEDS &amp; 2019 RTP)'!$A:$A, _xlfn.XLOOKUP(AL$1, 'Historic (IPEDS &amp; 2019 RTP)'!$A$1:$H$1, 'Historic (IPEDS &amp; 2019 RTP)'!$A:$H),
      IFERROR(_xlfn.XLOOKUP($AI53, 'USHE Historic'!$A$3:$A$13, _xlfn.XLOOKUP(AL$1, 'USHE Historic'!$A$2:$E$2, 'USHE Historic'!$A$3:$E$13)),
        _xlfn.IFS(
          AL$1="BYU", IFERROR(_xlfn.XLOOKUP($AI53, 'MAG College Enrollment Forecast'!$A:$A, 'MAG College Enrollment Forecast'!$B:$B), (AL$72-AL52)/($AI$72-$AI52)*($AI53-$AI52)+AL52),
          AL$1="UVU", IFERROR(_xlfn.XLOOKUP($AI53, 'MAG College Enrollment Forecast'!$A:$A, 'MAG College Enrollment Forecast'!$C:$C+'MAG College Enrollment Forecast'!$D:$D+'MAG College Enrollment Forecast'!$E:$E+'MAG College Enrollment Forecast'!$F:$F+'MAG College Enrollment Forecast'!$G:$G+'MAG College Enrollment Forecast'!$H:$H), (AL$72-AL52)/($AI$72-$AI52)*($AI53-$AI52)+AL52),
          TRUE, IFERROR(_xlfn.XLOOKUP($AI53, 'USHE Projections'!$A:$A, IFERROR(_xlfn.XLOOKUP(AL$1, 'USHE Projections'!$A$1:$E$1, 'USHE Projections'!$A:$E), "NONE"), (AL$72-AL52)/($AI$72-$AI52)*($AI53-$AI52)+AL52), (AL$72-AL52)/($AI$72-$AI52)*($AI53-$AI52)+AL52)
        )
      )
    )
  ), 0)</f>
        <v>67327</v>
      </c>
      <c r="AM53" s="104" cm="1">
        <f t="array" ref="AM53">ROUND(
  IF(AND(AM$1="Ensign", $AI53&gt;=2021, $AI53&lt;=2024),
    _xlfn.XLOOKUP($AI53, Ensign!$A$2:$A$12, Ensign!$B$2:$B$12),
    _xlfn.XLOOKUP($AI53, 'Historic (IPEDS &amp; 2019 RTP)'!$A:$A, _xlfn.XLOOKUP(AM$1, 'Historic (IPEDS &amp; 2019 RTP)'!$A$1:$H$1, 'Historic (IPEDS &amp; 2019 RTP)'!$A:$H),
      IFERROR(_xlfn.XLOOKUP($AI53, 'USHE Historic'!$A$3:$A$13, _xlfn.XLOOKUP(AM$1, 'USHE Historic'!$A$2:$E$2, 'USHE Historic'!$A$3:$E$13)),
        _xlfn.IFS(
          AM$1="BYU", IFERROR(_xlfn.XLOOKUP($AI53, 'MAG College Enrollment Forecast'!$A:$A, 'MAG College Enrollment Forecast'!$B:$B), (AM$72-AM52)/($AI$72-$AI52)*($AI53-$AI52)+AM52),
          AM$1="UVU", IFERROR(_xlfn.XLOOKUP($AI53, 'MAG College Enrollment Forecast'!$A:$A, 'MAG College Enrollment Forecast'!$C:$C+'MAG College Enrollment Forecast'!$D:$D+'MAG College Enrollment Forecast'!$E:$E+'MAG College Enrollment Forecast'!$F:$F+'MAG College Enrollment Forecast'!$G:$G+'MAG College Enrollment Forecast'!$H:$H), (AM$72-AM52)/($AI$72-$AI52)*($AI53-$AI52)+AM52),
          TRUE, IFERROR(_xlfn.XLOOKUP($AI53, 'USHE Projections'!$A:$A, IFERROR(_xlfn.XLOOKUP(AM$1, 'USHE Projections'!$A$1:$E$1, 'USHE Projections'!$A:$E), "NONE"), (AM$72-AM52)/($AI$72-$AI52)*($AI53-$AI52)+AM52), (AM$72-AM52)/($AI$72-$AI52)*($AI53-$AI52)+AM52)
        )
      )
    )
  ), 0)</f>
        <v>36600</v>
      </c>
      <c r="AN53" s="35" cm="1">
        <f t="array" ref="AN53">ROUND(
  IF(AND(AN$1="Ensign", $AI53&gt;=2021, $AI53&lt;=2024),
    _xlfn.XLOOKUP($AI53, Ensign!$A$2:$A$12, Ensign!$B$2:$B$12),
    _xlfn.XLOOKUP($AI53, 'Historic (IPEDS &amp; 2019 RTP)'!$A:$A, _xlfn.XLOOKUP(AN$1, 'Historic (IPEDS &amp; 2019 RTP)'!$A$1:$H$1, 'Historic (IPEDS &amp; 2019 RTP)'!$A:$H),
      IFERROR(_xlfn.XLOOKUP($AI53, 'USHE Historic'!$A$3:$A$13, _xlfn.XLOOKUP(AN$1, 'USHE Historic'!$A$2:$E$2, 'USHE Historic'!$A$3:$E$13)),
        _xlfn.IFS(
          AN$1="BYU", IFERROR(_xlfn.XLOOKUP($AI53, 'MAG College Enrollment Forecast'!$A:$A, 'MAG College Enrollment Forecast'!$B:$B), (AN$72-AN52)/($AI$72-$AI52)*($AI53-$AI52)+AN52),
          AN$1="UVU", IFERROR(_xlfn.XLOOKUP($AI53, 'MAG College Enrollment Forecast'!$A:$A, 'MAG College Enrollment Forecast'!$C:$C+'MAG College Enrollment Forecast'!$D:$D+'MAG College Enrollment Forecast'!$E:$E+'MAG College Enrollment Forecast'!$F:$F+'MAG College Enrollment Forecast'!$G:$G+'MAG College Enrollment Forecast'!$H:$H), (AN$72-AN52)/($AI$72-$AI52)*($AI53-$AI52)+AN52),
          TRUE, IFERROR(_xlfn.XLOOKUP($AI53, 'USHE Projections'!$A:$A, IFERROR(_xlfn.XLOOKUP(AN$1, 'USHE Projections'!$A$1:$E$1, 'USHE Projections'!$A:$E), "NONE"), (AN$72-AN52)/($AI$72-$AI52)*($AI53-$AI52)+AN52), (AN$72-AN52)/($AI$72-$AI52)*($AI53-$AI52)+AN52)
        )
      )
    )
  ), 0)</f>
        <v>38069</v>
      </c>
      <c r="AO53" s="104" cm="1">
        <f t="array" ref="AO53">ROUND(
  IF(AND(AO$1="Ensign", $AI53&gt;=2021, $AI53&lt;=2024),
    _xlfn.XLOOKUP($AI53, Ensign!$A$2:$A$12, Ensign!$B$2:$B$12),
    _xlfn.XLOOKUP($AI53, 'Historic (IPEDS &amp; 2019 RTP)'!$A:$A, _xlfn.XLOOKUP(AO$1, 'Historic (IPEDS &amp; 2019 RTP)'!$A$1:$H$1, 'Historic (IPEDS &amp; 2019 RTP)'!$A:$H),
      IFERROR(_xlfn.XLOOKUP($AI53, 'USHE Historic'!$A$3:$A$13, _xlfn.XLOOKUP(AO$1, 'USHE Historic'!$A$2:$E$2, 'USHE Historic'!$A$3:$E$13)),
        _xlfn.IFS(
          AO$1="BYU", IFERROR(_xlfn.XLOOKUP($AI53, 'MAG College Enrollment Forecast'!$A:$A, 'MAG College Enrollment Forecast'!$B:$B), (AO$72-AO52)/($AI$72-$AI52)*($AI53-$AI52)+AO52),
          AO$1="UVU", IFERROR(_xlfn.XLOOKUP($AI53, 'MAG College Enrollment Forecast'!$A:$A, 'MAG College Enrollment Forecast'!$C:$C+'MAG College Enrollment Forecast'!$D:$D+'MAG College Enrollment Forecast'!$E:$E+'MAG College Enrollment Forecast'!$F:$F+'MAG College Enrollment Forecast'!$G:$G+'MAG College Enrollment Forecast'!$H:$H), (AO$72-AO52)/($AI$72-$AI52)*($AI53-$AI52)+AO52),
          TRUE, IFERROR(_xlfn.XLOOKUP($AI53, 'USHE Projections'!$A:$A, IFERROR(_xlfn.XLOOKUP(AO$1, 'USHE Projections'!$A$1:$E$1, 'USHE Projections'!$A:$E), "NONE"), (AO$72-AO52)/($AI$72-$AI52)*($AI53-$AI52)+AO52), (AO$72-AO52)/($AI$72-$AI52)*($AI53-$AI52)+AO52)
        )
      )
    )
  ), 0)</f>
        <v>2532</v>
      </c>
      <c r="AP53" s="104" cm="1">
        <f t="array" ref="AP53">ROUND(
  IF(AND(AP$1="Ensign", $AI53&gt;=2021, $AI53&lt;=2024),
    _xlfn.XLOOKUP($AI53, Ensign!$A$2:$A$12, Ensign!$B$2:$B$12),
    _xlfn.XLOOKUP($AI53, 'Historic (IPEDS &amp; 2019 RTP)'!$A:$A, _xlfn.XLOOKUP(AP$1, 'Historic (IPEDS &amp; 2019 RTP)'!$A$1:$H$1, 'Historic (IPEDS &amp; 2019 RTP)'!$A:$H),
      IFERROR(_xlfn.XLOOKUP($AI53, 'USHE Historic'!$A$3:$A$13, _xlfn.XLOOKUP(AP$1, 'USHE Historic'!$A$2:$E$2, 'USHE Historic'!$A$3:$E$13)),
        _xlfn.IFS(
          AP$1="BYU", IFERROR(_xlfn.XLOOKUP($AI53, 'MAG College Enrollment Forecast'!$A:$A, 'MAG College Enrollment Forecast'!$B:$B), (AP$72-AP52)/($AI$72-$AI52)*($AI53-$AI52)+AP52),
          AP$1="UVU", IFERROR(_xlfn.XLOOKUP($AI53, 'MAG College Enrollment Forecast'!$A:$A, 'MAG College Enrollment Forecast'!$C:$C+'MAG College Enrollment Forecast'!$D:$D+'MAG College Enrollment Forecast'!$E:$E+'MAG College Enrollment Forecast'!$F:$F+'MAG College Enrollment Forecast'!$G:$G+'MAG College Enrollment Forecast'!$H:$H), (AP$72-AP52)/($AI$72-$AI52)*($AI53-$AI52)+AP52),
          TRUE, IFERROR(_xlfn.XLOOKUP($AI53, 'USHE Projections'!$A:$A, IFERROR(_xlfn.XLOOKUP(AP$1, 'USHE Projections'!$A$1:$E$1, 'USHE Projections'!$A:$E), "NONE"), (AP$72-AP52)/($AI$72-$AI52)*($AI53-$AI52)+AP52), (AP$72-AP52)/($AI$72-$AI52)*($AI53-$AI52)+AP52)
        )
      )
    )
  ), 0)</f>
        <v>2330</v>
      </c>
    </row>
    <row r="54" spans="35:42">
      <c r="AI54" s="3">
        <v>2042</v>
      </c>
      <c r="AJ54" s="104" cm="1">
        <f t="array" ref="AJ54">ROUND(
  IF(AND(AJ$1="Ensign", $AI54&gt;=2021, $AI54&lt;=2024),
    _xlfn.XLOOKUP($AI54, Ensign!$A$2:$A$12, Ensign!$B$2:$B$12),
    _xlfn.XLOOKUP($AI54, 'Historic (IPEDS &amp; 2019 RTP)'!$A:$A, _xlfn.XLOOKUP(AJ$1, 'Historic (IPEDS &amp; 2019 RTP)'!$A$1:$H$1, 'Historic (IPEDS &amp; 2019 RTP)'!$A:$H),
      IFERROR(_xlfn.XLOOKUP($AI54, 'USHE Historic'!$A$3:$A$13, _xlfn.XLOOKUP(AJ$1, 'USHE Historic'!$A$2:$E$2, 'USHE Historic'!$A$3:$E$13)),
        _xlfn.IFS(
          AJ$1="BYU", IFERROR(_xlfn.XLOOKUP($AI54, 'MAG College Enrollment Forecast'!$A:$A, 'MAG College Enrollment Forecast'!$B:$B), (AJ$72-AJ53)/($AI$72-$AI53)*($AI54-$AI53)+AJ53),
          AJ$1="UVU", IFERROR(_xlfn.XLOOKUP($AI54, 'MAG College Enrollment Forecast'!$A:$A, 'MAG College Enrollment Forecast'!$C:$C+'MAG College Enrollment Forecast'!$D:$D+'MAG College Enrollment Forecast'!$E:$E+'MAG College Enrollment Forecast'!$F:$F+'MAG College Enrollment Forecast'!$G:$G+'MAG College Enrollment Forecast'!$H:$H), (AJ$72-AJ53)/($AI$72-$AI53)*($AI54-$AI53)+AJ53),
          TRUE, IFERROR(_xlfn.XLOOKUP($AI54, 'USHE Projections'!$A:$A, IFERROR(_xlfn.XLOOKUP(AJ$1, 'USHE Projections'!$A$1:$E$1, 'USHE Projections'!$A:$E), "NONE"), (AJ$72-AJ53)/($AI$72-$AI53)*($AI54-$AI53)+AJ53), (AJ$72-AJ53)/($AI$72-$AI53)*($AI54-$AI53)+AJ53)
        )
      )
    )
  ), 0)</f>
        <v>41555</v>
      </c>
      <c r="AK54" s="104" cm="1">
        <f t="array" ref="AK54">ROUND(
  IF(AND(AK$1="Ensign", $AI54&gt;=2021, $AI54&lt;=2024),
    _xlfn.XLOOKUP($AI54, Ensign!$A$2:$A$12, Ensign!$B$2:$B$12),
    _xlfn.XLOOKUP($AI54, 'Historic (IPEDS &amp; 2019 RTP)'!$A:$A, _xlfn.XLOOKUP(AK$1, 'Historic (IPEDS &amp; 2019 RTP)'!$A$1:$H$1, 'Historic (IPEDS &amp; 2019 RTP)'!$A:$H),
      IFERROR(_xlfn.XLOOKUP($AI54, 'USHE Historic'!$A$3:$A$13, _xlfn.XLOOKUP(AK$1, 'USHE Historic'!$A$2:$E$2, 'USHE Historic'!$A$3:$E$13)),
        _xlfn.IFS(
          AK$1="BYU", IFERROR(_xlfn.XLOOKUP($AI54, 'MAG College Enrollment Forecast'!$A:$A, 'MAG College Enrollment Forecast'!$B:$B), (AK$72-AK53)/($AI$72-$AI53)*($AI54-$AI53)+AK53),
          AK$1="UVU", IFERROR(_xlfn.XLOOKUP($AI54, 'MAG College Enrollment Forecast'!$A:$A, 'MAG College Enrollment Forecast'!$C:$C+'MAG College Enrollment Forecast'!$D:$D+'MAG College Enrollment Forecast'!$E:$E+'MAG College Enrollment Forecast'!$F:$F+'MAG College Enrollment Forecast'!$G:$G+'MAG College Enrollment Forecast'!$H:$H), (AK$72-AK53)/($AI$72-$AI53)*($AI54-$AI53)+AK53),
          TRUE, IFERROR(_xlfn.XLOOKUP($AI54, 'USHE Projections'!$A:$A, IFERROR(_xlfn.XLOOKUP(AK$1, 'USHE Projections'!$A$1:$E$1, 'USHE Projections'!$A:$E), "NONE"), (AK$72-AK53)/($AI$72-$AI53)*($AI54-$AI53)+AK53), (AK$72-AK53)/($AI$72-$AI53)*($AI54-$AI53)+AK53)
        )
      )
    )
  ), 0)</f>
        <v>39603</v>
      </c>
      <c r="AL54" s="35" cm="1">
        <f t="array" ref="AL54">ROUND(
  IF(AND(AL$1="Ensign", $AI54&gt;=2021, $AI54&lt;=2024),
    _xlfn.XLOOKUP($AI54, Ensign!$A$2:$A$12, Ensign!$B$2:$B$12),
    _xlfn.XLOOKUP($AI54, 'Historic (IPEDS &amp; 2019 RTP)'!$A:$A, _xlfn.XLOOKUP(AL$1, 'Historic (IPEDS &amp; 2019 RTP)'!$A$1:$H$1, 'Historic (IPEDS &amp; 2019 RTP)'!$A:$H),
      IFERROR(_xlfn.XLOOKUP($AI54, 'USHE Historic'!$A$3:$A$13, _xlfn.XLOOKUP(AL$1, 'USHE Historic'!$A$2:$E$2, 'USHE Historic'!$A$3:$E$13)),
        _xlfn.IFS(
          AL$1="BYU", IFERROR(_xlfn.XLOOKUP($AI54, 'MAG College Enrollment Forecast'!$A:$A, 'MAG College Enrollment Forecast'!$B:$B), (AL$72-AL53)/($AI$72-$AI53)*($AI54-$AI53)+AL53),
          AL$1="UVU", IFERROR(_xlfn.XLOOKUP($AI54, 'MAG College Enrollment Forecast'!$A:$A, 'MAG College Enrollment Forecast'!$C:$C+'MAG College Enrollment Forecast'!$D:$D+'MAG College Enrollment Forecast'!$E:$E+'MAG College Enrollment Forecast'!$F:$F+'MAG College Enrollment Forecast'!$G:$G+'MAG College Enrollment Forecast'!$H:$H), (AL$72-AL53)/($AI$72-$AI53)*($AI54-$AI53)+AL53),
          TRUE, IFERROR(_xlfn.XLOOKUP($AI54, 'USHE Projections'!$A:$A, IFERROR(_xlfn.XLOOKUP(AL$1, 'USHE Projections'!$A$1:$E$1, 'USHE Projections'!$A:$E), "NONE"), (AL$72-AL53)/($AI$72-$AI53)*($AI54-$AI53)+AL53), (AL$72-AL53)/($AI$72-$AI53)*($AI54-$AI53)+AL53)
        )
      )
    )
  ), 0)</f>
        <v>68561</v>
      </c>
      <c r="AM54" s="104" cm="1">
        <f t="array" ref="AM54">ROUND(
  IF(AND(AM$1="Ensign", $AI54&gt;=2021, $AI54&lt;=2024),
    _xlfn.XLOOKUP($AI54, Ensign!$A$2:$A$12, Ensign!$B$2:$B$12),
    _xlfn.XLOOKUP($AI54, 'Historic (IPEDS &amp; 2019 RTP)'!$A:$A, _xlfn.XLOOKUP(AM$1, 'Historic (IPEDS &amp; 2019 RTP)'!$A$1:$H$1, 'Historic (IPEDS &amp; 2019 RTP)'!$A:$H),
      IFERROR(_xlfn.XLOOKUP($AI54, 'USHE Historic'!$A$3:$A$13, _xlfn.XLOOKUP(AM$1, 'USHE Historic'!$A$2:$E$2, 'USHE Historic'!$A$3:$E$13)),
        _xlfn.IFS(
          AM$1="BYU", IFERROR(_xlfn.XLOOKUP($AI54, 'MAG College Enrollment Forecast'!$A:$A, 'MAG College Enrollment Forecast'!$B:$B), (AM$72-AM53)/($AI$72-$AI53)*($AI54-$AI53)+AM53),
          AM$1="UVU", IFERROR(_xlfn.XLOOKUP($AI54, 'MAG College Enrollment Forecast'!$A:$A, 'MAG College Enrollment Forecast'!$C:$C+'MAG College Enrollment Forecast'!$D:$D+'MAG College Enrollment Forecast'!$E:$E+'MAG College Enrollment Forecast'!$F:$F+'MAG College Enrollment Forecast'!$G:$G+'MAG College Enrollment Forecast'!$H:$H), (AM$72-AM53)/($AI$72-$AI53)*($AI54-$AI53)+AM53),
          TRUE, IFERROR(_xlfn.XLOOKUP($AI54, 'USHE Projections'!$A:$A, IFERROR(_xlfn.XLOOKUP(AM$1, 'USHE Projections'!$A$1:$E$1, 'USHE Projections'!$A:$E), "NONE"), (AM$72-AM53)/($AI$72-$AI53)*($AI54-$AI53)+AM53), (AM$72-AM53)/($AI$72-$AI53)*($AI54-$AI53)+AM53)
        )
      )
    )
  ), 0)</f>
        <v>36937</v>
      </c>
      <c r="AN54" s="35" cm="1">
        <f t="array" ref="AN54">ROUND(
  IF(AND(AN$1="Ensign", $AI54&gt;=2021, $AI54&lt;=2024),
    _xlfn.XLOOKUP($AI54, Ensign!$A$2:$A$12, Ensign!$B$2:$B$12),
    _xlfn.XLOOKUP($AI54, 'Historic (IPEDS &amp; 2019 RTP)'!$A:$A, _xlfn.XLOOKUP(AN$1, 'Historic (IPEDS &amp; 2019 RTP)'!$A$1:$H$1, 'Historic (IPEDS &amp; 2019 RTP)'!$A:$H),
      IFERROR(_xlfn.XLOOKUP($AI54, 'USHE Historic'!$A$3:$A$13, _xlfn.XLOOKUP(AN$1, 'USHE Historic'!$A$2:$E$2, 'USHE Historic'!$A$3:$E$13)),
        _xlfn.IFS(
          AN$1="BYU", IFERROR(_xlfn.XLOOKUP($AI54, 'MAG College Enrollment Forecast'!$A:$A, 'MAG College Enrollment Forecast'!$B:$B), (AN$72-AN53)/($AI$72-$AI53)*($AI54-$AI53)+AN53),
          AN$1="UVU", IFERROR(_xlfn.XLOOKUP($AI54, 'MAG College Enrollment Forecast'!$A:$A, 'MAG College Enrollment Forecast'!$C:$C+'MAG College Enrollment Forecast'!$D:$D+'MAG College Enrollment Forecast'!$E:$E+'MAG College Enrollment Forecast'!$F:$F+'MAG College Enrollment Forecast'!$G:$G+'MAG College Enrollment Forecast'!$H:$H), (AN$72-AN53)/($AI$72-$AI53)*($AI54-$AI53)+AN53),
          TRUE, IFERROR(_xlfn.XLOOKUP($AI54, 'USHE Projections'!$A:$A, IFERROR(_xlfn.XLOOKUP(AN$1, 'USHE Projections'!$A$1:$E$1, 'USHE Projections'!$A:$E), "NONE"), (AN$72-AN53)/($AI$72-$AI53)*($AI54-$AI53)+AN53), (AN$72-AN53)/($AI$72-$AI53)*($AI54-$AI53)+AN53)
        )
      )
    )
  ), 0)</f>
        <v>38106</v>
      </c>
      <c r="AO54" s="104" cm="1">
        <f t="array" ref="AO54">ROUND(
  IF(AND(AO$1="Ensign", $AI54&gt;=2021, $AI54&lt;=2024),
    _xlfn.XLOOKUP($AI54, Ensign!$A$2:$A$12, Ensign!$B$2:$B$12),
    _xlfn.XLOOKUP($AI54, 'Historic (IPEDS &amp; 2019 RTP)'!$A:$A, _xlfn.XLOOKUP(AO$1, 'Historic (IPEDS &amp; 2019 RTP)'!$A$1:$H$1, 'Historic (IPEDS &amp; 2019 RTP)'!$A:$H),
      IFERROR(_xlfn.XLOOKUP($AI54, 'USHE Historic'!$A$3:$A$13, _xlfn.XLOOKUP(AO$1, 'USHE Historic'!$A$2:$E$2, 'USHE Historic'!$A$3:$E$13)),
        _xlfn.IFS(
          AO$1="BYU", IFERROR(_xlfn.XLOOKUP($AI54, 'MAG College Enrollment Forecast'!$A:$A, 'MAG College Enrollment Forecast'!$B:$B), (AO$72-AO53)/($AI$72-$AI53)*($AI54-$AI53)+AO53),
          AO$1="UVU", IFERROR(_xlfn.XLOOKUP($AI54, 'MAG College Enrollment Forecast'!$A:$A, 'MAG College Enrollment Forecast'!$C:$C+'MAG College Enrollment Forecast'!$D:$D+'MAG College Enrollment Forecast'!$E:$E+'MAG College Enrollment Forecast'!$F:$F+'MAG College Enrollment Forecast'!$G:$G+'MAG College Enrollment Forecast'!$H:$H), (AO$72-AO53)/($AI$72-$AI53)*($AI54-$AI53)+AO53),
          TRUE, IFERROR(_xlfn.XLOOKUP($AI54, 'USHE Projections'!$A:$A, IFERROR(_xlfn.XLOOKUP(AO$1, 'USHE Projections'!$A$1:$E$1, 'USHE Projections'!$A:$E), "NONE"), (AO$72-AO53)/($AI$72-$AI53)*($AI54-$AI53)+AO53), (AO$72-AO53)/($AI$72-$AI53)*($AI54-$AI53)+AO53)
        )
      )
    )
  ), 0)</f>
        <v>2567</v>
      </c>
      <c r="AP54" s="104" cm="1">
        <f t="array" ref="AP54">ROUND(
  IF(AND(AP$1="Ensign", $AI54&gt;=2021, $AI54&lt;=2024),
    _xlfn.XLOOKUP($AI54, Ensign!$A$2:$A$12, Ensign!$B$2:$B$12),
    _xlfn.XLOOKUP($AI54, 'Historic (IPEDS &amp; 2019 RTP)'!$A:$A, _xlfn.XLOOKUP(AP$1, 'Historic (IPEDS &amp; 2019 RTP)'!$A$1:$H$1, 'Historic (IPEDS &amp; 2019 RTP)'!$A:$H),
      IFERROR(_xlfn.XLOOKUP($AI54, 'USHE Historic'!$A$3:$A$13, _xlfn.XLOOKUP(AP$1, 'USHE Historic'!$A$2:$E$2, 'USHE Historic'!$A$3:$E$13)),
        _xlfn.IFS(
          AP$1="BYU", IFERROR(_xlfn.XLOOKUP($AI54, 'MAG College Enrollment Forecast'!$A:$A, 'MAG College Enrollment Forecast'!$B:$B), (AP$72-AP53)/($AI$72-$AI53)*($AI54-$AI53)+AP53),
          AP$1="UVU", IFERROR(_xlfn.XLOOKUP($AI54, 'MAG College Enrollment Forecast'!$A:$A, 'MAG College Enrollment Forecast'!$C:$C+'MAG College Enrollment Forecast'!$D:$D+'MAG College Enrollment Forecast'!$E:$E+'MAG College Enrollment Forecast'!$F:$F+'MAG College Enrollment Forecast'!$G:$G+'MAG College Enrollment Forecast'!$H:$H), (AP$72-AP53)/($AI$72-$AI53)*($AI54-$AI53)+AP53),
          TRUE, IFERROR(_xlfn.XLOOKUP($AI54, 'USHE Projections'!$A:$A, IFERROR(_xlfn.XLOOKUP(AP$1, 'USHE Projections'!$A$1:$E$1, 'USHE Projections'!$A:$E), "NONE"), (AP$72-AP53)/($AI$72-$AI53)*($AI54-$AI53)+AP53), (AP$72-AP53)/($AI$72-$AI53)*($AI54-$AI53)+AP53)
        )
      )
    )
  ), 0)</f>
        <v>2392</v>
      </c>
    </row>
    <row r="55" spans="35:42">
      <c r="AI55" s="3">
        <v>2043</v>
      </c>
      <c r="AJ55" s="104" cm="1">
        <f t="array" ref="AJ55">ROUND(
  IF(AND(AJ$1="Ensign", $AI55&gt;=2021, $AI55&lt;=2024),
    _xlfn.XLOOKUP($AI55, Ensign!$A$2:$A$12, Ensign!$B$2:$B$12),
    _xlfn.XLOOKUP($AI55, 'Historic (IPEDS &amp; 2019 RTP)'!$A:$A, _xlfn.XLOOKUP(AJ$1, 'Historic (IPEDS &amp; 2019 RTP)'!$A$1:$H$1, 'Historic (IPEDS &amp; 2019 RTP)'!$A:$H),
      IFERROR(_xlfn.XLOOKUP($AI55, 'USHE Historic'!$A$3:$A$13, _xlfn.XLOOKUP(AJ$1, 'USHE Historic'!$A$2:$E$2, 'USHE Historic'!$A$3:$E$13)),
        _xlfn.IFS(
          AJ$1="BYU", IFERROR(_xlfn.XLOOKUP($AI55, 'MAG College Enrollment Forecast'!$A:$A, 'MAG College Enrollment Forecast'!$B:$B), (AJ$72-AJ54)/($AI$72-$AI54)*($AI55-$AI54)+AJ54),
          AJ$1="UVU", IFERROR(_xlfn.XLOOKUP($AI55, 'MAG College Enrollment Forecast'!$A:$A, 'MAG College Enrollment Forecast'!$C:$C+'MAG College Enrollment Forecast'!$D:$D+'MAG College Enrollment Forecast'!$E:$E+'MAG College Enrollment Forecast'!$F:$F+'MAG College Enrollment Forecast'!$G:$G+'MAG College Enrollment Forecast'!$H:$H), (AJ$72-AJ54)/($AI$72-$AI54)*($AI55-$AI54)+AJ54),
          TRUE, IFERROR(_xlfn.XLOOKUP($AI55, 'USHE Projections'!$A:$A, IFERROR(_xlfn.XLOOKUP(AJ$1, 'USHE Projections'!$A$1:$E$1, 'USHE Projections'!$A:$E), "NONE"), (AJ$72-AJ54)/($AI$72-$AI54)*($AI55-$AI54)+AJ54), (AJ$72-AJ54)/($AI$72-$AI54)*($AI55-$AI54)+AJ54)
        )
      )
    )
  ), 0)</f>
        <v>41858</v>
      </c>
      <c r="AK55" s="104" cm="1">
        <f t="array" ref="AK55">ROUND(
  IF(AND(AK$1="Ensign", $AI55&gt;=2021, $AI55&lt;=2024),
    _xlfn.XLOOKUP($AI55, Ensign!$A$2:$A$12, Ensign!$B$2:$B$12),
    _xlfn.XLOOKUP($AI55, 'Historic (IPEDS &amp; 2019 RTP)'!$A:$A, _xlfn.XLOOKUP(AK$1, 'Historic (IPEDS &amp; 2019 RTP)'!$A$1:$H$1, 'Historic (IPEDS &amp; 2019 RTP)'!$A:$H),
      IFERROR(_xlfn.XLOOKUP($AI55, 'USHE Historic'!$A$3:$A$13, _xlfn.XLOOKUP(AK$1, 'USHE Historic'!$A$2:$E$2, 'USHE Historic'!$A$3:$E$13)),
        _xlfn.IFS(
          AK$1="BYU", IFERROR(_xlfn.XLOOKUP($AI55, 'MAG College Enrollment Forecast'!$A:$A, 'MAG College Enrollment Forecast'!$B:$B), (AK$72-AK54)/($AI$72-$AI54)*($AI55-$AI54)+AK54),
          AK$1="UVU", IFERROR(_xlfn.XLOOKUP($AI55, 'MAG College Enrollment Forecast'!$A:$A, 'MAG College Enrollment Forecast'!$C:$C+'MAG College Enrollment Forecast'!$D:$D+'MAG College Enrollment Forecast'!$E:$E+'MAG College Enrollment Forecast'!$F:$F+'MAG College Enrollment Forecast'!$G:$G+'MAG College Enrollment Forecast'!$H:$H), (AK$72-AK54)/($AI$72-$AI54)*($AI55-$AI54)+AK54),
          TRUE, IFERROR(_xlfn.XLOOKUP($AI55, 'USHE Projections'!$A:$A, IFERROR(_xlfn.XLOOKUP(AK$1, 'USHE Projections'!$A$1:$E$1, 'USHE Projections'!$A:$E), "NONE"), (AK$72-AK54)/($AI$72-$AI54)*($AI55-$AI54)+AK54), (AK$72-AK54)/($AI$72-$AI54)*($AI55-$AI54)+AK54)
        )
      )
    )
  ), 0)</f>
        <v>40070</v>
      </c>
      <c r="AL55" s="35" cm="1">
        <f t="array" ref="AL55">ROUND(
  IF(AND(AL$1="Ensign", $AI55&gt;=2021, $AI55&lt;=2024),
    _xlfn.XLOOKUP($AI55, Ensign!$A$2:$A$12, Ensign!$B$2:$B$12),
    _xlfn.XLOOKUP($AI55, 'Historic (IPEDS &amp; 2019 RTP)'!$A:$A, _xlfn.XLOOKUP(AL$1, 'Historic (IPEDS &amp; 2019 RTP)'!$A$1:$H$1, 'Historic (IPEDS &amp; 2019 RTP)'!$A:$H),
      IFERROR(_xlfn.XLOOKUP($AI55, 'USHE Historic'!$A$3:$A$13, _xlfn.XLOOKUP(AL$1, 'USHE Historic'!$A$2:$E$2, 'USHE Historic'!$A$3:$E$13)),
        _xlfn.IFS(
          AL$1="BYU", IFERROR(_xlfn.XLOOKUP($AI55, 'MAG College Enrollment Forecast'!$A:$A, 'MAG College Enrollment Forecast'!$B:$B), (AL$72-AL54)/($AI$72-$AI54)*($AI55-$AI54)+AL54),
          AL$1="UVU", IFERROR(_xlfn.XLOOKUP($AI55, 'MAG College Enrollment Forecast'!$A:$A, 'MAG College Enrollment Forecast'!$C:$C+'MAG College Enrollment Forecast'!$D:$D+'MAG College Enrollment Forecast'!$E:$E+'MAG College Enrollment Forecast'!$F:$F+'MAG College Enrollment Forecast'!$G:$G+'MAG College Enrollment Forecast'!$H:$H), (AL$72-AL54)/($AI$72-$AI54)*($AI55-$AI54)+AL54),
          TRUE, IFERROR(_xlfn.XLOOKUP($AI55, 'USHE Projections'!$A:$A, IFERROR(_xlfn.XLOOKUP(AL$1, 'USHE Projections'!$A$1:$E$1, 'USHE Projections'!$A:$E), "NONE"), (AL$72-AL54)/($AI$72-$AI54)*($AI55-$AI54)+AL54), (AL$72-AL54)/($AI$72-$AI54)*($AI55-$AI54)+AL54)
        )
      )
    )
  ), 0)</f>
        <v>69795</v>
      </c>
      <c r="AM55" s="104" cm="1">
        <f t="array" ref="AM55">ROUND(
  IF(AND(AM$1="Ensign", $AI55&gt;=2021, $AI55&lt;=2024),
    _xlfn.XLOOKUP($AI55, Ensign!$A$2:$A$12, Ensign!$B$2:$B$12),
    _xlfn.XLOOKUP($AI55, 'Historic (IPEDS &amp; 2019 RTP)'!$A:$A, _xlfn.XLOOKUP(AM$1, 'Historic (IPEDS &amp; 2019 RTP)'!$A$1:$H$1, 'Historic (IPEDS &amp; 2019 RTP)'!$A:$H),
      IFERROR(_xlfn.XLOOKUP($AI55, 'USHE Historic'!$A$3:$A$13, _xlfn.XLOOKUP(AM$1, 'USHE Historic'!$A$2:$E$2, 'USHE Historic'!$A$3:$E$13)),
        _xlfn.IFS(
          AM$1="BYU", IFERROR(_xlfn.XLOOKUP($AI55, 'MAG College Enrollment Forecast'!$A:$A, 'MAG College Enrollment Forecast'!$B:$B), (AM$72-AM54)/($AI$72-$AI54)*($AI55-$AI54)+AM54),
          AM$1="UVU", IFERROR(_xlfn.XLOOKUP($AI55, 'MAG College Enrollment Forecast'!$A:$A, 'MAG College Enrollment Forecast'!$C:$C+'MAG College Enrollment Forecast'!$D:$D+'MAG College Enrollment Forecast'!$E:$E+'MAG College Enrollment Forecast'!$F:$F+'MAG College Enrollment Forecast'!$G:$G+'MAG College Enrollment Forecast'!$H:$H), (AM$72-AM54)/($AI$72-$AI54)*($AI55-$AI54)+AM54),
          TRUE, IFERROR(_xlfn.XLOOKUP($AI55, 'USHE Projections'!$A:$A, IFERROR(_xlfn.XLOOKUP(AM$1, 'USHE Projections'!$A$1:$E$1, 'USHE Projections'!$A:$E), "NONE"), (AM$72-AM54)/($AI$72-$AI54)*($AI55-$AI54)+AM54), (AM$72-AM54)/($AI$72-$AI54)*($AI55-$AI54)+AM54)
        )
      )
    )
  ), 0)</f>
        <v>37274</v>
      </c>
      <c r="AN55" s="35" cm="1">
        <f t="array" ref="AN55">ROUND(
  IF(AND(AN$1="Ensign", $AI55&gt;=2021, $AI55&lt;=2024),
    _xlfn.XLOOKUP($AI55, Ensign!$A$2:$A$12, Ensign!$B$2:$B$12),
    _xlfn.XLOOKUP($AI55, 'Historic (IPEDS &amp; 2019 RTP)'!$A:$A, _xlfn.XLOOKUP(AN$1, 'Historic (IPEDS &amp; 2019 RTP)'!$A$1:$H$1, 'Historic (IPEDS &amp; 2019 RTP)'!$A:$H),
      IFERROR(_xlfn.XLOOKUP($AI55, 'USHE Historic'!$A$3:$A$13, _xlfn.XLOOKUP(AN$1, 'USHE Historic'!$A$2:$E$2, 'USHE Historic'!$A$3:$E$13)),
        _xlfn.IFS(
          AN$1="BYU", IFERROR(_xlfn.XLOOKUP($AI55, 'MAG College Enrollment Forecast'!$A:$A, 'MAG College Enrollment Forecast'!$B:$B), (AN$72-AN54)/($AI$72-$AI54)*($AI55-$AI54)+AN54),
          AN$1="UVU", IFERROR(_xlfn.XLOOKUP($AI55, 'MAG College Enrollment Forecast'!$A:$A, 'MAG College Enrollment Forecast'!$C:$C+'MAG College Enrollment Forecast'!$D:$D+'MAG College Enrollment Forecast'!$E:$E+'MAG College Enrollment Forecast'!$F:$F+'MAG College Enrollment Forecast'!$G:$G+'MAG College Enrollment Forecast'!$H:$H), (AN$72-AN54)/($AI$72-$AI54)*($AI55-$AI54)+AN54),
          TRUE, IFERROR(_xlfn.XLOOKUP($AI55, 'USHE Projections'!$A:$A, IFERROR(_xlfn.XLOOKUP(AN$1, 'USHE Projections'!$A$1:$E$1, 'USHE Projections'!$A:$E), "NONE"), (AN$72-AN54)/($AI$72-$AI54)*($AI55-$AI54)+AN54), (AN$72-AN54)/($AI$72-$AI54)*($AI55-$AI54)+AN54)
        )
      )
    )
  ), 0)</f>
        <v>38143</v>
      </c>
      <c r="AO55" s="104" cm="1">
        <f t="array" ref="AO55">ROUND(
  IF(AND(AO$1="Ensign", $AI55&gt;=2021, $AI55&lt;=2024),
    _xlfn.XLOOKUP($AI55, Ensign!$A$2:$A$12, Ensign!$B$2:$B$12),
    _xlfn.XLOOKUP($AI55, 'Historic (IPEDS &amp; 2019 RTP)'!$A:$A, _xlfn.XLOOKUP(AO$1, 'Historic (IPEDS &amp; 2019 RTP)'!$A$1:$H$1, 'Historic (IPEDS &amp; 2019 RTP)'!$A:$H),
      IFERROR(_xlfn.XLOOKUP($AI55, 'USHE Historic'!$A$3:$A$13, _xlfn.XLOOKUP(AO$1, 'USHE Historic'!$A$2:$E$2, 'USHE Historic'!$A$3:$E$13)),
        _xlfn.IFS(
          AO$1="BYU", IFERROR(_xlfn.XLOOKUP($AI55, 'MAG College Enrollment Forecast'!$A:$A, 'MAG College Enrollment Forecast'!$B:$B), (AO$72-AO54)/($AI$72-$AI54)*($AI55-$AI54)+AO54),
          AO$1="UVU", IFERROR(_xlfn.XLOOKUP($AI55, 'MAG College Enrollment Forecast'!$A:$A, 'MAG College Enrollment Forecast'!$C:$C+'MAG College Enrollment Forecast'!$D:$D+'MAG College Enrollment Forecast'!$E:$E+'MAG College Enrollment Forecast'!$F:$F+'MAG College Enrollment Forecast'!$G:$G+'MAG College Enrollment Forecast'!$H:$H), (AO$72-AO54)/($AI$72-$AI54)*($AI55-$AI54)+AO54),
          TRUE, IFERROR(_xlfn.XLOOKUP($AI55, 'USHE Projections'!$A:$A, IFERROR(_xlfn.XLOOKUP(AO$1, 'USHE Projections'!$A$1:$E$1, 'USHE Projections'!$A:$E), "NONE"), (AO$72-AO54)/($AI$72-$AI54)*($AI55-$AI54)+AO54), (AO$72-AO54)/($AI$72-$AI54)*($AI55-$AI54)+AO54)
        )
      )
    )
  ), 0)</f>
        <v>2602</v>
      </c>
      <c r="AP55" s="104" cm="1">
        <f t="array" ref="AP55">ROUND(
  IF(AND(AP$1="Ensign", $AI55&gt;=2021, $AI55&lt;=2024),
    _xlfn.XLOOKUP($AI55, Ensign!$A$2:$A$12, Ensign!$B$2:$B$12),
    _xlfn.XLOOKUP($AI55, 'Historic (IPEDS &amp; 2019 RTP)'!$A:$A, _xlfn.XLOOKUP(AP$1, 'Historic (IPEDS &amp; 2019 RTP)'!$A$1:$H$1, 'Historic (IPEDS &amp; 2019 RTP)'!$A:$H),
      IFERROR(_xlfn.XLOOKUP($AI55, 'USHE Historic'!$A$3:$A$13, _xlfn.XLOOKUP(AP$1, 'USHE Historic'!$A$2:$E$2, 'USHE Historic'!$A$3:$E$13)),
        _xlfn.IFS(
          AP$1="BYU", IFERROR(_xlfn.XLOOKUP($AI55, 'MAG College Enrollment Forecast'!$A:$A, 'MAG College Enrollment Forecast'!$B:$B), (AP$72-AP54)/($AI$72-$AI54)*($AI55-$AI54)+AP54),
          AP$1="UVU", IFERROR(_xlfn.XLOOKUP($AI55, 'MAG College Enrollment Forecast'!$A:$A, 'MAG College Enrollment Forecast'!$C:$C+'MAG College Enrollment Forecast'!$D:$D+'MAG College Enrollment Forecast'!$E:$E+'MAG College Enrollment Forecast'!$F:$F+'MAG College Enrollment Forecast'!$G:$G+'MAG College Enrollment Forecast'!$H:$H), (AP$72-AP54)/($AI$72-$AI54)*($AI55-$AI54)+AP54),
          TRUE, IFERROR(_xlfn.XLOOKUP($AI55, 'USHE Projections'!$A:$A, IFERROR(_xlfn.XLOOKUP(AP$1, 'USHE Projections'!$A$1:$E$1, 'USHE Projections'!$A:$E), "NONE"), (AP$72-AP54)/($AI$72-$AI54)*($AI55-$AI54)+AP54), (AP$72-AP54)/($AI$72-$AI54)*($AI55-$AI54)+AP54)
        )
      )
    )
  ), 0)</f>
        <v>2454</v>
      </c>
    </row>
    <row r="56" spans="35:42">
      <c r="AI56" s="3">
        <v>2044</v>
      </c>
      <c r="AJ56" s="104" cm="1">
        <f t="array" ref="AJ56">ROUND(
  IF(AND(AJ$1="Ensign", $AI56&gt;=2021, $AI56&lt;=2024),
    _xlfn.XLOOKUP($AI56, Ensign!$A$2:$A$12, Ensign!$B$2:$B$12),
    _xlfn.XLOOKUP($AI56, 'Historic (IPEDS &amp; 2019 RTP)'!$A:$A, _xlfn.XLOOKUP(AJ$1, 'Historic (IPEDS &amp; 2019 RTP)'!$A$1:$H$1, 'Historic (IPEDS &amp; 2019 RTP)'!$A:$H),
      IFERROR(_xlfn.XLOOKUP($AI56, 'USHE Historic'!$A$3:$A$13, _xlfn.XLOOKUP(AJ$1, 'USHE Historic'!$A$2:$E$2, 'USHE Historic'!$A$3:$E$13)),
        _xlfn.IFS(
          AJ$1="BYU", IFERROR(_xlfn.XLOOKUP($AI56, 'MAG College Enrollment Forecast'!$A:$A, 'MAG College Enrollment Forecast'!$B:$B), (AJ$72-AJ55)/($AI$72-$AI55)*($AI56-$AI55)+AJ55),
          AJ$1="UVU", IFERROR(_xlfn.XLOOKUP($AI56, 'MAG College Enrollment Forecast'!$A:$A, 'MAG College Enrollment Forecast'!$C:$C+'MAG College Enrollment Forecast'!$D:$D+'MAG College Enrollment Forecast'!$E:$E+'MAG College Enrollment Forecast'!$F:$F+'MAG College Enrollment Forecast'!$G:$G+'MAG College Enrollment Forecast'!$H:$H), (AJ$72-AJ55)/($AI$72-$AI55)*($AI56-$AI55)+AJ55),
          TRUE, IFERROR(_xlfn.XLOOKUP($AI56, 'USHE Projections'!$A:$A, IFERROR(_xlfn.XLOOKUP(AJ$1, 'USHE Projections'!$A$1:$E$1, 'USHE Projections'!$A:$E), "NONE"), (AJ$72-AJ55)/($AI$72-$AI55)*($AI56-$AI55)+AJ55), (AJ$72-AJ55)/($AI$72-$AI55)*($AI56-$AI55)+AJ55)
        )
      )
    )
  ), 0)</f>
        <v>42160</v>
      </c>
      <c r="AK56" s="104" cm="1">
        <f t="array" ref="AK56">ROUND(
  IF(AND(AK$1="Ensign", $AI56&gt;=2021, $AI56&lt;=2024),
    _xlfn.XLOOKUP($AI56, Ensign!$A$2:$A$12, Ensign!$B$2:$B$12),
    _xlfn.XLOOKUP($AI56, 'Historic (IPEDS &amp; 2019 RTP)'!$A:$A, _xlfn.XLOOKUP(AK$1, 'Historic (IPEDS &amp; 2019 RTP)'!$A$1:$H$1, 'Historic (IPEDS &amp; 2019 RTP)'!$A:$H),
      IFERROR(_xlfn.XLOOKUP($AI56, 'USHE Historic'!$A$3:$A$13, _xlfn.XLOOKUP(AK$1, 'USHE Historic'!$A$2:$E$2, 'USHE Historic'!$A$3:$E$13)),
        _xlfn.IFS(
          AK$1="BYU", IFERROR(_xlfn.XLOOKUP($AI56, 'MAG College Enrollment Forecast'!$A:$A, 'MAG College Enrollment Forecast'!$B:$B), (AK$72-AK55)/($AI$72-$AI55)*($AI56-$AI55)+AK55),
          AK$1="UVU", IFERROR(_xlfn.XLOOKUP($AI56, 'MAG College Enrollment Forecast'!$A:$A, 'MAG College Enrollment Forecast'!$C:$C+'MAG College Enrollment Forecast'!$D:$D+'MAG College Enrollment Forecast'!$E:$E+'MAG College Enrollment Forecast'!$F:$F+'MAG College Enrollment Forecast'!$G:$G+'MAG College Enrollment Forecast'!$H:$H), (AK$72-AK55)/($AI$72-$AI55)*($AI56-$AI55)+AK55),
          TRUE, IFERROR(_xlfn.XLOOKUP($AI56, 'USHE Projections'!$A:$A, IFERROR(_xlfn.XLOOKUP(AK$1, 'USHE Projections'!$A$1:$E$1, 'USHE Projections'!$A:$E), "NONE"), (AK$72-AK55)/($AI$72-$AI55)*($AI56-$AI55)+AK55), (AK$72-AK55)/($AI$72-$AI55)*($AI56-$AI55)+AK55)
        )
      )
    )
  ), 0)</f>
        <v>40536</v>
      </c>
      <c r="AL56" s="35" cm="1">
        <f t="array" ref="AL56">ROUND(
  IF(AND(AL$1="Ensign", $AI56&gt;=2021, $AI56&lt;=2024),
    _xlfn.XLOOKUP($AI56, Ensign!$A$2:$A$12, Ensign!$B$2:$B$12),
    _xlfn.XLOOKUP($AI56, 'Historic (IPEDS &amp; 2019 RTP)'!$A:$A, _xlfn.XLOOKUP(AL$1, 'Historic (IPEDS &amp; 2019 RTP)'!$A$1:$H$1, 'Historic (IPEDS &amp; 2019 RTP)'!$A:$H),
      IFERROR(_xlfn.XLOOKUP($AI56, 'USHE Historic'!$A$3:$A$13, _xlfn.XLOOKUP(AL$1, 'USHE Historic'!$A$2:$E$2, 'USHE Historic'!$A$3:$E$13)),
        _xlfn.IFS(
          AL$1="BYU", IFERROR(_xlfn.XLOOKUP($AI56, 'MAG College Enrollment Forecast'!$A:$A, 'MAG College Enrollment Forecast'!$B:$B), (AL$72-AL55)/($AI$72-$AI55)*($AI56-$AI55)+AL55),
          AL$1="UVU", IFERROR(_xlfn.XLOOKUP($AI56, 'MAG College Enrollment Forecast'!$A:$A, 'MAG College Enrollment Forecast'!$C:$C+'MAG College Enrollment Forecast'!$D:$D+'MAG College Enrollment Forecast'!$E:$E+'MAG College Enrollment Forecast'!$F:$F+'MAG College Enrollment Forecast'!$G:$G+'MAG College Enrollment Forecast'!$H:$H), (AL$72-AL55)/($AI$72-$AI55)*($AI56-$AI55)+AL55),
          TRUE, IFERROR(_xlfn.XLOOKUP($AI56, 'USHE Projections'!$A:$A, IFERROR(_xlfn.XLOOKUP(AL$1, 'USHE Projections'!$A$1:$E$1, 'USHE Projections'!$A:$E), "NONE"), (AL$72-AL55)/($AI$72-$AI55)*($AI56-$AI55)+AL55), (AL$72-AL55)/($AI$72-$AI55)*($AI56-$AI55)+AL55)
        )
      )
    )
  ), 0)</f>
        <v>71028</v>
      </c>
      <c r="AM56" s="104" cm="1">
        <f t="array" ref="AM56">ROUND(
  IF(AND(AM$1="Ensign", $AI56&gt;=2021, $AI56&lt;=2024),
    _xlfn.XLOOKUP($AI56, Ensign!$A$2:$A$12, Ensign!$B$2:$B$12),
    _xlfn.XLOOKUP($AI56, 'Historic (IPEDS &amp; 2019 RTP)'!$A:$A, _xlfn.XLOOKUP(AM$1, 'Historic (IPEDS &amp; 2019 RTP)'!$A$1:$H$1, 'Historic (IPEDS &amp; 2019 RTP)'!$A:$H),
      IFERROR(_xlfn.XLOOKUP($AI56, 'USHE Historic'!$A$3:$A$13, _xlfn.XLOOKUP(AM$1, 'USHE Historic'!$A$2:$E$2, 'USHE Historic'!$A$3:$E$13)),
        _xlfn.IFS(
          AM$1="BYU", IFERROR(_xlfn.XLOOKUP($AI56, 'MAG College Enrollment Forecast'!$A:$A, 'MAG College Enrollment Forecast'!$B:$B), (AM$72-AM55)/($AI$72-$AI55)*($AI56-$AI55)+AM55),
          AM$1="UVU", IFERROR(_xlfn.XLOOKUP($AI56, 'MAG College Enrollment Forecast'!$A:$A, 'MAG College Enrollment Forecast'!$C:$C+'MAG College Enrollment Forecast'!$D:$D+'MAG College Enrollment Forecast'!$E:$E+'MAG College Enrollment Forecast'!$F:$F+'MAG College Enrollment Forecast'!$G:$G+'MAG College Enrollment Forecast'!$H:$H), (AM$72-AM55)/($AI$72-$AI55)*($AI56-$AI55)+AM55),
          TRUE, IFERROR(_xlfn.XLOOKUP($AI56, 'USHE Projections'!$A:$A, IFERROR(_xlfn.XLOOKUP(AM$1, 'USHE Projections'!$A$1:$E$1, 'USHE Projections'!$A:$E), "NONE"), (AM$72-AM55)/($AI$72-$AI55)*($AI56-$AI55)+AM55), (AM$72-AM55)/($AI$72-$AI55)*($AI56-$AI55)+AM55)
        )
      )
    )
  ), 0)</f>
        <v>37611</v>
      </c>
      <c r="AN56" s="35" cm="1">
        <f t="array" ref="AN56">ROUND(
  IF(AND(AN$1="Ensign", $AI56&gt;=2021, $AI56&lt;=2024),
    _xlfn.XLOOKUP($AI56, Ensign!$A$2:$A$12, Ensign!$B$2:$B$12),
    _xlfn.XLOOKUP($AI56, 'Historic (IPEDS &amp; 2019 RTP)'!$A:$A, _xlfn.XLOOKUP(AN$1, 'Historic (IPEDS &amp; 2019 RTP)'!$A$1:$H$1, 'Historic (IPEDS &amp; 2019 RTP)'!$A:$H),
      IFERROR(_xlfn.XLOOKUP($AI56, 'USHE Historic'!$A$3:$A$13, _xlfn.XLOOKUP(AN$1, 'USHE Historic'!$A$2:$E$2, 'USHE Historic'!$A$3:$E$13)),
        _xlfn.IFS(
          AN$1="BYU", IFERROR(_xlfn.XLOOKUP($AI56, 'MAG College Enrollment Forecast'!$A:$A, 'MAG College Enrollment Forecast'!$B:$B), (AN$72-AN55)/($AI$72-$AI55)*($AI56-$AI55)+AN55),
          AN$1="UVU", IFERROR(_xlfn.XLOOKUP($AI56, 'MAG College Enrollment Forecast'!$A:$A, 'MAG College Enrollment Forecast'!$C:$C+'MAG College Enrollment Forecast'!$D:$D+'MAG College Enrollment Forecast'!$E:$E+'MAG College Enrollment Forecast'!$F:$F+'MAG College Enrollment Forecast'!$G:$G+'MAG College Enrollment Forecast'!$H:$H), (AN$72-AN55)/($AI$72-$AI55)*($AI56-$AI55)+AN55),
          TRUE, IFERROR(_xlfn.XLOOKUP($AI56, 'USHE Projections'!$A:$A, IFERROR(_xlfn.XLOOKUP(AN$1, 'USHE Projections'!$A$1:$E$1, 'USHE Projections'!$A:$E), "NONE"), (AN$72-AN55)/($AI$72-$AI55)*($AI56-$AI55)+AN55), (AN$72-AN55)/($AI$72-$AI55)*($AI56-$AI55)+AN55)
        )
      )
    )
  ), 0)</f>
        <v>38524</v>
      </c>
      <c r="AO56" s="104" cm="1">
        <f t="array" ref="AO56">ROUND(
  IF(AND(AO$1="Ensign", $AI56&gt;=2021, $AI56&lt;=2024),
    _xlfn.XLOOKUP($AI56, Ensign!$A$2:$A$12, Ensign!$B$2:$B$12),
    _xlfn.XLOOKUP($AI56, 'Historic (IPEDS &amp; 2019 RTP)'!$A:$A, _xlfn.XLOOKUP(AO$1, 'Historic (IPEDS &amp; 2019 RTP)'!$A$1:$H$1, 'Historic (IPEDS &amp; 2019 RTP)'!$A:$H),
      IFERROR(_xlfn.XLOOKUP($AI56, 'USHE Historic'!$A$3:$A$13, _xlfn.XLOOKUP(AO$1, 'USHE Historic'!$A$2:$E$2, 'USHE Historic'!$A$3:$E$13)),
        _xlfn.IFS(
          AO$1="BYU", IFERROR(_xlfn.XLOOKUP($AI56, 'MAG College Enrollment Forecast'!$A:$A, 'MAG College Enrollment Forecast'!$B:$B), (AO$72-AO55)/($AI$72-$AI55)*($AI56-$AI55)+AO55),
          AO$1="UVU", IFERROR(_xlfn.XLOOKUP($AI56, 'MAG College Enrollment Forecast'!$A:$A, 'MAG College Enrollment Forecast'!$C:$C+'MAG College Enrollment Forecast'!$D:$D+'MAG College Enrollment Forecast'!$E:$E+'MAG College Enrollment Forecast'!$F:$F+'MAG College Enrollment Forecast'!$G:$G+'MAG College Enrollment Forecast'!$H:$H), (AO$72-AO55)/($AI$72-$AI55)*($AI56-$AI55)+AO55),
          TRUE, IFERROR(_xlfn.XLOOKUP($AI56, 'USHE Projections'!$A:$A, IFERROR(_xlfn.XLOOKUP(AO$1, 'USHE Projections'!$A$1:$E$1, 'USHE Projections'!$A:$E), "NONE"), (AO$72-AO55)/($AI$72-$AI55)*($AI56-$AI55)+AO55), (AO$72-AO55)/($AI$72-$AI55)*($AI56-$AI55)+AO55)
        )
      )
    )
  ), 0)</f>
        <v>2637</v>
      </c>
      <c r="AP56" s="104" cm="1">
        <f t="array" ref="AP56">ROUND(
  IF(AND(AP$1="Ensign", $AI56&gt;=2021, $AI56&lt;=2024),
    _xlfn.XLOOKUP($AI56, Ensign!$A$2:$A$12, Ensign!$B$2:$B$12),
    _xlfn.XLOOKUP($AI56, 'Historic (IPEDS &amp; 2019 RTP)'!$A:$A, _xlfn.XLOOKUP(AP$1, 'Historic (IPEDS &amp; 2019 RTP)'!$A$1:$H$1, 'Historic (IPEDS &amp; 2019 RTP)'!$A:$H),
      IFERROR(_xlfn.XLOOKUP($AI56, 'USHE Historic'!$A$3:$A$13, _xlfn.XLOOKUP(AP$1, 'USHE Historic'!$A$2:$E$2, 'USHE Historic'!$A$3:$E$13)),
        _xlfn.IFS(
          AP$1="BYU", IFERROR(_xlfn.XLOOKUP($AI56, 'MAG College Enrollment Forecast'!$A:$A, 'MAG College Enrollment Forecast'!$B:$B), (AP$72-AP55)/($AI$72-$AI55)*($AI56-$AI55)+AP55),
          AP$1="UVU", IFERROR(_xlfn.XLOOKUP($AI56, 'MAG College Enrollment Forecast'!$A:$A, 'MAG College Enrollment Forecast'!$C:$C+'MAG College Enrollment Forecast'!$D:$D+'MAG College Enrollment Forecast'!$E:$E+'MAG College Enrollment Forecast'!$F:$F+'MAG College Enrollment Forecast'!$G:$G+'MAG College Enrollment Forecast'!$H:$H), (AP$72-AP55)/($AI$72-$AI55)*($AI56-$AI55)+AP55),
          TRUE, IFERROR(_xlfn.XLOOKUP($AI56, 'USHE Projections'!$A:$A, IFERROR(_xlfn.XLOOKUP(AP$1, 'USHE Projections'!$A$1:$E$1, 'USHE Projections'!$A:$E), "NONE"), (AP$72-AP55)/($AI$72-$AI55)*($AI56-$AI55)+AP55), (AP$72-AP55)/($AI$72-$AI55)*($AI56-$AI55)+AP55)
        )
      )
    )
  ), 0)</f>
        <v>2516</v>
      </c>
    </row>
    <row r="57" spans="35:42">
      <c r="AI57" s="3">
        <v>2045</v>
      </c>
      <c r="AJ57" s="104" cm="1">
        <f t="array" ref="AJ57">ROUND(
  IF(AND(AJ$1="Ensign", $AI57&gt;=2021, $AI57&lt;=2024),
    _xlfn.XLOOKUP($AI57, Ensign!$A$2:$A$12, Ensign!$B$2:$B$12),
    _xlfn.XLOOKUP($AI57, 'Historic (IPEDS &amp; 2019 RTP)'!$A:$A, _xlfn.XLOOKUP(AJ$1, 'Historic (IPEDS &amp; 2019 RTP)'!$A$1:$H$1, 'Historic (IPEDS &amp; 2019 RTP)'!$A:$H),
      IFERROR(_xlfn.XLOOKUP($AI57, 'USHE Historic'!$A$3:$A$13, _xlfn.XLOOKUP(AJ$1, 'USHE Historic'!$A$2:$E$2, 'USHE Historic'!$A$3:$E$13)),
        _xlfn.IFS(
          AJ$1="BYU", IFERROR(_xlfn.XLOOKUP($AI57, 'MAG College Enrollment Forecast'!$A:$A, 'MAG College Enrollment Forecast'!$B:$B), (AJ$72-AJ56)/($AI$72-$AI56)*($AI57-$AI56)+AJ56),
          AJ$1="UVU", IFERROR(_xlfn.XLOOKUP($AI57, 'MAG College Enrollment Forecast'!$A:$A, 'MAG College Enrollment Forecast'!$C:$C+'MAG College Enrollment Forecast'!$D:$D+'MAG College Enrollment Forecast'!$E:$E+'MAG College Enrollment Forecast'!$F:$F+'MAG College Enrollment Forecast'!$G:$G+'MAG College Enrollment Forecast'!$H:$H), (AJ$72-AJ56)/($AI$72-$AI56)*($AI57-$AI56)+AJ56),
          TRUE, IFERROR(_xlfn.XLOOKUP($AI57, 'USHE Projections'!$A:$A, IFERROR(_xlfn.XLOOKUP(AJ$1, 'USHE Projections'!$A$1:$E$1, 'USHE Projections'!$A:$E), "NONE"), (AJ$72-AJ56)/($AI$72-$AI56)*($AI57-$AI56)+AJ56), (AJ$72-AJ56)/($AI$72-$AI56)*($AI57-$AI56)+AJ56)
        )
      )
    )
  ), 0)</f>
        <v>42463</v>
      </c>
      <c r="AK57" s="104" cm="1">
        <f t="array" ref="AK57">ROUND(
  IF(AND(AK$1="Ensign", $AI57&gt;=2021, $AI57&lt;=2024),
    _xlfn.XLOOKUP($AI57, Ensign!$A$2:$A$12, Ensign!$B$2:$B$12),
    _xlfn.XLOOKUP($AI57, 'Historic (IPEDS &amp; 2019 RTP)'!$A:$A, _xlfn.XLOOKUP(AK$1, 'Historic (IPEDS &amp; 2019 RTP)'!$A$1:$H$1, 'Historic (IPEDS &amp; 2019 RTP)'!$A:$H),
      IFERROR(_xlfn.XLOOKUP($AI57, 'USHE Historic'!$A$3:$A$13, _xlfn.XLOOKUP(AK$1, 'USHE Historic'!$A$2:$E$2, 'USHE Historic'!$A$3:$E$13)),
        _xlfn.IFS(
          AK$1="BYU", IFERROR(_xlfn.XLOOKUP($AI57, 'MAG College Enrollment Forecast'!$A:$A, 'MAG College Enrollment Forecast'!$B:$B), (AK$72-AK56)/($AI$72-$AI56)*($AI57-$AI56)+AK56),
          AK$1="UVU", IFERROR(_xlfn.XLOOKUP($AI57, 'MAG College Enrollment Forecast'!$A:$A, 'MAG College Enrollment Forecast'!$C:$C+'MAG College Enrollment Forecast'!$D:$D+'MAG College Enrollment Forecast'!$E:$E+'MAG College Enrollment Forecast'!$F:$F+'MAG College Enrollment Forecast'!$G:$G+'MAG College Enrollment Forecast'!$H:$H), (AK$72-AK56)/($AI$72-$AI56)*($AI57-$AI56)+AK56),
          TRUE, IFERROR(_xlfn.XLOOKUP($AI57, 'USHE Projections'!$A:$A, IFERROR(_xlfn.XLOOKUP(AK$1, 'USHE Projections'!$A$1:$E$1, 'USHE Projections'!$A:$E), "NONE"), (AK$72-AK56)/($AI$72-$AI56)*($AI57-$AI56)+AK56), (AK$72-AK56)/($AI$72-$AI56)*($AI57-$AI56)+AK56)
        )
      )
    )
  ), 0)</f>
        <v>41003</v>
      </c>
      <c r="AL57" s="35" cm="1">
        <f t="array" ref="AL57">ROUND(
  IF(AND(AL$1="Ensign", $AI57&gt;=2021, $AI57&lt;=2024),
    _xlfn.XLOOKUP($AI57, Ensign!$A$2:$A$12, Ensign!$B$2:$B$12),
    _xlfn.XLOOKUP($AI57, 'Historic (IPEDS &amp; 2019 RTP)'!$A:$A, _xlfn.XLOOKUP(AL$1, 'Historic (IPEDS &amp; 2019 RTP)'!$A$1:$H$1, 'Historic (IPEDS &amp; 2019 RTP)'!$A:$H),
      IFERROR(_xlfn.XLOOKUP($AI57, 'USHE Historic'!$A$3:$A$13, _xlfn.XLOOKUP(AL$1, 'USHE Historic'!$A$2:$E$2, 'USHE Historic'!$A$3:$E$13)),
        _xlfn.IFS(
          AL$1="BYU", IFERROR(_xlfn.XLOOKUP($AI57, 'MAG College Enrollment Forecast'!$A:$A, 'MAG College Enrollment Forecast'!$B:$B), (AL$72-AL56)/($AI$72-$AI56)*($AI57-$AI56)+AL56),
          AL$1="UVU", IFERROR(_xlfn.XLOOKUP($AI57, 'MAG College Enrollment Forecast'!$A:$A, 'MAG College Enrollment Forecast'!$C:$C+'MAG College Enrollment Forecast'!$D:$D+'MAG College Enrollment Forecast'!$E:$E+'MAG College Enrollment Forecast'!$F:$F+'MAG College Enrollment Forecast'!$G:$G+'MAG College Enrollment Forecast'!$H:$H), (AL$72-AL56)/($AI$72-$AI56)*($AI57-$AI56)+AL56),
          TRUE, IFERROR(_xlfn.XLOOKUP($AI57, 'USHE Projections'!$A:$A, IFERROR(_xlfn.XLOOKUP(AL$1, 'USHE Projections'!$A$1:$E$1, 'USHE Projections'!$A:$E), "NONE"), (AL$72-AL56)/($AI$72-$AI56)*($AI57-$AI56)+AL56), (AL$72-AL56)/($AI$72-$AI56)*($AI57-$AI56)+AL56)
        )
      )
    )
  ), 0)</f>
        <v>72262</v>
      </c>
      <c r="AM57" s="104" cm="1">
        <f t="array" ref="AM57">ROUND(
  IF(AND(AM$1="Ensign", $AI57&gt;=2021, $AI57&lt;=2024),
    _xlfn.XLOOKUP($AI57, Ensign!$A$2:$A$12, Ensign!$B$2:$B$12),
    _xlfn.XLOOKUP($AI57, 'Historic (IPEDS &amp; 2019 RTP)'!$A:$A, _xlfn.XLOOKUP(AM$1, 'Historic (IPEDS &amp; 2019 RTP)'!$A$1:$H$1, 'Historic (IPEDS &amp; 2019 RTP)'!$A:$H),
      IFERROR(_xlfn.XLOOKUP($AI57, 'USHE Historic'!$A$3:$A$13, _xlfn.XLOOKUP(AM$1, 'USHE Historic'!$A$2:$E$2, 'USHE Historic'!$A$3:$E$13)),
        _xlfn.IFS(
          AM$1="BYU", IFERROR(_xlfn.XLOOKUP($AI57, 'MAG College Enrollment Forecast'!$A:$A, 'MAG College Enrollment Forecast'!$B:$B), (AM$72-AM56)/($AI$72-$AI56)*($AI57-$AI56)+AM56),
          AM$1="UVU", IFERROR(_xlfn.XLOOKUP($AI57, 'MAG College Enrollment Forecast'!$A:$A, 'MAG College Enrollment Forecast'!$C:$C+'MAG College Enrollment Forecast'!$D:$D+'MAG College Enrollment Forecast'!$E:$E+'MAG College Enrollment Forecast'!$F:$F+'MAG College Enrollment Forecast'!$G:$G+'MAG College Enrollment Forecast'!$H:$H), (AM$72-AM56)/($AI$72-$AI56)*($AI57-$AI56)+AM56),
          TRUE, IFERROR(_xlfn.XLOOKUP($AI57, 'USHE Projections'!$A:$A, IFERROR(_xlfn.XLOOKUP(AM$1, 'USHE Projections'!$A$1:$E$1, 'USHE Projections'!$A:$E), "NONE"), (AM$72-AM56)/($AI$72-$AI56)*($AI57-$AI56)+AM56), (AM$72-AM56)/($AI$72-$AI56)*($AI57-$AI56)+AM56)
        )
      )
    )
  ), 0)</f>
        <v>37948</v>
      </c>
      <c r="AN57" s="35" cm="1">
        <f t="array" ref="AN57">ROUND(
  IF(AND(AN$1="Ensign", $AI57&gt;=2021, $AI57&lt;=2024),
    _xlfn.XLOOKUP($AI57, Ensign!$A$2:$A$12, Ensign!$B$2:$B$12),
    _xlfn.XLOOKUP($AI57, 'Historic (IPEDS &amp; 2019 RTP)'!$A:$A, _xlfn.XLOOKUP(AN$1, 'Historic (IPEDS &amp; 2019 RTP)'!$A$1:$H$1, 'Historic (IPEDS &amp; 2019 RTP)'!$A:$H),
      IFERROR(_xlfn.XLOOKUP($AI57, 'USHE Historic'!$A$3:$A$13, _xlfn.XLOOKUP(AN$1, 'USHE Historic'!$A$2:$E$2, 'USHE Historic'!$A$3:$E$13)),
        _xlfn.IFS(
          AN$1="BYU", IFERROR(_xlfn.XLOOKUP($AI57, 'MAG College Enrollment Forecast'!$A:$A, 'MAG College Enrollment Forecast'!$B:$B), (AN$72-AN56)/($AI$72-$AI56)*($AI57-$AI56)+AN56),
          AN$1="UVU", IFERROR(_xlfn.XLOOKUP($AI57, 'MAG College Enrollment Forecast'!$A:$A, 'MAG College Enrollment Forecast'!$C:$C+'MAG College Enrollment Forecast'!$D:$D+'MAG College Enrollment Forecast'!$E:$E+'MAG College Enrollment Forecast'!$F:$F+'MAG College Enrollment Forecast'!$G:$G+'MAG College Enrollment Forecast'!$H:$H), (AN$72-AN56)/($AI$72-$AI56)*($AI57-$AI56)+AN56),
          TRUE, IFERROR(_xlfn.XLOOKUP($AI57, 'USHE Projections'!$A:$A, IFERROR(_xlfn.XLOOKUP(AN$1, 'USHE Projections'!$A$1:$E$1, 'USHE Projections'!$A:$E), "NONE"), (AN$72-AN56)/($AI$72-$AI56)*($AI57-$AI56)+AN56), (AN$72-AN56)/($AI$72-$AI56)*($AI57-$AI56)+AN56)
        )
      )
    )
  ), 0)</f>
        <v>38910</v>
      </c>
      <c r="AO57" s="104" cm="1">
        <f t="array" ref="AO57">ROUND(
  IF(AND(AO$1="Ensign", $AI57&gt;=2021, $AI57&lt;=2024),
    _xlfn.XLOOKUP($AI57, Ensign!$A$2:$A$12, Ensign!$B$2:$B$12),
    _xlfn.XLOOKUP($AI57, 'Historic (IPEDS &amp; 2019 RTP)'!$A:$A, _xlfn.XLOOKUP(AO$1, 'Historic (IPEDS &amp; 2019 RTP)'!$A$1:$H$1, 'Historic (IPEDS &amp; 2019 RTP)'!$A:$H),
      IFERROR(_xlfn.XLOOKUP($AI57, 'USHE Historic'!$A$3:$A$13, _xlfn.XLOOKUP(AO$1, 'USHE Historic'!$A$2:$E$2, 'USHE Historic'!$A$3:$E$13)),
        _xlfn.IFS(
          AO$1="BYU", IFERROR(_xlfn.XLOOKUP($AI57, 'MAG College Enrollment Forecast'!$A:$A, 'MAG College Enrollment Forecast'!$B:$B), (AO$72-AO56)/($AI$72-$AI56)*($AI57-$AI56)+AO56),
          AO$1="UVU", IFERROR(_xlfn.XLOOKUP($AI57, 'MAG College Enrollment Forecast'!$A:$A, 'MAG College Enrollment Forecast'!$C:$C+'MAG College Enrollment Forecast'!$D:$D+'MAG College Enrollment Forecast'!$E:$E+'MAG College Enrollment Forecast'!$F:$F+'MAG College Enrollment Forecast'!$G:$G+'MAG College Enrollment Forecast'!$H:$H), (AO$72-AO56)/($AI$72-$AI56)*($AI57-$AI56)+AO56),
          TRUE, IFERROR(_xlfn.XLOOKUP($AI57, 'USHE Projections'!$A:$A, IFERROR(_xlfn.XLOOKUP(AO$1, 'USHE Projections'!$A$1:$E$1, 'USHE Projections'!$A:$E), "NONE"), (AO$72-AO56)/($AI$72-$AI56)*($AI57-$AI56)+AO56), (AO$72-AO56)/($AI$72-$AI56)*($AI57-$AI56)+AO56)
        )
      )
    )
  ), 0)</f>
        <v>2672</v>
      </c>
      <c r="AP57" s="104" cm="1">
        <f t="array" ref="AP57">ROUND(
  IF(AND(AP$1="Ensign", $AI57&gt;=2021, $AI57&lt;=2024),
    _xlfn.XLOOKUP($AI57, Ensign!$A$2:$A$12, Ensign!$B$2:$B$12),
    _xlfn.XLOOKUP($AI57, 'Historic (IPEDS &amp; 2019 RTP)'!$A:$A, _xlfn.XLOOKUP(AP$1, 'Historic (IPEDS &amp; 2019 RTP)'!$A$1:$H$1, 'Historic (IPEDS &amp; 2019 RTP)'!$A:$H),
      IFERROR(_xlfn.XLOOKUP($AI57, 'USHE Historic'!$A$3:$A$13, _xlfn.XLOOKUP(AP$1, 'USHE Historic'!$A$2:$E$2, 'USHE Historic'!$A$3:$E$13)),
        _xlfn.IFS(
          AP$1="BYU", IFERROR(_xlfn.XLOOKUP($AI57, 'MAG College Enrollment Forecast'!$A:$A, 'MAG College Enrollment Forecast'!$B:$B), (AP$72-AP56)/($AI$72-$AI56)*($AI57-$AI56)+AP56),
          AP$1="UVU", IFERROR(_xlfn.XLOOKUP($AI57, 'MAG College Enrollment Forecast'!$A:$A, 'MAG College Enrollment Forecast'!$C:$C+'MAG College Enrollment Forecast'!$D:$D+'MAG College Enrollment Forecast'!$E:$E+'MAG College Enrollment Forecast'!$F:$F+'MAG College Enrollment Forecast'!$G:$G+'MAG College Enrollment Forecast'!$H:$H), (AP$72-AP56)/($AI$72-$AI56)*($AI57-$AI56)+AP56),
          TRUE, IFERROR(_xlfn.XLOOKUP($AI57, 'USHE Projections'!$A:$A, IFERROR(_xlfn.XLOOKUP(AP$1, 'USHE Projections'!$A$1:$E$1, 'USHE Projections'!$A:$E), "NONE"), (AP$72-AP56)/($AI$72-$AI56)*($AI57-$AI56)+AP56), (AP$72-AP56)/($AI$72-$AI56)*($AI57-$AI56)+AP56)
        )
      )
    )
  ), 0)</f>
        <v>2578</v>
      </c>
    </row>
    <row r="58" spans="35:42">
      <c r="AI58" s="3">
        <v>2046</v>
      </c>
      <c r="AJ58" s="104" cm="1">
        <f t="array" ref="AJ58">ROUND(
  IF(AND(AJ$1="Ensign", $AI58&gt;=2021, $AI58&lt;=2024),
    _xlfn.XLOOKUP($AI58, Ensign!$A$2:$A$12, Ensign!$B$2:$B$12),
    _xlfn.XLOOKUP($AI58, 'Historic (IPEDS &amp; 2019 RTP)'!$A:$A, _xlfn.XLOOKUP(AJ$1, 'Historic (IPEDS &amp; 2019 RTP)'!$A$1:$H$1, 'Historic (IPEDS &amp; 2019 RTP)'!$A:$H),
      IFERROR(_xlfn.XLOOKUP($AI58, 'USHE Historic'!$A$3:$A$13, _xlfn.XLOOKUP(AJ$1, 'USHE Historic'!$A$2:$E$2, 'USHE Historic'!$A$3:$E$13)),
        _xlfn.IFS(
          AJ$1="BYU", IFERROR(_xlfn.XLOOKUP($AI58, 'MAG College Enrollment Forecast'!$A:$A, 'MAG College Enrollment Forecast'!$B:$B), (AJ$72-AJ57)/($AI$72-$AI57)*($AI58-$AI57)+AJ57),
          AJ$1="UVU", IFERROR(_xlfn.XLOOKUP($AI58, 'MAG College Enrollment Forecast'!$A:$A, 'MAG College Enrollment Forecast'!$C:$C+'MAG College Enrollment Forecast'!$D:$D+'MAG College Enrollment Forecast'!$E:$E+'MAG College Enrollment Forecast'!$F:$F+'MAG College Enrollment Forecast'!$G:$G+'MAG College Enrollment Forecast'!$H:$H), (AJ$72-AJ57)/($AI$72-$AI57)*($AI58-$AI57)+AJ57),
          TRUE, IFERROR(_xlfn.XLOOKUP($AI58, 'USHE Projections'!$A:$A, IFERROR(_xlfn.XLOOKUP(AJ$1, 'USHE Projections'!$A$1:$E$1, 'USHE Projections'!$A:$E), "NONE"), (AJ$72-AJ57)/($AI$72-$AI57)*($AI58-$AI57)+AJ57), (AJ$72-AJ57)/($AI$72-$AI57)*($AI58-$AI57)+AJ57)
        )
      )
    )
  ), 0)</f>
        <v>42765</v>
      </c>
      <c r="AK58" s="104" cm="1">
        <f t="array" ref="AK58">ROUND(
  IF(AND(AK$1="Ensign", $AI58&gt;=2021, $AI58&lt;=2024),
    _xlfn.XLOOKUP($AI58, Ensign!$A$2:$A$12, Ensign!$B$2:$B$12),
    _xlfn.XLOOKUP($AI58, 'Historic (IPEDS &amp; 2019 RTP)'!$A:$A, _xlfn.XLOOKUP(AK$1, 'Historic (IPEDS &amp; 2019 RTP)'!$A$1:$H$1, 'Historic (IPEDS &amp; 2019 RTP)'!$A:$H),
      IFERROR(_xlfn.XLOOKUP($AI58, 'USHE Historic'!$A$3:$A$13, _xlfn.XLOOKUP(AK$1, 'USHE Historic'!$A$2:$E$2, 'USHE Historic'!$A$3:$E$13)),
        _xlfn.IFS(
          AK$1="BYU", IFERROR(_xlfn.XLOOKUP($AI58, 'MAG College Enrollment Forecast'!$A:$A, 'MAG College Enrollment Forecast'!$B:$B), (AK$72-AK57)/($AI$72-$AI57)*($AI58-$AI57)+AK57),
          AK$1="UVU", IFERROR(_xlfn.XLOOKUP($AI58, 'MAG College Enrollment Forecast'!$A:$A, 'MAG College Enrollment Forecast'!$C:$C+'MAG College Enrollment Forecast'!$D:$D+'MAG College Enrollment Forecast'!$E:$E+'MAG College Enrollment Forecast'!$F:$F+'MAG College Enrollment Forecast'!$G:$G+'MAG College Enrollment Forecast'!$H:$H), (AK$72-AK57)/($AI$72-$AI57)*($AI58-$AI57)+AK57),
          TRUE, IFERROR(_xlfn.XLOOKUP($AI58, 'USHE Projections'!$A:$A, IFERROR(_xlfn.XLOOKUP(AK$1, 'USHE Projections'!$A$1:$E$1, 'USHE Projections'!$A:$E), "NONE"), (AK$72-AK57)/($AI$72-$AI57)*($AI58-$AI57)+AK57), (AK$72-AK57)/($AI$72-$AI57)*($AI58-$AI57)+AK57)
        )
      )
    )
  ), 0)</f>
        <v>41469</v>
      </c>
      <c r="AL58" s="35" cm="1">
        <f t="array" ref="AL58">ROUND(
  IF(AND(AL$1="Ensign", $AI58&gt;=2021, $AI58&lt;=2024),
    _xlfn.XLOOKUP($AI58, Ensign!$A$2:$A$12, Ensign!$B$2:$B$12),
    _xlfn.XLOOKUP($AI58, 'Historic (IPEDS &amp; 2019 RTP)'!$A:$A, _xlfn.XLOOKUP(AL$1, 'Historic (IPEDS &amp; 2019 RTP)'!$A$1:$H$1, 'Historic (IPEDS &amp; 2019 RTP)'!$A:$H),
      IFERROR(_xlfn.XLOOKUP($AI58, 'USHE Historic'!$A$3:$A$13, _xlfn.XLOOKUP(AL$1, 'USHE Historic'!$A$2:$E$2, 'USHE Historic'!$A$3:$E$13)),
        _xlfn.IFS(
          AL$1="BYU", IFERROR(_xlfn.XLOOKUP($AI58, 'MAG College Enrollment Forecast'!$A:$A, 'MAG College Enrollment Forecast'!$B:$B), (AL$72-AL57)/($AI$72-$AI57)*($AI58-$AI57)+AL57),
          AL$1="UVU", IFERROR(_xlfn.XLOOKUP($AI58, 'MAG College Enrollment Forecast'!$A:$A, 'MAG College Enrollment Forecast'!$C:$C+'MAG College Enrollment Forecast'!$D:$D+'MAG College Enrollment Forecast'!$E:$E+'MAG College Enrollment Forecast'!$F:$F+'MAG College Enrollment Forecast'!$G:$G+'MAG College Enrollment Forecast'!$H:$H), (AL$72-AL57)/($AI$72-$AI57)*($AI58-$AI57)+AL57),
          TRUE, IFERROR(_xlfn.XLOOKUP($AI58, 'USHE Projections'!$A:$A, IFERROR(_xlfn.XLOOKUP(AL$1, 'USHE Projections'!$A$1:$E$1, 'USHE Projections'!$A:$E), "NONE"), (AL$72-AL57)/($AI$72-$AI57)*($AI58-$AI57)+AL57), (AL$72-AL57)/($AI$72-$AI57)*($AI58-$AI57)+AL57)
        )
      )
    )
  ), 0)</f>
        <v>73496</v>
      </c>
      <c r="AM58" s="104" cm="1">
        <f t="array" ref="AM58">ROUND(
  IF(AND(AM$1="Ensign", $AI58&gt;=2021, $AI58&lt;=2024),
    _xlfn.XLOOKUP($AI58, Ensign!$A$2:$A$12, Ensign!$B$2:$B$12),
    _xlfn.XLOOKUP($AI58, 'Historic (IPEDS &amp; 2019 RTP)'!$A:$A, _xlfn.XLOOKUP(AM$1, 'Historic (IPEDS &amp; 2019 RTP)'!$A$1:$H$1, 'Historic (IPEDS &amp; 2019 RTP)'!$A:$H),
      IFERROR(_xlfn.XLOOKUP($AI58, 'USHE Historic'!$A$3:$A$13, _xlfn.XLOOKUP(AM$1, 'USHE Historic'!$A$2:$E$2, 'USHE Historic'!$A$3:$E$13)),
        _xlfn.IFS(
          AM$1="BYU", IFERROR(_xlfn.XLOOKUP($AI58, 'MAG College Enrollment Forecast'!$A:$A, 'MAG College Enrollment Forecast'!$B:$B), (AM$72-AM57)/($AI$72-$AI57)*($AI58-$AI57)+AM57),
          AM$1="UVU", IFERROR(_xlfn.XLOOKUP($AI58, 'MAG College Enrollment Forecast'!$A:$A, 'MAG College Enrollment Forecast'!$C:$C+'MAG College Enrollment Forecast'!$D:$D+'MAG College Enrollment Forecast'!$E:$E+'MAG College Enrollment Forecast'!$F:$F+'MAG College Enrollment Forecast'!$G:$G+'MAG College Enrollment Forecast'!$H:$H), (AM$72-AM57)/($AI$72-$AI57)*($AI58-$AI57)+AM57),
          TRUE, IFERROR(_xlfn.XLOOKUP($AI58, 'USHE Projections'!$A:$A, IFERROR(_xlfn.XLOOKUP(AM$1, 'USHE Projections'!$A$1:$E$1, 'USHE Projections'!$A:$E), "NONE"), (AM$72-AM57)/($AI$72-$AI57)*($AI58-$AI57)+AM57), (AM$72-AM57)/($AI$72-$AI57)*($AI58-$AI57)+AM57)
        )
      )
    )
  ), 0)</f>
        <v>38285</v>
      </c>
      <c r="AN58" s="35" cm="1">
        <f t="array" ref="AN58">ROUND(
  IF(AND(AN$1="Ensign", $AI58&gt;=2021, $AI58&lt;=2024),
    _xlfn.XLOOKUP($AI58, Ensign!$A$2:$A$12, Ensign!$B$2:$B$12),
    _xlfn.XLOOKUP($AI58, 'Historic (IPEDS &amp; 2019 RTP)'!$A:$A, _xlfn.XLOOKUP(AN$1, 'Historic (IPEDS &amp; 2019 RTP)'!$A$1:$H$1, 'Historic (IPEDS &amp; 2019 RTP)'!$A:$H),
      IFERROR(_xlfn.XLOOKUP($AI58, 'USHE Historic'!$A$3:$A$13, _xlfn.XLOOKUP(AN$1, 'USHE Historic'!$A$2:$E$2, 'USHE Historic'!$A$3:$E$13)),
        _xlfn.IFS(
          AN$1="BYU", IFERROR(_xlfn.XLOOKUP($AI58, 'MAG College Enrollment Forecast'!$A:$A, 'MAG College Enrollment Forecast'!$B:$B), (AN$72-AN57)/($AI$72-$AI57)*($AI58-$AI57)+AN57),
          AN$1="UVU", IFERROR(_xlfn.XLOOKUP($AI58, 'MAG College Enrollment Forecast'!$A:$A, 'MAG College Enrollment Forecast'!$C:$C+'MAG College Enrollment Forecast'!$D:$D+'MAG College Enrollment Forecast'!$E:$E+'MAG College Enrollment Forecast'!$F:$F+'MAG College Enrollment Forecast'!$G:$G+'MAG College Enrollment Forecast'!$H:$H), (AN$72-AN57)/($AI$72-$AI57)*($AI58-$AI57)+AN57),
          TRUE, IFERROR(_xlfn.XLOOKUP($AI58, 'USHE Projections'!$A:$A, IFERROR(_xlfn.XLOOKUP(AN$1, 'USHE Projections'!$A$1:$E$1, 'USHE Projections'!$A:$E), "NONE"), (AN$72-AN57)/($AI$72-$AI57)*($AI58-$AI57)+AN57), (AN$72-AN57)/($AI$72-$AI57)*($AI58-$AI57)+AN57)
        )
      )
    )
  ), 0)</f>
        <v>39299</v>
      </c>
      <c r="AO58" s="104" cm="1">
        <f t="array" ref="AO58">ROUND(
  IF(AND(AO$1="Ensign", $AI58&gt;=2021, $AI58&lt;=2024),
    _xlfn.XLOOKUP($AI58, Ensign!$A$2:$A$12, Ensign!$B$2:$B$12),
    _xlfn.XLOOKUP($AI58, 'Historic (IPEDS &amp; 2019 RTP)'!$A:$A, _xlfn.XLOOKUP(AO$1, 'Historic (IPEDS &amp; 2019 RTP)'!$A$1:$H$1, 'Historic (IPEDS &amp; 2019 RTP)'!$A:$H),
      IFERROR(_xlfn.XLOOKUP($AI58, 'USHE Historic'!$A$3:$A$13, _xlfn.XLOOKUP(AO$1, 'USHE Historic'!$A$2:$E$2, 'USHE Historic'!$A$3:$E$13)),
        _xlfn.IFS(
          AO$1="BYU", IFERROR(_xlfn.XLOOKUP($AI58, 'MAG College Enrollment Forecast'!$A:$A, 'MAG College Enrollment Forecast'!$B:$B), (AO$72-AO57)/($AI$72-$AI57)*($AI58-$AI57)+AO57),
          AO$1="UVU", IFERROR(_xlfn.XLOOKUP($AI58, 'MAG College Enrollment Forecast'!$A:$A, 'MAG College Enrollment Forecast'!$C:$C+'MAG College Enrollment Forecast'!$D:$D+'MAG College Enrollment Forecast'!$E:$E+'MAG College Enrollment Forecast'!$F:$F+'MAG College Enrollment Forecast'!$G:$G+'MAG College Enrollment Forecast'!$H:$H), (AO$72-AO57)/($AI$72-$AI57)*($AI58-$AI57)+AO57),
          TRUE, IFERROR(_xlfn.XLOOKUP($AI58, 'USHE Projections'!$A:$A, IFERROR(_xlfn.XLOOKUP(AO$1, 'USHE Projections'!$A$1:$E$1, 'USHE Projections'!$A:$E), "NONE"), (AO$72-AO57)/($AI$72-$AI57)*($AI58-$AI57)+AO57), (AO$72-AO57)/($AI$72-$AI57)*($AI58-$AI57)+AO57)
        )
      )
    )
  ), 0)</f>
        <v>2707</v>
      </c>
      <c r="AP58" s="104" cm="1">
        <f t="array" ref="AP58">ROUND(
  IF(AND(AP$1="Ensign", $AI58&gt;=2021, $AI58&lt;=2024),
    _xlfn.XLOOKUP($AI58, Ensign!$A$2:$A$12, Ensign!$B$2:$B$12),
    _xlfn.XLOOKUP($AI58, 'Historic (IPEDS &amp; 2019 RTP)'!$A:$A, _xlfn.XLOOKUP(AP$1, 'Historic (IPEDS &amp; 2019 RTP)'!$A$1:$H$1, 'Historic (IPEDS &amp; 2019 RTP)'!$A:$H),
      IFERROR(_xlfn.XLOOKUP($AI58, 'USHE Historic'!$A$3:$A$13, _xlfn.XLOOKUP(AP$1, 'USHE Historic'!$A$2:$E$2, 'USHE Historic'!$A$3:$E$13)),
        _xlfn.IFS(
          AP$1="BYU", IFERROR(_xlfn.XLOOKUP($AI58, 'MAG College Enrollment Forecast'!$A:$A, 'MAG College Enrollment Forecast'!$B:$B), (AP$72-AP57)/($AI$72-$AI57)*($AI58-$AI57)+AP57),
          AP$1="UVU", IFERROR(_xlfn.XLOOKUP($AI58, 'MAG College Enrollment Forecast'!$A:$A, 'MAG College Enrollment Forecast'!$C:$C+'MAG College Enrollment Forecast'!$D:$D+'MAG College Enrollment Forecast'!$E:$E+'MAG College Enrollment Forecast'!$F:$F+'MAG College Enrollment Forecast'!$G:$G+'MAG College Enrollment Forecast'!$H:$H), (AP$72-AP57)/($AI$72-$AI57)*($AI58-$AI57)+AP57),
          TRUE, IFERROR(_xlfn.XLOOKUP($AI58, 'USHE Projections'!$A:$A, IFERROR(_xlfn.XLOOKUP(AP$1, 'USHE Projections'!$A$1:$E$1, 'USHE Projections'!$A:$E), "NONE"), (AP$72-AP57)/($AI$72-$AI57)*($AI58-$AI57)+AP57), (AP$72-AP57)/($AI$72-$AI57)*($AI58-$AI57)+AP57)
        )
      )
    )
  ), 0)</f>
        <v>2639</v>
      </c>
    </row>
    <row r="59" spans="35:42">
      <c r="AI59" s="3">
        <v>2047</v>
      </c>
      <c r="AJ59" s="104" cm="1">
        <f t="array" ref="AJ59">ROUND(
  IF(AND(AJ$1="Ensign", $AI59&gt;=2021, $AI59&lt;=2024),
    _xlfn.XLOOKUP($AI59, Ensign!$A$2:$A$12, Ensign!$B$2:$B$12),
    _xlfn.XLOOKUP($AI59, 'Historic (IPEDS &amp; 2019 RTP)'!$A:$A, _xlfn.XLOOKUP(AJ$1, 'Historic (IPEDS &amp; 2019 RTP)'!$A$1:$H$1, 'Historic (IPEDS &amp; 2019 RTP)'!$A:$H),
      IFERROR(_xlfn.XLOOKUP($AI59, 'USHE Historic'!$A$3:$A$13, _xlfn.XLOOKUP(AJ$1, 'USHE Historic'!$A$2:$E$2, 'USHE Historic'!$A$3:$E$13)),
        _xlfn.IFS(
          AJ$1="BYU", IFERROR(_xlfn.XLOOKUP($AI59, 'MAG College Enrollment Forecast'!$A:$A, 'MAG College Enrollment Forecast'!$B:$B), (AJ$72-AJ58)/($AI$72-$AI58)*($AI59-$AI58)+AJ58),
          AJ$1="UVU", IFERROR(_xlfn.XLOOKUP($AI59, 'MAG College Enrollment Forecast'!$A:$A, 'MAG College Enrollment Forecast'!$C:$C+'MAG College Enrollment Forecast'!$D:$D+'MAG College Enrollment Forecast'!$E:$E+'MAG College Enrollment Forecast'!$F:$F+'MAG College Enrollment Forecast'!$G:$G+'MAG College Enrollment Forecast'!$H:$H), (AJ$72-AJ58)/($AI$72-$AI58)*($AI59-$AI58)+AJ58),
          TRUE, IFERROR(_xlfn.XLOOKUP($AI59, 'USHE Projections'!$A:$A, IFERROR(_xlfn.XLOOKUP(AJ$1, 'USHE Projections'!$A$1:$E$1, 'USHE Projections'!$A:$E), "NONE"), (AJ$72-AJ58)/($AI$72-$AI58)*($AI59-$AI58)+AJ58), (AJ$72-AJ58)/($AI$72-$AI58)*($AI59-$AI58)+AJ58)
        )
      )
    )
  ), 0)</f>
        <v>43068</v>
      </c>
      <c r="AK59" s="104" cm="1">
        <f t="array" ref="AK59">ROUND(
  IF(AND(AK$1="Ensign", $AI59&gt;=2021, $AI59&lt;=2024),
    _xlfn.XLOOKUP($AI59, Ensign!$A$2:$A$12, Ensign!$B$2:$B$12),
    _xlfn.XLOOKUP($AI59, 'Historic (IPEDS &amp; 2019 RTP)'!$A:$A, _xlfn.XLOOKUP(AK$1, 'Historic (IPEDS &amp; 2019 RTP)'!$A$1:$H$1, 'Historic (IPEDS &amp; 2019 RTP)'!$A:$H),
      IFERROR(_xlfn.XLOOKUP($AI59, 'USHE Historic'!$A$3:$A$13, _xlfn.XLOOKUP(AK$1, 'USHE Historic'!$A$2:$E$2, 'USHE Historic'!$A$3:$E$13)),
        _xlfn.IFS(
          AK$1="BYU", IFERROR(_xlfn.XLOOKUP($AI59, 'MAG College Enrollment Forecast'!$A:$A, 'MAG College Enrollment Forecast'!$B:$B), (AK$72-AK58)/($AI$72-$AI58)*($AI59-$AI58)+AK58),
          AK$1="UVU", IFERROR(_xlfn.XLOOKUP($AI59, 'MAG College Enrollment Forecast'!$A:$A, 'MAG College Enrollment Forecast'!$C:$C+'MAG College Enrollment Forecast'!$D:$D+'MAG College Enrollment Forecast'!$E:$E+'MAG College Enrollment Forecast'!$F:$F+'MAG College Enrollment Forecast'!$G:$G+'MAG College Enrollment Forecast'!$H:$H), (AK$72-AK58)/($AI$72-$AI58)*($AI59-$AI58)+AK58),
          TRUE, IFERROR(_xlfn.XLOOKUP($AI59, 'USHE Projections'!$A:$A, IFERROR(_xlfn.XLOOKUP(AK$1, 'USHE Projections'!$A$1:$E$1, 'USHE Projections'!$A:$E), "NONE"), (AK$72-AK58)/($AI$72-$AI58)*($AI59-$AI58)+AK58), (AK$72-AK58)/($AI$72-$AI58)*($AI59-$AI58)+AK58)
        )
      )
    )
  ), 0)</f>
        <v>41936</v>
      </c>
      <c r="AL59" s="35" cm="1">
        <f t="array" ref="AL59">ROUND(
  IF(AND(AL$1="Ensign", $AI59&gt;=2021, $AI59&lt;=2024),
    _xlfn.XLOOKUP($AI59, Ensign!$A$2:$A$12, Ensign!$B$2:$B$12),
    _xlfn.XLOOKUP($AI59, 'Historic (IPEDS &amp; 2019 RTP)'!$A:$A, _xlfn.XLOOKUP(AL$1, 'Historic (IPEDS &amp; 2019 RTP)'!$A$1:$H$1, 'Historic (IPEDS &amp; 2019 RTP)'!$A:$H),
      IFERROR(_xlfn.XLOOKUP($AI59, 'USHE Historic'!$A$3:$A$13, _xlfn.XLOOKUP(AL$1, 'USHE Historic'!$A$2:$E$2, 'USHE Historic'!$A$3:$E$13)),
        _xlfn.IFS(
          AL$1="BYU", IFERROR(_xlfn.XLOOKUP($AI59, 'MAG College Enrollment Forecast'!$A:$A, 'MAG College Enrollment Forecast'!$B:$B), (AL$72-AL58)/($AI$72-$AI58)*($AI59-$AI58)+AL58),
          AL$1="UVU", IFERROR(_xlfn.XLOOKUP($AI59, 'MAG College Enrollment Forecast'!$A:$A, 'MAG College Enrollment Forecast'!$C:$C+'MAG College Enrollment Forecast'!$D:$D+'MAG College Enrollment Forecast'!$E:$E+'MAG College Enrollment Forecast'!$F:$F+'MAG College Enrollment Forecast'!$G:$G+'MAG College Enrollment Forecast'!$H:$H), (AL$72-AL58)/($AI$72-$AI58)*($AI59-$AI58)+AL58),
          TRUE, IFERROR(_xlfn.XLOOKUP($AI59, 'USHE Projections'!$A:$A, IFERROR(_xlfn.XLOOKUP(AL$1, 'USHE Projections'!$A$1:$E$1, 'USHE Projections'!$A:$E), "NONE"), (AL$72-AL58)/($AI$72-$AI58)*($AI59-$AI58)+AL58), (AL$72-AL58)/($AI$72-$AI58)*($AI59-$AI58)+AL58)
        )
      )
    )
  ), 0)</f>
        <v>74730</v>
      </c>
      <c r="AM59" s="104" cm="1">
        <f t="array" ref="AM59">ROUND(
  IF(AND(AM$1="Ensign", $AI59&gt;=2021, $AI59&lt;=2024),
    _xlfn.XLOOKUP($AI59, Ensign!$A$2:$A$12, Ensign!$B$2:$B$12),
    _xlfn.XLOOKUP($AI59, 'Historic (IPEDS &amp; 2019 RTP)'!$A:$A, _xlfn.XLOOKUP(AM$1, 'Historic (IPEDS &amp; 2019 RTP)'!$A$1:$H$1, 'Historic (IPEDS &amp; 2019 RTP)'!$A:$H),
      IFERROR(_xlfn.XLOOKUP($AI59, 'USHE Historic'!$A$3:$A$13, _xlfn.XLOOKUP(AM$1, 'USHE Historic'!$A$2:$E$2, 'USHE Historic'!$A$3:$E$13)),
        _xlfn.IFS(
          AM$1="BYU", IFERROR(_xlfn.XLOOKUP($AI59, 'MAG College Enrollment Forecast'!$A:$A, 'MAG College Enrollment Forecast'!$B:$B), (AM$72-AM58)/($AI$72-$AI58)*($AI59-$AI58)+AM58),
          AM$1="UVU", IFERROR(_xlfn.XLOOKUP($AI59, 'MAG College Enrollment Forecast'!$A:$A, 'MAG College Enrollment Forecast'!$C:$C+'MAG College Enrollment Forecast'!$D:$D+'MAG College Enrollment Forecast'!$E:$E+'MAG College Enrollment Forecast'!$F:$F+'MAG College Enrollment Forecast'!$G:$G+'MAG College Enrollment Forecast'!$H:$H), (AM$72-AM58)/($AI$72-$AI58)*($AI59-$AI58)+AM58),
          TRUE, IFERROR(_xlfn.XLOOKUP($AI59, 'USHE Projections'!$A:$A, IFERROR(_xlfn.XLOOKUP(AM$1, 'USHE Projections'!$A$1:$E$1, 'USHE Projections'!$A:$E), "NONE"), (AM$72-AM58)/($AI$72-$AI58)*($AI59-$AI58)+AM58), (AM$72-AM58)/($AI$72-$AI58)*($AI59-$AI58)+AM58)
        )
      )
    )
  ), 0)</f>
        <v>38622</v>
      </c>
      <c r="AN59" s="35" cm="1">
        <f t="array" ref="AN59">ROUND(
  IF(AND(AN$1="Ensign", $AI59&gt;=2021, $AI59&lt;=2024),
    _xlfn.XLOOKUP($AI59, Ensign!$A$2:$A$12, Ensign!$B$2:$B$12),
    _xlfn.XLOOKUP($AI59, 'Historic (IPEDS &amp; 2019 RTP)'!$A:$A, _xlfn.XLOOKUP(AN$1, 'Historic (IPEDS &amp; 2019 RTP)'!$A$1:$H$1, 'Historic (IPEDS &amp; 2019 RTP)'!$A:$H),
      IFERROR(_xlfn.XLOOKUP($AI59, 'USHE Historic'!$A$3:$A$13, _xlfn.XLOOKUP(AN$1, 'USHE Historic'!$A$2:$E$2, 'USHE Historic'!$A$3:$E$13)),
        _xlfn.IFS(
          AN$1="BYU", IFERROR(_xlfn.XLOOKUP($AI59, 'MAG College Enrollment Forecast'!$A:$A, 'MAG College Enrollment Forecast'!$B:$B), (AN$72-AN58)/($AI$72-$AI58)*($AI59-$AI58)+AN58),
          AN$1="UVU", IFERROR(_xlfn.XLOOKUP($AI59, 'MAG College Enrollment Forecast'!$A:$A, 'MAG College Enrollment Forecast'!$C:$C+'MAG College Enrollment Forecast'!$D:$D+'MAG College Enrollment Forecast'!$E:$E+'MAG College Enrollment Forecast'!$F:$F+'MAG College Enrollment Forecast'!$G:$G+'MAG College Enrollment Forecast'!$H:$H), (AN$72-AN58)/($AI$72-$AI58)*($AI59-$AI58)+AN58),
          TRUE, IFERROR(_xlfn.XLOOKUP($AI59, 'USHE Projections'!$A:$A, IFERROR(_xlfn.XLOOKUP(AN$1, 'USHE Projections'!$A$1:$E$1, 'USHE Projections'!$A:$E), "NONE"), (AN$72-AN58)/($AI$72-$AI58)*($AI59-$AI58)+AN58), (AN$72-AN58)/($AI$72-$AI58)*($AI59-$AI58)+AN58)
        )
      )
    )
  ), 0)</f>
        <v>39303</v>
      </c>
      <c r="AO59" s="104" cm="1">
        <f t="array" ref="AO59">ROUND(
  IF(AND(AO$1="Ensign", $AI59&gt;=2021, $AI59&lt;=2024),
    _xlfn.XLOOKUP($AI59, Ensign!$A$2:$A$12, Ensign!$B$2:$B$12),
    _xlfn.XLOOKUP($AI59, 'Historic (IPEDS &amp; 2019 RTP)'!$A:$A, _xlfn.XLOOKUP(AO$1, 'Historic (IPEDS &amp; 2019 RTP)'!$A$1:$H$1, 'Historic (IPEDS &amp; 2019 RTP)'!$A:$H),
      IFERROR(_xlfn.XLOOKUP($AI59, 'USHE Historic'!$A$3:$A$13, _xlfn.XLOOKUP(AO$1, 'USHE Historic'!$A$2:$E$2, 'USHE Historic'!$A$3:$E$13)),
        _xlfn.IFS(
          AO$1="BYU", IFERROR(_xlfn.XLOOKUP($AI59, 'MAG College Enrollment Forecast'!$A:$A, 'MAG College Enrollment Forecast'!$B:$B), (AO$72-AO58)/($AI$72-$AI58)*($AI59-$AI58)+AO58),
          AO$1="UVU", IFERROR(_xlfn.XLOOKUP($AI59, 'MAG College Enrollment Forecast'!$A:$A, 'MAG College Enrollment Forecast'!$C:$C+'MAG College Enrollment Forecast'!$D:$D+'MAG College Enrollment Forecast'!$E:$E+'MAG College Enrollment Forecast'!$F:$F+'MAG College Enrollment Forecast'!$G:$G+'MAG College Enrollment Forecast'!$H:$H), (AO$72-AO58)/($AI$72-$AI58)*($AI59-$AI58)+AO58),
          TRUE, IFERROR(_xlfn.XLOOKUP($AI59, 'USHE Projections'!$A:$A, IFERROR(_xlfn.XLOOKUP(AO$1, 'USHE Projections'!$A$1:$E$1, 'USHE Projections'!$A:$E), "NONE"), (AO$72-AO58)/($AI$72-$AI58)*($AI59-$AI58)+AO58), (AO$72-AO58)/($AI$72-$AI58)*($AI59-$AI58)+AO58)
        )
      )
    )
  ), 0)</f>
        <v>2742</v>
      </c>
      <c r="AP59" s="104" cm="1">
        <f t="array" ref="AP59">ROUND(
  IF(AND(AP$1="Ensign", $AI59&gt;=2021, $AI59&lt;=2024),
    _xlfn.XLOOKUP($AI59, Ensign!$A$2:$A$12, Ensign!$B$2:$B$12),
    _xlfn.XLOOKUP($AI59, 'Historic (IPEDS &amp; 2019 RTP)'!$A:$A, _xlfn.XLOOKUP(AP$1, 'Historic (IPEDS &amp; 2019 RTP)'!$A$1:$H$1, 'Historic (IPEDS &amp; 2019 RTP)'!$A:$H),
      IFERROR(_xlfn.XLOOKUP($AI59, 'USHE Historic'!$A$3:$A$13, _xlfn.XLOOKUP(AP$1, 'USHE Historic'!$A$2:$E$2, 'USHE Historic'!$A$3:$E$13)),
        _xlfn.IFS(
          AP$1="BYU", IFERROR(_xlfn.XLOOKUP($AI59, 'MAG College Enrollment Forecast'!$A:$A, 'MAG College Enrollment Forecast'!$B:$B), (AP$72-AP58)/($AI$72-$AI58)*($AI59-$AI58)+AP58),
          AP$1="UVU", IFERROR(_xlfn.XLOOKUP($AI59, 'MAG College Enrollment Forecast'!$A:$A, 'MAG College Enrollment Forecast'!$C:$C+'MAG College Enrollment Forecast'!$D:$D+'MAG College Enrollment Forecast'!$E:$E+'MAG College Enrollment Forecast'!$F:$F+'MAG College Enrollment Forecast'!$G:$G+'MAG College Enrollment Forecast'!$H:$H), (AP$72-AP58)/($AI$72-$AI58)*($AI59-$AI58)+AP58),
          TRUE, IFERROR(_xlfn.XLOOKUP($AI59, 'USHE Projections'!$A:$A, IFERROR(_xlfn.XLOOKUP(AP$1, 'USHE Projections'!$A$1:$E$1, 'USHE Projections'!$A:$E), "NONE"), (AP$72-AP58)/($AI$72-$AI58)*($AI59-$AI58)+AP58), (AP$72-AP58)/($AI$72-$AI58)*($AI59-$AI58)+AP58)
        )
      )
    )
  ), 0)</f>
        <v>2701</v>
      </c>
    </row>
    <row r="60" spans="35:42">
      <c r="AI60" s="3">
        <v>2048</v>
      </c>
      <c r="AJ60" s="104" cm="1">
        <f t="array" ref="AJ60">ROUND(
  IF(AND(AJ$1="Ensign", $AI60&gt;=2021, $AI60&lt;=2024),
    _xlfn.XLOOKUP($AI60, Ensign!$A$2:$A$12, Ensign!$B$2:$B$12),
    _xlfn.XLOOKUP($AI60, 'Historic (IPEDS &amp; 2019 RTP)'!$A:$A, _xlfn.XLOOKUP(AJ$1, 'Historic (IPEDS &amp; 2019 RTP)'!$A$1:$H$1, 'Historic (IPEDS &amp; 2019 RTP)'!$A:$H),
      IFERROR(_xlfn.XLOOKUP($AI60, 'USHE Historic'!$A$3:$A$13, _xlfn.XLOOKUP(AJ$1, 'USHE Historic'!$A$2:$E$2, 'USHE Historic'!$A$3:$E$13)),
        _xlfn.IFS(
          AJ$1="BYU", IFERROR(_xlfn.XLOOKUP($AI60, 'MAG College Enrollment Forecast'!$A:$A, 'MAG College Enrollment Forecast'!$B:$B), (AJ$72-AJ59)/($AI$72-$AI59)*($AI60-$AI59)+AJ59),
          AJ$1="UVU", IFERROR(_xlfn.XLOOKUP($AI60, 'MAG College Enrollment Forecast'!$A:$A, 'MAG College Enrollment Forecast'!$C:$C+'MAG College Enrollment Forecast'!$D:$D+'MAG College Enrollment Forecast'!$E:$E+'MAG College Enrollment Forecast'!$F:$F+'MAG College Enrollment Forecast'!$G:$G+'MAG College Enrollment Forecast'!$H:$H), (AJ$72-AJ59)/($AI$72-$AI59)*($AI60-$AI59)+AJ59),
          TRUE, IFERROR(_xlfn.XLOOKUP($AI60, 'USHE Projections'!$A:$A, IFERROR(_xlfn.XLOOKUP(AJ$1, 'USHE Projections'!$A$1:$E$1, 'USHE Projections'!$A:$E), "NONE"), (AJ$72-AJ59)/($AI$72-$AI59)*($AI60-$AI59)+AJ59), (AJ$72-AJ59)/($AI$72-$AI59)*($AI60-$AI59)+AJ59)
        )
      )
    )
  ), 0)</f>
        <v>43370</v>
      </c>
      <c r="AK60" s="104" cm="1">
        <f t="array" ref="AK60">ROUND(
  IF(AND(AK$1="Ensign", $AI60&gt;=2021, $AI60&lt;=2024),
    _xlfn.XLOOKUP($AI60, Ensign!$A$2:$A$12, Ensign!$B$2:$B$12),
    _xlfn.XLOOKUP($AI60, 'Historic (IPEDS &amp; 2019 RTP)'!$A:$A, _xlfn.XLOOKUP(AK$1, 'Historic (IPEDS &amp; 2019 RTP)'!$A$1:$H$1, 'Historic (IPEDS &amp; 2019 RTP)'!$A:$H),
      IFERROR(_xlfn.XLOOKUP($AI60, 'USHE Historic'!$A$3:$A$13, _xlfn.XLOOKUP(AK$1, 'USHE Historic'!$A$2:$E$2, 'USHE Historic'!$A$3:$E$13)),
        _xlfn.IFS(
          AK$1="BYU", IFERROR(_xlfn.XLOOKUP($AI60, 'MAG College Enrollment Forecast'!$A:$A, 'MAG College Enrollment Forecast'!$B:$B), (AK$72-AK59)/($AI$72-$AI59)*($AI60-$AI59)+AK59),
          AK$1="UVU", IFERROR(_xlfn.XLOOKUP($AI60, 'MAG College Enrollment Forecast'!$A:$A, 'MAG College Enrollment Forecast'!$C:$C+'MAG College Enrollment Forecast'!$D:$D+'MAG College Enrollment Forecast'!$E:$E+'MAG College Enrollment Forecast'!$F:$F+'MAG College Enrollment Forecast'!$G:$G+'MAG College Enrollment Forecast'!$H:$H), (AK$72-AK59)/($AI$72-$AI59)*($AI60-$AI59)+AK59),
          TRUE, IFERROR(_xlfn.XLOOKUP($AI60, 'USHE Projections'!$A:$A, IFERROR(_xlfn.XLOOKUP(AK$1, 'USHE Projections'!$A$1:$E$1, 'USHE Projections'!$A:$E), "NONE"), (AK$72-AK59)/($AI$72-$AI59)*($AI60-$AI59)+AK59), (AK$72-AK59)/($AI$72-$AI59)*($AI60-$AI59)+AK59)
        )
      )
    )
  ), 0)</f>
        <v>42402</v>
      </c>
      <c r="AL60" s="35" cm="1">
        <f t="array" ref="AL60">ROUND(
  IF(AND(AL$1="Ensign", $AI60&gt;=2021, $AI60&lt;=2024),
    _xlfn.XLOOKUP($AI60, Ensign!$A$2:$A$12, Ensign!$B$2:$B$12),
    _xlfn.XLOOKUP($AI60, 'Historic (IPEDS &amp; 2019 RTP)'!$A:$A, _xlfn.XLOOKUP(AL$1, 'Historic (IPEDS &amp; 2019 RTP)'!$A$1:$H$1, 'Historic (IPEDS &amp; 2019 RTP)'!$A:$H),
      IFERROR(_xlfn.XLOOKUP($AI60, 'USHE Historic'!$A$3:$A$13, _xlfn.XLOOKUP(AL$1, 'USHE Historic'!$A$2:$E$2, 'USHE Historic'!$A$3:$E$13)),
        _xlfn.IFS(
          AL$1="BYU", IFERROR(_xlfn.XLOOKUP($AI60, 'MAG College Enrollment Forecast'!$A:$A, 'MAG College Enrollment Forecast'!$B:$B), (AL$72-AL59)/($AI$72-$AI59)*($AI60-$AI59)+AL59),
          AL$1="UVU", IFERROR(_xlfn.XLOOKUP($AI60, 'MAG College Enrollment Forecast'!$A:$A, 'MAG College Enrollment Forecast'!$C:$C+'MAG College Enrollment Forecast'!$D:$D+'MAG College Enrollment Forecast'!$E:$E+'MAG College Enrollment Forecast'!$F:$F+'MAG College Enrollment Forecast'!$G:$G+'MAG College Enrollment Forecast'!$H:$H), (AL$72-AL59)/($AI$72-$AI59)*($AI60-$AI59)+AL59),
          TRUE, IFERROR(_xlfn.XLOOKUP($AI60, 'USHE Projections'!$A:$A, IFERROR(_xlfn.XLOOKUP(AL$1, 'USHE Projections'!$A$1:$E$1, 'USHE Projections'!$A:$E), "NONE"), (AL$72-AL59)/($AI$72-$AI59)*($AI60-$AI59)+AL59), (AL$72-AL59)/($AI$72-$AI59)*($AI60-$AI59)+AL59)
        )
      )
    )
  ), 0)</f>
        <v>75963</v>
      </c>
      <c r="AM60" s="104" cm="1">
        <f t="array" ref="AM60">ROUND(
  IF(AND(AM$1="Ensign", $AI60&gt;=2021, $AI60&lt;=2024),
    _xlfn.XLOOKUP($AI60, Ensign!$A$2:$A$12, Ensign!$B$2:$B$12),
    _xlfn.XLOOKUP($AI60, 'Historic (IPEDS &amp; 2019 RTP)'!$A:$A, _xlfn.XLOOKUP(AM$1, 'Historic (IPEDS &amp; 2019 RTP)'!$A$1:$H$1, 'Historic (IPEDS &amp; 2019 RTP)'!$A:$H),
      IFERROR(_xlfn.XLOOKUP($AI60, 'USHE Historic'!$A$3:$A$13, _xlfn.XLOOKUP(AM$1, 'USHE Historic'!$A$2:$E$2, 'USHE Historic'!$A$3:$E$13)),
        _xlfn.IFS(
          AM$1="BYU", IFERROR(_xlfn.XLOOKUP($AI60, 'MAG College Enrollment Forecast'!$A:$A, 'MAG College Enrollment Forecast'!$B:$B), (AM$72-AM59)/($AI$72-$AI59)*($AI60-$AI59)+AM59),
          AM$1="UVU", IFERROR(_xlfn.XLOOKUP($AI60, 'MAG College Enrollment Forecast'!$A:$A, 'MAG College Enrollment Forecast'!$C:$C+'MAG College Enrollment Forecast'!$D:$D+'MAG College Enrollment Forecast'!$E:$E+'MAG College Enrollment Forecast'!$F:$F+'MAG College Enrollment Forecast'!$G:$G+'MAG College Enrollment Forecast'!$H:$H), (AM$72-AM59)/($AI$72-$AI59)*($AI60-$AI59)+AM59),
          TRUE, IFERROR(_xlfn.XLOOKUP($AI60, 'USHE Projections'!$A:$A, IFERROR(_xlfn.XLOOKUP(AM$1, 'USHE Projections'!$A$1:$E$1, 'USHE Projections'!$A:$E), "NONE"), (AM$72-AM59)/($AI$72-$AI59)*($AI60-$AI59)+AM59), (AM$72-AM59)/($AI$72-$AI59)*($AI60-$AI59)+AM59)
        )
      )
    )
  ), 0)</f>
        <v>38959</v>
      </c>
      <c r="AN60" s="35" cm="1">
        <f t="array" ref="AN60">ROUND(
  IF(AND(AN$1="Ensign", $AI60&gt;=2021, $AI60&lt;=2024),
    _xlfn.XLOOKUP($AI60, Ensign!$A$2:$A$12, Ensign!$B$2:$B$12),
    _xlfn.XLOOKUP($AI60, 'Historic (IPEDS &amp; 2019 RTP)'!$A:$A, _xlfn.XLOOKUP(AN$1, 'Historic (IPEDS &amp; 2019 RTP)'!$A$1:$H$1, 'Historic (IPEDS &amp; 2019 RTP)'!$A:$H),
      IFERROR(_xlfn.XLOOKUP($AI60, 'USHE Historic'!$A$3:$A$13, _xlfn.XLOOKUP(AN$1, 'USHE Historic'!$A$2:$E$2, 'USHE Historic'!$A$3:$E$13)),
        _xlfn.IFS(
          AN$1="BYU", IFERROR(_xlfn.XLOOKUP($AI60, 'MAG College Enrollment Forecast'!$A:$A, 'MAG College Enrollment Forecast'!$B:$B), (AN$72-AN59)/($AI$72-$AI59)*($AI60-$AI59)+AN59),
          AN$1="UVU", IFERROR(_xlfn.XLOOKUP($AI60, 'MAG College Enrollment Forecast'!$A:$A, 'MAG College Enrollment Forecast'!$C:$C+'MAG College Enrollment Forecast'!$D:$D+'MAG College Enrollment Forecast'!$E:$E+'MAG College Enrollment Forecast'!$F:$F+'MAG College Enrollment Forecast'!$G:$G+'MAG College Enrollment Forecast'!$H:$H), (AN$72-AN59)/($AI$72-$AI59)*($AI60-$AI59)+AN59),
          TRUE, IFERROR(_xlfn.XLOOKUP($AI60, 'USHE Projections'!$A:$A, IFERROR(_xlfn.XLOOKUP(AN$1, 'USHE Projections'!$A$1:$E$1, 'USHE Projections'!$A:$E), "NONE"), (AN$72-AN59)/($AI$72-$AI59)*($AI60-$AI59)+AN59), (AN$72-AN59)/($AI$72-$AI59)*($AI60-$AI59)+AN59)
        )
      )
    )
  ), 0)</f>
        <v>39307</v>
      </c>
      <c r="AO60" s="104" cm="1">
        <f t="array" ref="AO60">ROUND(
  IF(AND(AO$1="Ensign", $AI60&gt;=2021, $AI60&lt;=2024),
    _xlfn.XLOOKUP($AI60, Ensign!$A$2:$A$12, Ensign!$B$2:$B$12),
    _xlfn.XLOOKUP($AI60, 'Historic (IPEDS &amp; 2019 RTP)'!$A:$A, _xlfn.XLOOKUP(AO$1, 'Historic (IPEDS &amp; 2019 RTP)'!$A$1:$H$1, 'Historic (IPEDS &amp; 2019 RTP)'!$A:$H),
      IFERROR(_xlfn.XLOOKUP($AI60, 'USHE Historic'!$A$3:$A$13, _xlfn.XLOOKUP(AO$1, 'USHE Historic'!$A$2:$E$2, 'USHE Historic'!$A$3:$E$13)),
        _xlfn.IFS(
          AO$1="BYU", IFERROR(_xlfn.XLOOKUP($AI60, 'MAG College Enrollment Forecast'!$A:$A, 'MAG College Enrollment Forecast'!$B:$B), (AO$72-AO59)/($AI$72-$AI59)*($AI60-$AI59)+AO59),
          AO$1="UVU", IFERROR(_xlfn.XLOOKUP($AI60, 'MAG College Enrollment Forecast'!$A:$A, 'MAG College Enrollment Forecast'!$C:$C+'MAG College Enrollment Forecast'!$D:$D+'MAG College Enrollment Forecast'!$E:$E+'MAG College Enrollment Forecast'!$F:$F+'MAG College Enrollment Forecast'!$G:$G+'MAG College Enrollment Forecast'!$H:$H), (AO$72-AO59)/($AI$72-$AI59)*($AI60-$AI59)+AO59),
          TRUE, IFERROR(_xlfn.XLOOKUP($AI60, 'USHE Projections'!$A:$A, IFERROR(_xlfn.XLOOKUP(AO$1, 'USHE Projections'!$A$1:$E$1, 'USHE Projections'!$A:$E), "NONE"), (AO$72-AO59)/($AI$72-$AI59)*($AI60-$AI59)+AO59), (AO$72-AO59)/($AI$72-$AI59)*($AI60-$AI59)+AO59)
        )
      )
    )
  ), 0)</f>
        <v>2777</v>
      </c>
      <c r="AP60" s="104" cm="1">
        <f t="array" ref="AP60">ROUND(
  IF(AND(AP$1="Ensign", $AI60&gt;=2021, $AI60&lt;=2024),
    _xlfn.XLOOKUP($AI60, Ensign!$A$2:$A$12, Ensign!$B$2:$B$12),
    _xlfn.XLOOKUP($AI60, 'Historic (IPEDS &amp; 2019 RTP)'!$A:$A, _xlfn.XLOOKUP(AP$1, 'Historic (IPEDS &amp; 2019 RTP)'!$A$1:$H$1, 'Historic (IPEDS &amp; 2019 RTP)'!$A:$H),
      IFERROR(_xlfn.XLOOKUP($AI60, 'USHE Historic'!$A$3:$A$13, _xlfn.XLOOKUP(AP$1, 'USHE Historic'!$A$2:$E$2, 'USHE Historic'!$A$3:$E$13)),
        _xlfn.IFS(
          AP$1="BYU", IFERROR(_xlfn.XLOOKUP($AI60, 'MAG College Enrollment Forecast'!$A:$A, 'MAG College Enrollment Forecast'!$B:$B), (AP$72-AP59)/($AI$72-$AI59)*($AI60-$AI59)+AP59),
          AP$1="UVU", IFERROR(_xlfn.XLOOKUP($AI60, 'MAG College Enrollment Forecast'!$A:$A, 'MAG College Enrollment Forecast'!$C:$C+'MAG College Enrollment Forecast'!$D:$D+'MAG College Enrollment Forecast'!$E:$E+'MAG College Enrollment Forecast'!$F:$F+'MAG College Enrollment Forecast'!$G:$G+'MAG College Enrollment Forecast'!$H:$H), (AP$72-AP59)/($AI$72-$AI59)*($AI60-$AI59)+AP59),
          TRUE, IFERROR(_xlfn.XLOOKUP($AI60, 'USHE Projections'!$A:$A, IFERROR(_xlfn.XLOOKUP(AP$1, 'USHE Projections'!$A$1:$E$1, 'USHE Projections'!$A:$E), "NONE"), (AP$72-AP59)/($AI$72-$AI59)*($AI60-$AI59)+AP59), (AP$72-AP59)/($AI$72-$AI59)*($AI60-$AI59)+AP59)
        )
      )
    )
  ), 0)</f>
        <v>2762</v>
      </c>
    </row>
    <row r="61" spans="35:42">
      <c r="AI61" s="3">
        <v>2049</v>
      </c>
      <c r="AJ61" s="104" cm="1">
        <f t="array" ref="AJ61">ROUND(
  IF(AND(AJ$1="Ensign", $AI61&gt;=2021, $AI61&lt;=2024),
    _xlfn.XLOOKUP($AI61, Ensign!$A$2:$A$12, Ensign!$B$2:$B$12),
    _xlfn.XLOOKUP($AI61, 'Historic (IPEDS &amp; 2019 RTP)'!$A:$A, _xlfn.XLOOKUP(AJ$1, 'Historic (IPEDS &amp; 2019 RTP)'!$A$1:$H$1, 'Historic (IPEDS &amp; 2019 RTP)'!$A:$H),
      IFERROR(_xlfn.XLOOKUP($AI61, 'USHE Historic'!$A$3:$A$13, _xlfn.XLOOKUP(AJ$1, 'USHE Historic'!$A$2:$E$2, 'USHE Historic'!$A$3:$E$13)),
        _xlfn.IFS(
          AJ$1="BYU", IFERROR(_xlfn.XLOOKUP($AI61, 'MAG College Enrollment Forecast'!$A:$A, 'MAG College Enrollment Forecast'!$B:$B), (AJ$72-AJ60)/($AI$72-$AI60)*($AI61-$AI60)+AJ60),
          AJ$1="UVU", IFERROR(_xlfn.XLOOKUP($AI61, 'MAG College Enrollment Forecast'!$A:$A, 'MAG College Enrollment Forecast'!$C:$C+'MAG College Enrollment Forecast'!$D:$D+'MAG College Enrollment Forecast'!$E:$E+'MAG College Enrollment Forecast'!$F:$F+'MAG College Enrollment Forecast'!$G:$G+'MAG College Enrollment Forecast'!$H:$H), (AJ$72-AJ60)/($AI$72-$AI60)*($AI61-$AI60)+AJ60),
          TRUE, IFERROR(_xlfn.XLOOKUP($AI61, 'USHE Projections'!$A:$A, IFERROR(_xlfn.XLOOKUP(AJ$1, 'USHE Projections'!$A$1:$E$1, 'USHE Projections'!$A:$E), "NONE"), (AJ$72-AJ60)/($AI$72-$AI60)*($AI61-$AI60)+AJ60), (AJ$72-AJ60)/($AI$72-$AI60)*($AI61-$AI60)+AJ60)
        )
      )
    )
  ), 0)</f>
        <v>43673</v>
      </c>
      <c r="AK61" s="104" cm="1">
        <f t="array" ref="AK61">ROUND(
  IF(AND(AK$1="Ensign", $AI61&gt;=2021, $AI61&lt;=2024),
    _xlfn.XLOOKUP($AI61, Ensign!$A$2:$A$12, Ensign!$B$2:$B$12),
    _xlfn.XLOOKUP($AI61, 'Historic (IPEDS &amp; 2019 RTP)'!$A:$A, _xlfn.XLOOKUP(AK$1, 'Historic (IPEDS &amp; 2019 RTP)'!$A$1:$H$1, 'Historic (IPEDS &amp; 2019 RTP)'!$A:$H),
      IFERROR(_xlfn.XLOOKUP($AI61, 'USHE Historic'!$A$3:$A$13, _xlfn.XLOOKUP(AK$1, 'USHE Historic'!$A$2:$E$2, 'USHE Historic'!$A$3:$E$13)),
        _xlfn.IFS(
          AK$1="BYU", IFERROR(_xlfn.XLOOKUP($AI61, 'MAG College Enrollment Forecast'!$A:$A, 'MAG College Enrollment Forecast'!$B:$B), (AK$72-AK60)/($AI$72-$AI60)*($AI61-$AI60)+AK60),
          AK$1="UVU", IFERROR(_xlfn.XLOOKUP($AI61, 'MAG College Enrollment Forecast'!$A:$A, 'MAG College Enrollment Forecast'!$C:$C+'MAG College Enrollment Forecast'!$D:$D+'MAG College Enrollment Forecast'!$E:$E+'MAG College Enrollment Forecast'!$F:$F+'MAG College Enrollment Forecast'!$G:$G+'MAG College Enrollment Forecast'!$H:$H), (AK$72-AK60)/($AI$72-$AI60)*($AI61-$AI60)+AK60),
          TRUE, IFERROR(_xlfn.XLOOKUP($AI61, 'USHE Projections'!$A:$A, IFERROR(_xlfn.XLOOKUP(AK$1, 'USHE Projections'!$A$1:$E$1, 'USHE Projections'!$A:$E), "NONE"), (AK$72-AK60)/($AI$72-$AI60)*($AI61-$AI60)+AK60), (AK$72-AK60)/($AI$72-$AI60)*($AI61-$AI60)+AK60)
        )
      )
    )
  ), 0)</f>
        <v>42869</v>
      </c>
      <c r="AL61" s="35" cm="1">
        <f t="array" ref="AL61">ROUND(
  IF(AND(AL$1="Ensign", $AI61&gt;=2021, $AI61&lt;=2024),
    _xlfn.XLOOKUP($AI61, Ensign!$A$2:$A$12, Ensign!$B$2:$B$12),
    _xlfn.XLOOKUP($AI61, 'Historic (IPEDS &amp; 2019 RTP)'!$A:$A, _xlfn.XLOOKUP(AL$1, 'Historic (IPEDS &amp; 2019 RTP)'!$A$1:$H$1, 'Historic (IPEDS &amp; 2019 RTP)'!$A:$H),
      IFERROR(_xlfn.XLOOKUP($AI61, 'USHE Historic'!$A$3:$A$13, _xlfn.XLOOKUP(AL$1, 'USHE Historic'!$A$2:$E$2, 'USHE Historic'!$A$3:$E$13)),
        _xlfn.IFS(
          AL$1="BYU", IFERROR(_xlfn.XLOOKUP($AI61, 'MAG College Enrollment Forecast'!$A:$A, 'MAG College Enrollment Forecast'!$B:$B), (AL$72-AL60)/($AI$72-$AI60)*($AI61-$AI60)+AL60),
          AL$1="UVU", IFERROR(_xlfn.XLOOKUP($AI61, 'MAG College Enrollment Forecast'!$A:$A, 'MAG College Enrollment Forecast'!$C:$C+'MAG College Enrollment Forecast'!$D:$D+'MAG College Enrollment Forecast'!$E:$E+'MAG College Enrollment Forecast'!$F:$F+'MAG College Enrollment Forecast'!$G:$G+'MAG College Enrollment Forecast'!$H:$H), (AL$72-AL60)/($AI$72-$AI60)*($AI61-$AI60)+AL60),
          TRUE, IFERROR(_xlfn.XLOOKUP($AI61, 'USHE Projections'!$A:$A, IFERROR(_xlfn.XLOOKUP(AL$1, 'USHE Projections'!$A$1:$E$1, 'USHE Projections'!$A:$E), "NONE"), (AL$72-AL60)/($AI$72-$AI60)*($AI61-$AI60)+AL60), (AL$72-AL60)/($AI$72-$AI60)*($AI61-$AI60)+AL60)
        )
      )
    )
  ), 0)</f>
        <v>77197</v>
      </c>
      <c r="AM61" s="104" cm="1">
        <f t="array" ref="AM61">ROUND(
  IF(AND(AM$1="Ensign", $AI61&gt;=2021, $AI61&lt;=2024),
    _xlfn.XLOOKUP($AI61, Ensign!$A$2:$A$12, Ensign!$B$2:$B$12),
    _xlfn.XLOOKUP($AI61, 'Historic (IPEDS &amp; 2019 RTP)'!$A:$A, _xlfn.XLOOKUP(AM$1, 'Historic (IPEDS &amp; 2019 RTP)'!$A$1:$H$1, 'Historic (IPEDS &amp; 2019 RTP)'!$A:$H),
      IFERROR(_xlfn.XLOOKUP($AI61, 'USHE Historic'!$A$3:$A$13, _xlfn.XLOOKUP(AM$1, 'USHE Historic'!$A$2:$E$2, 'USHE Historic'!$A$3:$E$13)),
        _xlfn.IFS(
          AM$1="BYU", IFERROR(_xlfn.XLOOKUP($AI61, 'MAG College Enrollment Forecast'!$A:$A, 'MAG College Enrollment Forecast'!$B:$B), (AM$72-AM60)/($AI$72-$AI60)*($AI61-$AI60)+AM60),
          AM$1="UVU", IFERROR(_xlfn.XLOOKUP($AI61, 'MAG College Enrollment Forecast'!$A:$A, 'MAG College Enrollment Forecast'!$C:$C+'MAG College Enrollment Forecast'!$D:$D+'MAG College Enrollment Forecast'!$E:$E+'MAG College Enrollment Forecast'!$F:$F+'MAG College Enrollment Forecast'!$G:$G+'MAG College Enrollment Forecast'!$H:$H), (AM$72-AM60)/($AI$72-$AI60)*($AI61-$AI60)+AM60),
          TRUE, IFERROR(_xlfn.XLOOKUP($AI61, 'USHE Projections'!$A:$A, IFERROR(_xlfn.XLOOKUP(AM$1, 'USHE Projections'!$A$1:$E$1, 'USHE Projections'!$A:$E), "NONE"), (AM$72-AM60)/($AI$72-$AI60)*($AI61-$AI60)+AM60), (AM$72-AM60)/($AI$72-$AI60)*($AI61-$AI60)+AM60)
        )
      )
    )
  ), 0)</f>
        <v>39296</v>
      </c>
      <c r="AN61" s="35" cm="1">
        <f t="array" ref="AN61">ROUND(
  IF(AND(AN$1="Ensign", $AI61&gt;=2021, $AI61&lt;=2024),
    _xlfn.XLOOKUP($AI61, Ensign!$A$2:$A$12, Ensign!$B$2:$B$12),
    _xlfn.XLOOKUP($AI61, 'Historic (IPEDS &amp; 2019 RTP)'!$A:$A, _xlfn.XLOOKUP(AN$1, 'Historic (IPEDS &amp; 2019 RTP)'!$A$1:$H$1, 'Historic (IPEDS &amp; 2019 RTP)'!$A:$H),
      IFERROR(_xlfn.XLOOKUP($AI61, 'USHE Historic'!$A$3:$A$13, _xlfn.XLOOKUP(AN$1, 'USHE Historic'!$A$2:$E$2, 'USHE Historic'!$A$3:$E$13)),
        _xlfn.IFS(
          AN$1="BYU", IFERROR(_xlfn.XLOOKUP($AI61, 'MAG College Enrollment Forecast'!$A:$A, 'MAG College Enrollment Forecast'!$B:$B), (AN$72-AN60)/($AI$72-$AI60)*($AI61-$AI60)+AN60),
          AN$1="UVU", IFERROR(_xlfn.XLOOKUP($AI61, 'MAG College Enrollment Forecast'!$A:$A, 'MAG College Enrollment Forecast'!$C:$C+'MAG College Enrollment Forecast'!$D:$D+'MAG College Enrollment Forecast'!$E:$E+'MAG College Enrollment Forecast'!$F:$F+'MAG College Enrollment Forecast'!$G:$G+'MAG College Enrollment Forecast'!$H:$H), (AN$72-AN60)/($AI$72-$AI60)*($AI61-$AI60)+AN60),
          TRUE, IFERROR(_xlfn.XLOOKUP($AI61, 'USHE Projections'!$A:$A, IFERROR(_xlfn.XLOOKUP(AN$1, 'USHE Projections'!$A$1:$E$1, 'USHE Projections'!$A:$E), "NONE"), (AN$72-AN60)/($AI$72-$AI60)*($AI61-$AI60)+AN60), (AN$72-AN60)/($AI$72-$AI60)*($AI61-$AI60)+AN60)
        )
      )
    )
  ), 0)</f>
        <v>39311</v>
      </c>
      <c r="AO61" s="104" cm="1">
        <f t="array" ref="AO61">ROUND(
  IF(AND(AO$1="Ensign", $AI61&gt;=2021, $AI61&lt;=2024),
    _xlfn.XLOOKUP($AI61, Ensign!$A$2:$A$12, Ensign!$B$2:$B$12),
    _xlfn.XLOOKUP($AI61, 'Historic (IPEDS &amp; 2019 RTP)'!$A:$A, _xlfn.XLOOKUP(AO$1, 'Historic (IPEDS &amp; 2019 RTP)'!$A$1:$H$1, 'Historic (IPEDS &amp; 2019 RTP)'!$A:$H),
      IFERROR(_xlfn.XLOOKUP($AI61, 'USHE Historic'!$A$3:$A$13, _xlfn.XLOOKUP(AO$1, 'USHE Historic'!$A$2:$E$2, 'USHE Historic'!$A$3:$E$13)),
        _xlfn.IFS(
          AO$1="BYU", IFERROR(_xlfn.XLOOKUP($AI61, 'MAG College Enrollment Forecast'!$A:$A, 'MAG College Enrollment Forecast'!$B:$B), (AO$72-AO60)/($AI$72-$AI60)*($AI61-$AI60)+AO60),
          AO$1="UVU", IFERROR(_xlfn.XLOOKUP($AI61, 'MAG College Enrollment Forecast'!$A:$A, 'MAG College Enrollment Forecast'!$C:$C+'MAG College Enrollment Forecast'!$D:$D+'MAG College Enrollment Forecast'!$E:$E+'MAG College Enrollment Forecast'!$F:$F+'MAG College Enrollment Forecast'!$G:$G+'MAG College Enrollment Forecast'!$H:$H), (AO$72-AO60)/($AI$72-$AI60)*($AI61-$AI60)+AO60),
          TRUE, IFERROR(_xlfn.XLOOKUP($AI61, 'USHE Projections'!$A:$A, IFERROR(_xlfn.XLOOKUP(AO$1, 'USHE Projections'!$A$1:$E$1, 'USHE Projections'!$A:$E), "NONE"), (AO$72-AO60)/($AI$72-$AI60)*($AI61-$AI60)+AO60), (AO$72-AO60)/($AI$72-$AI60)*($AI61-$AI60)+AO60)
        )
      )
    )
  ), 0)</f>
        <v>2812</v>
      </c>
      <c r="AP61" s="104" cm="1">
        <f t="array" ref="AP61">ROUND(
  IF(AND(AP$1="Ensign", $AI61&gt;=2021, $AI61&lt;=2024),
    _xlfn.XLOOKUP($AI61, Ensign!$A$2:$A$12, Ensign!$B$2:$B$12),
    _xlfn.XLOOKUP($AI61, 'Historic (IPEDS &amp; 2019 RTP)'!$A:$A, _xlfn.XLOOKUP(AP$1, 'Historic (IPEDS &amp; 2019 RTP)'!$A$1:$H$1, 'Historic (IPEDS &amp; 2019 RTP)'!$A:$H),
      IFERROR(_xlfn.XLOOKUP($AI61, 'USHE Historic'!$A$3:$A$13, _xlfn.XLOOKUP(AP$1, 'USHE Historic'!$A$2:$E$2, 'USHE Historic'!$A$3:$E$13)),
        _xlfn.IFS(
          AP$1="BYU", IFERROR(_xlfn.XLOOKUP($AI61, 'MAG College Enrollment Forecast'!$A:$A, 'MAG College Enrollment Forecast'!$B:$B), (AP$72-AP60)/($AI$72-$AI60)*($AI61-$AI60)+AP60),
          AP$1="UVU", IFERROR(_xlfn.XLOOKUP($AI61, 'MAG College Enrollment Forecast'!$A:$A, 'MAG College Enrollment Forecast'!$C:$C+'MAG College Enrollment Forecast'!$D:$D+'MAG College Enrollment Forecast'!$E:$E+'MAG College Enrollment Forecast'!$F:$F+'MAG College Enrollment Forecast'!$G:$G+'MAG College Enrollment Forecast'!$H:$H), (AP$72-AP60)/($AI$72-$AI60)*($AI61-$AI60)+AP60),
          TRUE, IFERROR(_xlfn.XLOOKUP($AI61, 'USHE Projections'!$A:$A, IFERROR(_xlfn.XLOOKUP(AP$1, 'USHE Projections'!$A$1:$E$1, 'USHE Projections'!$A:$E), "NONE"), (AP$72-AP60)/($AI$72-$AI60)*($AI61-$AI60)+AP60), (AP$72-AP60)/($AI$72-$AI60)*($AI61-$AI60)+AP60)
        )
      )
    )
  ), 0)</f>
        <v>2824</v>
      </c>
    </row>
    <row r="62" spans="35:42">
      <c r="AI62" s="3">
        <v>2050</v>
      </c>
      <c r="AJ62" s="104" cm="1">
        <f t="array" ref="AJ62">ROUND(
  IF(AND(AJ$1="Ensign", $AI62&gt;=2021, $AI62&lt;=2024),
    _xlfn.XLOOKUP($AI62, Ensign!$A$2:$A$12, Ensign!$B$2:$B$12),
    _xlfn.XLOOKUP($AI62, 'Historic (IPEDS &amp; 2019 RTP)'!$A:$A, _xlfn.XLOOKUP(AJ$1, 'Historic (IPEDS &amp; 2019 RTP)'!$A$1:$H$1, 'Historic (IPEDS &amp; 2019 RTP)'!$A:$H),
      IFERROR(_xlfn.XLOOKUP($AI62, 'USHE Historic'!$A$3:$A$13, _xlfn.XLOOKUP(AJ$1, 'USHE Historic'!$A$2:$E$2, 'USHE Historic'!$A$3:$E$13)),
        _xlfn.IFS(
          AJ$1="BYU", IFERROR(_xlfn.XLOOKUP($AI62, 'MAG College Enrollment Forecast'!$A:$A, 'MAG College Enrollment Forecast'!$B:$B), (AJ$72-AJ61)/($AI$72-$AI61)*($AI62-$AI61)+AJ61),
          AJ$1="UVU", IFERROR(_xlfn.XLOOKUP($AI62, 'MAG College Enrollment Forecast'!$A:$A, 'MAG College Enrollment Forecast'!$C:$C+'MAG College Enrollment Forecast'!$D:$D+'MAG College Enrollment Forecast'!$E:$E+'MAG College Enrollment Forecast'!$F:$F+'MAG College Enrollment Forecast'!$G:$G+'MAG College Enrollment Forecast'!$H:$H), (AJ$72-AJ61)/($AI$72-$AI61)*($AI62-$AI61)+AJ61),
          TRUE, IFERROR(_xlfn.XLOOKUP($AI62, 'USHE Projections'!$A:$A, IFERROR(_xlfn.XLOOKUP(AJ$1, 'USHE Projections'!$A$1:$E$1, 'USHE Projections'!$A:$E), "NONE"), (AJ$72-AJ61)/($AI$72-$AI61)*($AI62-$AI61)+AJ61), (AJ$72-AJ61)/($AI$72-$AI61)*($AI62-$AI61)+AJ61)
        )
      )
    )
  ), 0)</f>
        <v>43975</v>
      </c>
      <c r="AK62" s="104" cm="1">
        <f t="array" ref="AK62">ROUND(
  IF(AND(AK$1="Ensign", $AI62&gt;=2021, $AI62&lt;=2024),
    _xlfn.XLOOKUP($AI62, Ensign!$A$2:$A$12, Ensign!$B$2:$B$12),
    _xlfn.XLOOKUP($AI62, 'Historic (IPEDS &amp; 2019 RTP)'!$A:$A, _xlfn.XLOOKUP(AK$1, 'Historic (IPEDS &amp; 2019 RTP)'!$A$1:$H$1, 'Historic (IPEDS &amp; 2019 RTP)'!$A:$H),
      IFERROR(_xlfn.XLOOKUP($AI62, 'USHE Historic'!$A$3:$A$13, _xlfn.XLOOKUP(AK$1, 'USHE Historic'!$A$2:$E$2, 'USHE Historic'!$A$3:$E$13)),
        _xlfn.IFS(
          AK$1="BYU", IFERROR(_xlfn.XLOOKUP($AI62, 'MAG College Enrollment Forecast'!$A:$A, 'MAG College Enrollment Forecast'!$B:$B), (AK$72-AK61)/($AI$72-$AI61)*($AI62-$AI61)+AK61),
          AK$1="UVU", IFERROR(_xlfn.XLOOKUP($AI62, 'MAG College Enrollment Forecast'!$A:$A, 'MAG College Enrollment Forecast'!$C:$C+'MAG College Enrollment Forecast'!$D:$D+'MAG College Enrollment Forecast'!$E:$E+'MAG College Enrollment Forecast'!$F:$F+'MAG College Enrollment Forecast'!$G:$G+'MAG College Enrollment Forecast'!$H:$H), (AK$72-AK61)/($AI$72-$AI61)*($AI62-$AI61)+AK61),
          TRUE, IFERROR(_xlfn.XLOOKUP($AI62, 'USHE Projections'!$A:$A, IFERROR(_xlfn.XLOOKUP(AK$1, 'USHE Projections'!$A$1:$E$1, 'USHE Projections'!$A:$E), "NONE"), (AK$72-AK61)/($AI$72-$AI61)*($AI62-$AI61)+AK61), (AK$72-AK61)/($AI$72-$AI61)*($AI62-$AI61)+AK61)
        )
      )
    )
  ), 0)</f>
        <v>43335</v>
      </c>
      <c r="AL62" s="35" cm="1">
        <f t="array" ref="AL62">ROUND(
  IF(AND(AL$1="Ensign", $AI62&gt;=2021, $AI62&lt;=2024),
    _xlfn.XLOOKUP($AI62, Ensign!$A$2:$A$12, Ensign!$B$2:$B$12),
    _xlfn.XLOOKUP($AI62, 'Historic (IPEDS &amp; 2019 RTP)'!$A:$A, _xlfn.XLOOKUP(AL$1, 'Historic (IPEDS &amp; 2019 RTP)'!$A$1:$H$1, 'Historic (IPEDS &amp; 2019 RTP)'!$A:$H),
      IFERROR(_xlfn.XLOOKUP($AI62, 'USHE Historic'!$A$3:$A$13, _xlfn.XLOOKUP(AL$1, 'USHE Historic'!$A$2:$E$2, 'USHE Historic'!$A$3:$E$13)),
        _xlfn.IFS(
          AL$1="BYU", IFERROR(_xlfn.XLOOKUP($AI62, 'MAG College Enrollment Forecast'!$A:$A, 'MAG College Enrollment Forecast'!$B:$B), (AL$72-AL61)/($AI$72-$AI61)*($AI62-$AI61)+AL61),
          AL$1="UVU", IFERROR(_xlfn.XLOOKUP($AI62, 'MAG College Enrollment Forecast'!$A:$A, 'MAG College Enrollment Forecast'!$C:$C+'MAG College Enrollment Forecast'!$D:$D+'MAG College Enrollment Forecast'!$E:$E+'MAG College Enrollment Forecast'!$F:$F+'MAG College Enrollment Forecast'!$G:$G+'MAG College Enrollment Forecast'!$H:$H), (AL$72-AL61)/($AI$72-$AI61)*($AI62-$AI61)+AL61),
          TRUE, IFERROR(_xlfn.XLOOKUP($AI62, 'USHE Projections'!$A:$A, IFERROR(_xlfn.XLOOKUP(AL$1, 'USHE Projections'!$A$1:$E$1, 'USHE Projections'!$A:$E), "NONE"), (AL$72-AL61)/($AI$72-$AI61)*($AI62-$AI61)+AL61), (AL$72-AL61)/($AI$72-$AI61)*($AI62-$AI61)+AL61)
        )
      )
    )
  ), 0)</f>
        <v>78431</v>
      </c>
      <c r="AM62" s="104" cm="1">
        <f t="array" ref="AM62">ROUND(
  IF(AND(AM$1="Ensign", $AI62&gt;=2021, $AI62&lt;=2024),
    _xlfn.XLOOKUP($AI62, Ensign!$A$2:$A$12, Ensign!$B$2:$B$12),
    _xlfn.XLOOKUP($AI62, 'Historic (IPEDS &amp; 2019 RTP)'!$A:$A, _xlfn.XLOOKUP(AM$1, 'Historic (IPEDS &amp; 2019 RTP)'!$A$1:$H$1, 'Historic (IPEDS &amp; 2019 RTP)'!$A:$H),
      IFERROR(_xlfn.XLOOKUP($AI62, 'USHE Historic'!$A$3:$A$13, _xlfn.XLOOKUP(AM$1, 'USHE Historic'!$A$2:$E$2, 'USHE Historic'!$A$3:$E$13)),
        _xlfn.IFS(
          AM$1="BYU", IFERROR(_xlfn.XLOOKUP($AI62, 'MAG College Enrollment Forecast'!$A:$A, 'MAG College Enrollment Forecast'!$B:$B), (AM$72-AM61)/($AI$72-$AI61)*($AI62-$AI61)+AM61),
          AM$1="UVU", IFERROR(_xlfn.XLOOKUP($AI62, 'MAG College Enrollment Forecast'!$A:$A, 'MAG College Enrollment Forecast'!$C:$C+'MAG College Enrollment Forecast'!$D:$D+'MAG College Enrollment Forecast'!$E:$E+'MAG College Enrollment Forecast'!$F:$F+'MAG College Enrollment Forecast'!$G:$G+'MAG College Enrollment Forecast'!$H:$H), (AM$72-AM61)/($AI$72-$AI61)*($AI62-$AI61)+AM61),
          TRUE, IFERROR(_xlfn.XLOOKUP($AI62, 'USHE Projections'!$A:$A, IFERROR(_xlfn.XLOOKUP(AM$1, 'USHE Projections'!$A$1:$E$1, 'USHE Projections'!$A:$E), "NONE"), (AM$72-AM61)/($AI$72-$AI61)*($AI62-$AI61)+AM61), (AM$72-AM61)/($AI$72-$AI61)*($AI62-$AI61)+AM61)
        )
      )
    )
  ), 0)</f>
        <v>39633</v>
      </c>
      <c r="AN62" s="35" cm="1">
        <f t="array" ref="AN62">ROUND(
  IF(AND(AN$1="Ensign", $AI62&gt;=2021, $AI62&lt;=2024),
    _xlfn.XLOOKUP($AI62, Ensign!$A$2:$A$12, Ensign!$B$2:$B$12),
    _xlfn.XLOOKUP($AI62, 'Historic (IPEDS &amp; 2019 RTP)'!$A:$A, _xlfn.XLOOKUP(AN$1, 'Historic (IPEDS &amp; 2019 RTP)'!$A$1:$H$1, 'Historic (IPEDS &amp; 2019 RTP)'!$A:$H),
      IFERROR(_xlfn.XLOOKUP($AI62, 'USHE Historic'!$A$3:$A$13, _xlfn.XLOOKUP(AN$1, 'USHE Historic'!$A$2:$E$2, 'USHE Historic'!$A$3:$E$13)),
        _xlfn.IFS(
          AN$1="BYU", IFERROR(_xlfn.XLOOKUP($AI62, 'MAG College Enrollment Forecast'!$A:$A, 'MAG College Enrollment Forecast'!$B:$B), (AN$72-AN61)/($AI$72-$AI61)*($AI62-$AI61)+AN61),
          AN$1="UVU", IFERROR(_xlfn.XLOOKUP($AI62, 'MAG College Enrollment Forecast'!$A:$A, 'MAG College Enrollment Forecast'!$C:$C+'MAG College Enrollment Forecast'!$D:$D+'MAG College Enrollment Forecast'!$E:$E+'MAG College Enrollment Forecast'!$F:$F+'MAG College Enrollment Forecast'!$G:$G+'MAG College Enrollment Forecast'!$H:$H), (AN$72-AN61)/($AI$72-$AI61)*($AI62-$AI61)+AN61),
          TRUE, IFERROR(_xlfn.XLOOKUP($AI62, 'USHE Projections'!$A:$A, IFERROR(_xlfn.XLOOKUP(AN$1, 'USHE Projections'!$A$1:$E$1, 'USHE Projections'!$A:$E), "NONE"), (AN$72-AN61)/($AI$72-$AI61)*($AI62-$AI61)+AN61), (AN$72-AN61)/($AI$72-$AI61)*($AI62-$AI61)+AN61)
        )
      )
    )
  ), 0)</f>
        <v>39315</v>
      </c>
      <c r="AO62" s="104" cm="1">
        <f t="array" ref="AO62">ROUND(
  IF(AND(AO$1="Ensign", $AI62&gt;=2021, $AI62&lt;=2024),
    _xlfn.XLOOKUP($AI62, Ensign!$A$2:$A$12, Ensign!$B$2:$B$12),
    _xlfn.XLOOKUP($AI62, 'Historic (IPEDS &amp; 2019 RTP)'!$A:$A, _xlfn.XLOOKUP(AO$1, 'Historic (IPEDS &amp; 2019 RTP)'!$A$1:$H$1, 'Historic (IPEDS &amp; 2019 RTP)'!$A:$H),
      IFERROR(_xlfn.XLOOKUP($AI62, 'USHE Historic'!$A$3:$A$13, _xlfn.XLOOKUP(AO$1, 'USHE Historic'!$A$2:$E$2, 'USHE Historic'!$A$3:$E$13)),
        _xlfn.IFS(
          AO$1="BYU", IFERROR(_xlfn.XLOOKUP($AI62, 'MAG College Enrollment Forecast'!$A:$A, 'MAG College Enrollment Forecast'!$B:$B), (AO$72-AO61)/($AI$72-$AI61)*($AI62-$AI61)+AO61),
          AO$1="UVU", IFERROR(_xlfn.XLOOKUP($AI62, 'MAG College Enrollment Forecast'!$A:$A, 'MAG College Enrollment Forecast'!$C:$C+'MAG College Enrollment Forecast'!$D:$D+'MAG College Enrollment Forecast'!$E:$E+'MAG College Enrollment Forecast'!$F:$F+'MAG College Enrollment Forecast'!$G:$G+'MAG College Enrollment Forecast'!$H:$H), (AO$72-AO61)/($AI$72-$AI61)*($AI62-$AI61)+AO61),
          TRUE, IFERROR(_xlfn.XLOOKUP($AI62, 'USHE Projections'!$A:$A, IFERROR(_xlfn.XLOOKUP(AO$1, 'USHE Projections'!$A$1:$E$1, 'USHE Projections'!$A:$E), "NONE"), (AO$72-AO61)/($AI$72-$AI61)*($AI62-$AI61)+AO61), (AO$72-AO61)/($AI$72-$AI61)*($AI62-$AI61)+AO61)
        )
      )
    )
  ), 0)</f>
        <v>2847</v>
      </c>
      <c r="AP62" s="104" cm="1">
        <f t="array" ref="AP62">ROUND(
  IF(AND(AP$1="Ensign", $AI62&gt;=2021, $AI62&lt;=2024),
    _xlfn.XLOOKUP($AI62, Ensign!$A$2:$A$12, Ensign!$B$2:$B$12),
    _xlfn.XLOOKUP($AI62, 'Historic (IPEDS &amp; 2019 RTP)'!$A:$A, _xlfn.XLOOKUP(AP$1, 'Historic (IPEDS &amp; 2019 RTP)'!$A$1:$H$1, 'Historic (IPEDS &amp; 2019 RTP)'!$A:$H),
      IFERROR(_xlfn.XLOOKUP($AI62, 'USHE Historic'!$A$3:$A$13, _xlfn.XLOOKUP(AP$1, 'USHE Historic'!$A$2:$E$2, 'USHE Historic'!$A$3:$E$13)),
        _xlfn.IFS(
          AP$1="BYU", IFERROR(_xlfn.XLOOKUP($AI62, 'MAG College Enrollment Forecast'!$A:$A, 'MAG College Enrollment Forecast'!$B:$B), (AP$72-AP61)/($AI$72-$AI61)*($AI62-$AI61)+AP61),
          AP$1="UVU", IFERROR(_xlfn.XLOOKUP($AI62, 'MAG College Enrollment Forecast'!$A:$A, 'MAG College Enrollment Forecast'!$C:$C+'MAG College Enrollment Forecast'!$D:$D+'MAG College Enrollment Forecast'!$E:$E+'MAG College Enrollment Forecast'!$F:$F+'MAG College Enrollment Forecast'!$G:$G+'MAG College Enrollment Forecast'!$H:$H), (AP$72-AP61)/($AI$72-$AI61)*($AI62-$AI61)+AP61),
          TRUE, IFERROR(_xlfn.XLOOKUP($AI62, 'USHE Projections'!$A:$A, IFERROR(_xlfn.XLOOKUP(AP$1, 'USHE Projections'!$A$1:$E$1, 'USHE Projections'!$A:$E), "NONE"), (AP$72-AP61)/($AI$72-$AI61)*($AI62-$AI61)+AP61), (AP$72-AP61)/($AI$72-$AI61)*($AI62-$AI61)+AP61)
        )
      )
    )
  ), 0)</f>
        <v>2885</v>
      </c>
    </row>
    <row r="63" spans="35:42">
      <c r="AI63" s="3">
        <v>2051</v>
      </c>
      <c r="AJ63" s="104" cm="1">
        <f t="array" ref="AJ63">ROUND(
  IF(AND(AJ$1="Ensign", $AI63&gt;=2021, $AI63&lt;=2024),
    _xlfn.XLOOKUP($AI63, Ensign!$A$2:$A$12, Ensign!$B$2:$B$12),
    _xlfn.XLOOKUP($AI63, 'Historic (IPEDS &amp; 2019 RTP)'!$A:$A, _xlfn.XLOOKUP(AJ$1, 'Historic (IPEDS &amp; 2019 RTP)'!$A$1:$H$1, 'Historic (IPEDS &amp; 2019 RTP)'!$A:$H),
      IFERROR(_xlfn.XLOOKUP($AI63, 'USHE Historic'!$A$3:$A$13, _xlfn.XLOOKUP(AJ$1, 'USHE Historic'!$A$2:$E$2, 'USHE Historic'!$A$3:$E$13)),
        _xlfn.IFS(
          AJ$1="BYU", IFERROR(_xlfn.XLOOKUP($AI63, 'MAG College Enrollment Forecast'!$A:$A, 'MAG College Enrollment Forecast'!$B:$B), (AJ$72-AJ62)/($AI$72-$AI62)*($AI63-$AI62)+AJ62),
          AJ$1="UVU", IFERROR(_xlfn.XLOOKUP($AI63, 'MAG College Enrollment Forecast'!$A:$A, 'MAG College Enrollment Forecast'!$C:$C+'MAG College Enrollment Forecast'!$D:$D+'MAG College Enrollment Forecast'!$E:$E+'MAG College Enrollment Forecast'!$F:$F+'MAG College Enrollment Forecast'!$G:$G+'MAG College Enrollment Forecast'!$H:$H), (AJ$72-AJ62)/($AI$72-$AI62)*($AI63-$AI62)+AJ62),
          TRUE, IFERROR(_xlfn.XLOOKUP($AI63, 'USHE Projections'!$A:$A, IFERROR(_xlfn.XLOOKUP(AJ$1, 'USHE Projections'!$A$1:$E$1, 'USHE Projections'!$A:$E), "NONE"), (AJ$72-AJ62)/($AI$72-$AI62)*($AI63-$AI62)+AJ62), (AJ$72-AJ62)/($AI$72-$AI62)*($AI63-$AI62)+AJ62)
        )
      )
    )
  ), 0)</f>
        <v>44278</v>
      </c>
      <c r="AK63" s="104" cm="1">
        <f t="array" ref="AK63">ROUND(
  IF(AND(AK$1="Ensign", $AI63&gt;=2021, $AI63&lt;=2024),
    _xlfn.XLOOKUP($AI63, Ensign!$A$2:$A$12, Ensign!$B$2:$B$12),
    _xlfn.XLOOKUP($AI63, 'Historic (IPEDS &amp; 2019 RTP)'!$A:$A, _xlfn.XLOOKUP(AK$1, 'Historic (IPEDS &amp; 2019 RTP)'!$A$1:$H$1, 'Historic (IPEDS &amp; 2019 RTP)'!$A:$H),
      IFERROR(_xlfn.XLOOKUP($AI63, 'USHE Historic'!$A$3:$A$13, _xlfn.XLOOKUP(AK$1, 'USHE Historic'!$A$2:$E$2, 'USHE Historic'!$A$3:$E$13)),
        _xlfn.IFS(
          AK$1="BYU", IFERROR(_xlfn.XLOOKUP($AI63, 'MAG College Enrollment Forecast'!$A:$A, 'MAG College Enrollment Forecast'!$B:$B), (AK$72-AK62)/($AI$72-$AI62)*($AI63-$AI62)+AK62),
          AK$1="UVU", IFERROR(_xlfn.XLOOKUP($AI63, 'MAG College Enrollment Forecast'!$A:$A, 'MAG College Enrollment Forecast'!$C:$C+'MAG College Enrollment Forecast'!$D:$D+'MAG College Enrollment Forecast'!$E:$E+'MAG College Enrollment Forecast'!$F:$F+'MAG College Enrollment Forecast'!$G:$G+'MAG College Enrollment Forecast'!$H:$H), (AK$72-AK62)/($AI$72-$AI62)*($AI63-$AI62)+AK62),
          TRUE, IFERROR(_xlfn.XLOOKUP($AI63, 'USHE Projections'!$A:$A, IFERROR(_xlfn.XLOOKUP(AK$1, 'USHE Projections'!$A$1:$E$1, 'USHE Projections'!$A:$E), "NONE"), (AK$72-AK62)/($AI$72-$AI62)*($AI63-$AI62)+AK62), (AK$72-AK62)/($AI$72-$AI62)*($AI63-$AI62)+AK62)
        )
      )
    )
  ), 0)</f>
        <v>43802</v>
      </c>
      <c r="AL63" s="35" cm="1">
        <f t="array" ref="AL63">ROUND(
  IF(AND(AL$1="Ensign", $AI63&gt;=2021, $AI63&lt;=2024),
    _xlfn.XLOOKUP($AI63, Ensign!$A$2:$A$12, Ensign!$B$2:$B$12),
    _xlfn.XLOOKUP($AI63, 'Historic (IPEDS &amp; 2019 RTP)'!$A:$A, _xlfn.XLOOKUP(AL$1, 'Historic (IPEDS &amp; 2019 RTP)'!$A$1:$H$1, 'Historic (IPEDS &amp; 2019 RTP)'!$A:$H),
      IFERROR(_xlfn.XLOOKUP($AI63, 'USHE Historic'!$A$3:$A$13, _xlfn.XLOOKUP(AL$1, 'USHE Historic'!$A$2:$E$2, 'USHE Historic'!$A$3:$E$13)),
        _xlfn.IFS(
          AL$1="BYU", IFERROR(_xlfn.XLOOKUP($AI63, 'MAG College Enrollment Forecast'!$A:$A, 'MAG College Enrollment Forecast'!$B:$B), (AL$72-AL62)/($AI$72-$AI62)*($AI63-$AI62)+AL62),
          AL$1="UVU", IFERROR(_xlfn.XLOOKUP($AI63, 'MAG College Enrollment Forecast'!$A:$A, 'MAG College Enrollment Forecast'!$C:$C+'MAG College Enrollment Forecast'!$D:$D+'MAG College Enrollment Forecast'!$E:$E+'MAG College Enrollment Forecast'!$F:$F+'MAG College Enrollment Forecast'!$G:$G+'MAG College Enrollment Forecast'!$H:$H), (AL$72-AL62)/($AI$72-$AI62)*($AI63-$AI62)+AL62),
          TRUE, IFERROR(_xlfn.XLOOKUP($AI63, 'USHE Projections'!$A:$A, IFERROR(_xlfn.XLOOKUP(AL$1, 'USHE Projections'!$A$1:$E$1, 'USHE Projections'!$A:$E), "NONE"), (AL$72-AL62)/($AI$72-$AI62)*($AI63-$AI62)+AL62), (AL$72-AL62)/($AI$72-$AI62)*($AI63-$AI62)+AL62)
        )
      )
    )
  ), 0)</f>
        <v>78431</v>
      </c>
      <c r="AM63" s="104" cm="1">
        <f t="array" ref="AM63">ROUND(
  IF(AND(AM$1="Ensign", $AI63&gt;=2021, $AI63&lt;=2024),
    _xlfn.XLOOKUP($AI63, Ensign!$A$2:$A$12, Ensign!$B$2:$B$12),
    _xlfn.XLOOKUP($AI63, 'Historic (IPEDS &amp; 2019 RTP)'!$A:$A, _xlfn.XLOOKUP(AM$1, 'Historic (IPEDS &amp; 2019 RTP)'!$A$1:$H$1, 'Historic (IPEDS &amp; 2019 RTP)'!$A:$H),
      IFERROR(_xlfn.XLOOKUP($AI63, 'USHE Historic'!$A$3:$A$13, _xlfn.XLOOKUP(AM$1, 'USHE Historic'!$A$2:$E$2, 'USHE Historic'!$A$3:$E$13)),
        _xlfn.IFS(
          AM$1="BYU", IFERROR(_xlfn.XLOOKUP($AI63, 'MAG College Enrollment Forecast'!$A:$A, 'MAG College Enrollment Forecast'!$B:$B), (AM$72-AM62)/($AI$72-$AI62)*($AI63-$AI62)+AM62),
          AM$1="UVU", IFERROR(_xlfn.XLOOKUP($AI63, 'MAG College Enrollment Forecast'!$A:$A, 'MAG College Enrollment Forecast'!$C:$C+'MAG College Enrollment Forecast'!$D:$D+'MAG College Enrollment Forecast'!$E:$E+'MAG College Enrollment Forecast'!$F:$F+'MAG College Enrollment Forecast'!$G:$G+'MAG College Enrollment Forecast'!$H:$H), (AM$72-AM62)/($AI$72-$AI62)*($AI63-$AI62)+AM62),
          TRUE, IFERROR(_xlfn.XLOOKUP($AI63, 'USHE Projections'!$A:$A, IFERROR(_xlfn.XLOOKUP(AM$1, 'USHE Projections'!$A$1:$E$1, 'USHE Projections'!$A:$E), "NONE"), (AM$72-AM62)/($AI$72-$AI62)*($AI63-$AI62)+AM62), (AM$72-AM62)/($AI$72-$AI62)*($AI63-$AI62)+AM62)
        )
      )
    )
  ), 0)</f>
        <v>39970</v>
      </c>
      <c r="AN63" s="35" cm="1">
        <f t="array" ref="AN63">ROUND(
  IF(AND(AN$1="Ensign", $AI63&gt;=2021, $AI63&lt;=2024),
    _xlfn.XLOOKUP($AI63, Ensign!$A$2:$A$12, Ensign!$B$2:$B$12),
    _xlfn.XLOOKUP($AI63, 'Historic (IPEDS &amp; 2019 RTP)'!$A:$A, _xlfn.XLOOKUP(AN$1, 'Historic (IPEDS &amp; 2019 RTP)'!$A$1:$H$1, 'Historic (IPEDS &amp; 2019 RTP)'!$A:$H),
      IFERROR(_xlfn.XLOOKUP($AI63, 'USHE Historic'!$A$3:$A$13, _xlfn.XLOOKUP(AN$1, 'USHE Historic'!$A$2:$E$2, 'USHE Historic'!$A$3:$E$13)),
        _xlfn.IFS(
          AN$1="BYU", IFERROR(_xlfn.XLOOKUP($AI63, 'MAG College Enrollment Forecast'!$A:$A, 'MAG College Enrollment Forecast'!$B:$B), (AN$72-AN62)/($AI$72-$AI62)*($AI63-$AI62)+AN62),
          AN$1="UVU", IFERROR(_xlfn.XLOOKUP($AI63, 'MAG College Enrollment Forecast'!$A:$A, 'MAG College Enrollment Forecast'!$C:$C+'MAG College Enrollment Forecast'!$D:$D+'MAG College Enrollment Forecast'!$E:$E+'MAG College Enrollment Forecast'!$F:$F+'MAG College Enrollment Forecast'!$G:$G+'MAG College Enrollment Forecast'!$H:$H), (AN$72-AN62)/($AI$72-$AI62)*($AI63-$AI62)+AN62),
          TRUE, IFERROR(_xlfn.XLOOKUP($AI63, 'USHE Projections'!$A:$A, IFERROR(_xlfn.XLOOKUP(AN$1, 'USHE Projections'!$A$1:$E$1, 'USHE Projections'!$A:$E), "NONE"), (AN$72-AN62)/($AI$72-$AI62)*($AI63-$AI62)+AN62), (AN$72-AN62)/($AI$72-$AI62)*($AI63-$AI62)+AN62)
        )
      )
    )
  ), 0)</f>
        <v>39315</v>
      </c>
      <c r="AO63" s="104" cm="1">
        <f t="array" ref="AO63">ROUND(
  IF(AND(AO$1="Ensign", $AI63&gt;=2021, $AI63&lt;=2024),
    _xlfn.XLOOKUP($AI63, Ensign!$A$2:$A$12, Ensign!$B$2:$B$12),
    _xlfn.XLOOKUP($AI63, 'Historic (IPEDS &amp; 2019 RTP)'!$A:$A, _xlfn.XLOOKUP(AO$1, 'Historic (IPEDS &amp; 2019 RTP)'!$A$1:$H$1, 'Historic (IPEDS &amp; 2019 RTP)'!$A:$H),
      IFERROR(_xlfn.XLOOKUP($AI63, 'USHE Historic'!$A$3:$A$13, _xlfn.XLOOKUP(AO$1, 'USHE Historic'!$A$2:$E$2, 'USHE Historic'!$A$3:$E$13)),
        _xlfn.IFS(
          AO$1="BYU", IFERROR(_xlfn.XLOOKUP($AI63, 'MAG College Enrollment Forecast'!$A:$A, 'MAG College Enrollment Forecast'!$B:$B), (AO$72-AO62)/($AI$72-$AI62)*($AI63-$AI62)+AO62),
          AO$1="UVU", IFERROR(_xlfn.XLOOKUP($AI63, 'MAG College Enrollment Forecast'!$A:$A, 'MAG College Enrollment Forecast'!$C:$C+'MAG College Enrollment Forecast'!$D:$D+'MAG College Enrollment Forecast'!$E:$E+'MAG College Enrollment Forecast'!$F:$F+'MAG College Enrollment Forecast'!$G:$G+'MAG College Enrollment Forecast'!$H:$H), (AO$72-AO62)/($AI$72-$AI62)*($AI63-$AI62)+AO62),
          TRUE, IFERROR(_xlfn.XLOOKUP($AI63, 'USHE Projections'!$A:$A, IFERROR(_xlfn.XLOOKUP(AO$1, 'USHE Projections'!$A$1:$E$1, 'USHE Projections'!$A:$E), "NONE"), (AO$72-AO62)/($AI$72-$AI62)*($AI63-$AI62)+AO62), (AO$72-AO62)/($AI$72-$AI62)*($AI63-$AI62)+AO62)
        )
      )
    )
  ), 0)</f>
        <v>2882</v>
      </c>
      <c r="AP63" s="104" cm="1">
        <f t="array" ref="AP63">ROUND(
  IF(AND(AP$1="Ensign", $AI63&gt;=2021, $AI63&lt;=2024),
    _xlfn.XLOOKUP($AI63, Ensign!$A$2:$A$12, Ensign!$B$2:$B$12),
    _xlfn.XLOOKUP($AI63, 'Historic (IPEDS &amp; 2019 RTP)'!$A:$A, _xlfn.XLOOKUP(AP$1, 'Historic (IPEDS &amp; 2019 RTP)'!$A$1:$H$1, 'Historic (IPEDS &amp; 2019 RTP)'!$A:$H),
      IFERROR(_xlfn.XLOOKUP($AI63, 'USHE Historic'!$A$3:$A$13, _xlfn.XLOOKUP(AP$1, 'USHE Historic'!$A$2:$E$2, 'USHE Historic'!$A$3:$E$13)),
        _xlfn.IFS(
          AP$1="BYU", IFERROR(_xlfn.XLOOKUP($AI63, 'MAG College Enrollment Forecast'!$A:$A, 'MAG College Enrollment Forecast'!$B:$B), (AP$72-AP62)/($AI$72-$AI62)*($AI63-$AI62)+AP62),
          AP$1="UVU", IFERROR(_xlfn.XLOOKUP($AI63, 'MAG College Enrollment Forecast'!$A:$A, 'MAG College Enrollment Forecast'!$C:$C+'MAG College Enrollment Forecast'!$D:$D+'MAG College Enrollment Forecast'!$E:$E+'MAG College Enrollment Forecast'!$F:$F+'MAG College Enrollment Forecast'!$G:$G+'MAG College Enrollment Forecast'!$H:$H), (AP$72-AP62)/($AI$72-$AI62)*($AI63-$AI62)+AP62),
          TRUE, IFERROR(_xlfn.XLOOKUP($AI63, 'USHE Projections'!$A:$A, IFERROR(_xlfn.XLOOKUP(AP$1, 'USHE Projections'!$A$1:$E$1, 'USHE Projections'!$A:$E), "NONE"), (AP$72-AP62)/($AI$72-$AI62)*($AI63-$AI62)+AP62), (AP$72-AP62)/($AI$72-$AI62)*($AI63-$AI62)+AP62)
        )
      )
    )
  ), 0)</f>
        <v>2947</v>
      </c>
    </row>
    <row r="64" spans="35:42">
      <c r="AI64" s="3">
        <v>2052</v>
      </c>
      <c r="AJ64" s="104" cm="1">
        <f t="array" ref="AJ64">ROUND(
  IF(AND(AJ$1="Ensign", $AI64&gt;=2021, $AI64&lt;=2024),
    _xlfn.XLOOKUP($AI64, Ensign!$A$2:$A$12, Ensign!$B$2:$B$12),
    _xlfn.XLOOKUP($AI64, 'Historic (IPEDS &amp; 2019 RTP)'!$A:$A, _xlfn.XLOOKUP(AJ$1, 'Historic (IPEDS &amp; 2019 RTP)'!$A$1:$H$1, 'Historic (IPEDS &amp; 2019 RTP)'!$A:$H),
      IFERROR(_xlfn.XLOOKUP($AI64, 'USHE Historic'!$A$3:$A$13, _xlfn.XLOOKUP(AJ$1, 'USHE Historic'!$A$2:$E$2, 'USHE Historic'!$A$3:$E$13)),
        _xlfn.IFS(
          AJ$1="BYU", IFERROR(_xlfn.XLOOKUP($AI64, 'MAG College Enrollment Forecast'!$A:$A, 'MAG College Enrollment Forecast'!$B:$B), (AJ$72-AJ63)/($AI$72-$AI63)*($AI64-$AI63)+AJ63),
          AJ$1="UVU", IFERROR(_xlfn.XLOOKUP($AI64, 'MAG College Enrollment Forecast'!$A:$A, 'MAG College Enrollment Forecast'!$C:$C+'MAG College Enrollment Forecast'!$D:$D+'MAG College Enrollment Forecast'!$E:$E+'MAG College Enrollment Forecast'!$F:$F+'MAG College Enrollment Forecast'!$G:$G+'MAG College Enrollment Forecast'!$H:$H), (AJ$72-AJ63)/($AI$72-$AI63)*($AI64-$AI63)+AJ63),
          TRUE, IFERROR(_xlfn.XLOOKUP($AI64, 'USHE Projections'!$A:$A, IFERROR(_xlfn.XLOOKUP(AJ$1, 'USHE Projections'!$A$1:$E$1, 'USHE Projections'!$A:$E), "NONE"), (AJ$72-AJ63)/($AI$72-$AI63)*($AI64-$AI63)+AJ63), (AJ$72-AJ63)/($AI$72-$AI63)*($AI64-$AI63)+AJ63)
        )
      )
    )
  ), 0)</f>
        <v>44580</v>
      </c>
      <c r="AK64" s="104" cm="1">
        <f t="array" ref="AK64">ROUND(
  IF(AND(AK$1="Ensign", $AI64&gt;=2021, $AI64&lt;=2024),
    _xlfn.XLOOKUP($AI64, Ensign!$A$2:$A$12, Ensign!$B$2:$B$12),
    _xlfn.XLOOKUP($AI64, 'Historic (IPEDS &amp; 2019 RTP)'!$A:$A, _xlfn.XLOOKUP(AK$1, 'Historic (IPEDS &amp; 2019 RTP)'!$A$1:$H$1, 'Historic (IPEDS &amp; 2019 RTP)'!$A:$H),
      IFERROR(_xlfn.XLOOKUP($AI64, 'USHE Historic'!$A$3:$A$13, _xlfn.XLOOKUP(AK$1, 'USHE Historic'!$A$2:$E$2, 'USHE Historic'!$A$3:$E$13)),
        _xlfn.IFS(
          AK$1="BYU", IFERROR(_xlfn.XLOOKUP($AI64, 'MAG College Enrollment Forecast'!$A:$A, 'MAG College Enrollment Forecast'!$B:$B), (AK$72-AK63)/($AI$72-$AI63)*($AI64-$AI63)+AK63),
          AK$1="UVU", IFERROR(_xlfn.XLOOKUP($AI64, 'MAG College Enrollment Forecast'!$A:$A, 'MAG College Enrollment Forecast'!$C:$C+'MAG College Enrollment Forecast'!$D:$D+'MAG College Enrollment Forecast'!$E:$E+'MAG College Enrollment Forecast'!$F:$F+'MAG College Enrollment Forecast'!$G:$G+'MAG College Enrollment Forecast'!$H:$H), (AK$72-AK63)/($AI$72-$AI63)*($AI64-$AI63)+AK63),
          TRUE, IFERROR(_xlfn.XLOOKUP($AI64, 'USHE Projections'!$A:$A, IFERROR(_xlfn.XLOOKUP(AK$1, 'USHE Projections'!$A$1:$E$1, 'USHE Projections'!$A:$E), "NONE"), (AK$72-AK63)/($AI$72-$AI63)*($AI64-$AI63)+AK63), (AK$72-AK63)/($AI$72-$AI63)*($AI64-$AI63)+AK63)
        )
      )
    )
  ), 0)</f>
        <v>44268</v>
      </c>
      <c r="AL64" s="35" cm="1">
        <f t="array" ref="AL64">ROUND(
  IF(AND(AL$1="Ensign", $AI64&gt;=2021, $AI64&lt;=2024),
    _xlfn.XLOOKUP($AI64, Ensign!$A$2:$A$12, Ensign!$B$2:$B$12),
    _xlfn.XLOOKUP($AI64, 'Historic (IPEDS &amp; 2019 RTP)'!$A:$A, _xlfn.XLOOKUP(AL$1, 'Historic (IPEDS &amp; 2019 RTP)'!$A$1:$H$1, 'Historic (IPEDS &amp; 2019 RTP)'!$A:$H),
      IFERROR(_xlfn.XLOOKUP($AI64, 'USHE Historic'!$A$3:$A$13, _xlfn.XLOOKUP(AL$1, 'USHE Historic'!$A$2:$E$2, 'USHE Historic'!$A$3:$E$13)),
        _xlfn.IFS(
          AL$1="BYU", IFERROR(_xlfn.XLOOKUP($AI64, 'MAG College Enrollment Forecast'!$A:$A, 'MAG College Enrollment Forecast'!$B:$B), (AL$72-AL63)/($AI$72-$AI63)*($AI64-$AI63)+AL63),
          AL$1="UVU", IFERROR(_xlfn.XLOOKUP($AI64, 'MAG College Enrollment Forecast'!$A:$A, 'MAG College Enrollment Forecast'!$C:$C+'MAG College Enrollment Forecast'!$D:$D+'MAG College Enrollment Forecast'!$E:$E+'MAG College Enrollment Forecast'!$F:$F+'MAG College Enrollment Forecast'!$G:$G+'MAG College Enrollment Forecast'!$H:$H), (AL$72-AL63)/($AI$72-$AI63)*($AI64-$AI63)+AL63),
          TRUE, IFERROR(_xlfn.XLOOKUP($AI64, 'USHE Projections'!$A:$A, IFERROR(_xlfn.XLOOKUP(AL$1, 'USHE Projections'!$A$1:$E$1, 'USHE Projections'!$A:$E), "NONE"), (AL$72-AL63)/($AI$72-$AI63)*($AI64-$AI63)+AL63), (AL$72-AL63)/($AI$72-$AI63)*($AI64-$AI63)+AL63)
        )
      )
    )
  ), 0)</f>
        <v>78431</v>
      </c>
      <c r="AM64" s="104" cm="1">
        <f t="array" ref="AM64">ROUND(
  IF(AND(AM$1="Ensign", $AI64&gt;=2021, $AI64&lt;=2024),
    _xlfn.XLOOKUP($AI64, Ensign!$A$2:$A$12, Ensign!$B$2:$B$12),
    _xlfn.XLOOKUP($AI64, 'Historic (IPEDS &amp; 2019 RTP)'!$A:$A, _xlfn.XLOOKUP(AM$1, 'Historic (IPEDS &amp; 2019 RTP)'!$A$1:$H$1, 'Historic (IPEDS &amp; 2019 RTP)'!$A:$H),
      IFERROR(_xlfn.XLOOKUP($AI64, 'USHE Historic'!$A$3:$A$13, _xlfn.XLOOKUP(AM$1, 'USHE Historic'!$A$2:$E$2, 'USHE Historic'!$A$3:$E$13)),
        _xlfn.IFS(
          AM$1="BYU", IFERROR(_xlfn.XLOOKUP($AI64, 'MAG College Enrollment Forecast'!$A:$A, 'MAG College Enrollment Forecast'!$B:$B), (AM$72-AM63)/($AI$72-$AI63)*($AI64-$AI63)+AM63),
          AM$1="UVU", IFERROR(_xlfn.XLOOKUP($AI64, 'MAG College Enrollment Forecast'!$A:$A, 'MAG College Enrollment Forecast'!$C:$C+'MAG College Enrollment Forecast'!$D:$D+'MAG College Enrollment Forecast'!$E:$E+'MAG College Enrollment Forecast'!$F:$F+'MAG College Enrollment Forecast'!$G:$G+'MAG College Enrollment Forecast'!$H:$H), (AM$72-AM63)/($AI$72-$AI63)*($AI64-$AI63)+AM63),
          TRUE, IFERROR(_xlfn.XLOOKUP($AI64, 'USHE Projections'!$A:$A, IFERROR(_xlfn.XLOOKUP(AM$1, 'USHE Projections'!$A$1:$E$1, 'USHE Projections'!$A:$E), "NONE"), (AM$72-AM63)/($AI$72-$AI63)*($AI64-$AI63)+AM63), (AM$72-AM63)/($AI$72-$AI63)*($AI64-$AI63)+AM63)
        )
      )
    )
  ), 0)</f>
        <v>40307</v>
      </c>
      <c r="AN64" s="35" cm="1">
        <f t="array" ref="AN64">ROUND(
  IF(AND(AN$1="Ensign", $AI64&gt;=2021, $AI64&lt;=2024),
    _xlfn.XLOOKUP($AI64, Ensign!$A$2:$A$12, Ensign!$B$2:$B$12),
    _xlfn.XLOOKUP($AI64, 'Historic (IPEDS &amp; 2019 RTP)'!$A:$A, _xlfn.XLOOKUP(AN$1, 'Historic (IPEDS &amp; 2019 RTP)'!$A$1:$H$1, 'Historic (IPEDS &amp; 2019 RTP)'!$A:$H),
      IFERROR(_xlfn.XLOOKUP($AI64, 'USHE Historic'!$A$3:$A$13, _xlfn.XLOOKUP(AN$1, 'USHE Historic'!$A$2:$E$2, 'USHE Historic'!$A$3:$E$13)),
        _xlfn.IFS(
          AN$1="BYU", IFERROR(_xlfn.XLOOKUP($AI64, 'MAG College Enrollment Forecast'!$A:$A, 'MAG College Enrollment Forecast'!$B:$B), (AN$72-AN63)/($AI$72-$AI63)*($AI64-$AI63)+AN63),
          AN$1="UVU", IFERROR(_xlfn.XLOOKUP($AI64, 'MAG College Enrollment Forecast'!$A:$A, 'MAG College Enrollment Forecast'!$C:$C+'MAG College Enrollment Forecast'!$D:$D+'MAG College Enrollment Forecast'!$E:$E+'MAG College Enrollment Forecast'!$F:$F+'MAG College Enrollment Forecast'!$G:$G+'MAG College Enrollment Forecast'!$H:$H), (AN$72-AN63)/($AI$72-$AI63)*($AI64-$AI63)+AN63),
          TRUE, IFERROR(_xlfn.XLOOKUP($AI64, 'USHE Projections'!$A:$A, IFERROR(_xlfn.XLOOKUP(AN$1, 'USHE Projections'!$A$1:$E$1, 'USHE Projections'!$A:$E), "NONE"), (AN$72-AN63)/($AI$72-$AI63)*($AI64-$AI63)+AN63), (AN$72-AN63)/($AI$72-$AI63)*($AI64-$AI63)+AN63)
        )
      )
    )
  ), 0)</f>
        <v>39315</v>
      </c>
      <c r="AO64" s="104" cm="1">
        <f t="array" ref="AO64">ROUND(
  IF(AND(AO$1="Ensign", $AI64&gt;=2021, $AI64&lt;=2024),
    _xlfn.XLOOKUP($AI64, Ensign!$A$2:$A$12, Ensign!$B$2:$B$12),
    _xlfn.XLOOKUP($AI64, 'Historic (IPEDS &amp; 2019 RTP)'!$A:$A, _xlfn.XLOOKUP(AO$1, 'Historic (IPEDS &amp; 2019 RTP)'!$A$1:$H$1, 'Historic (IPEDS &amp; 2019 RTP)'!$A:$H),
      IFERROR(_xlfn.XLOOKUP($AI64, 'USHE Historic'!$A$3:$A$13, _xlfn.XLOOKUP(AO$1, 'USHE Historic'!$A$2:$E$2, 'USHE Historic'!$A$3:$E$13)),
        _xlfn.IFS(
          AO$1="BYU", IFERROR(_xlfn.XLOOKUP($AI64, 'MAG College Enrollment Forecast'!$A:$A, 'MAG College Enrollment Forecast'!$B:$B), (AO$72-AO63)/($AI$72-$AI63)*($AI64-$AI63)+AO63),
          AO$1="UVU", IFERROR(_xlfn.XLOOKUP($AI64, 'MAG College Enrollment Forecast'!$A:$A, 'MAG College Enrollment Forecast'!$C:$C+'MAG College Enrollment Forecast'!$D:$D+'MAG College Enrollment Forecast'!$E:$E+'MAG College Enrollment Forecast'!$F:$F+'MAG College Enrollment Forecast'!$G:$G+'MAG College Enrollment Forecast'!$H:$H), (AO$72-AO63)/($AI$72-$AI63)*($AI64-$AI63)+AO63),
          TRUE, IFERROR(_xlfn.XLOOKUP($AI64, 'USHE Projections'!$A:$A, IFERROR(_xlfn.XLOOKUP(AO$1, 'USHE Projections'!$A$1:$E$1, 'USHE Projections'!$A:$E), "NONE"), (AO$72-AO63)/($AI$72-$AI63)*($AI64-$AI63)+AO63), (AO$72-AO63)/($AI$72-$AI63)*($AI64-$AI63)+AO63)
        )
      )
    )
  ), 0)</f>
        <v>2917</v>
      </c>
      <c r="AP64" s="104" cm="1">
        <f t="array" ref="AP64">ROUND(
  IF(AND(AP$1="Ensign", $AI64&gt;=2021, $AI64&lt;=2024),
    _xlfn.XLOOKUP($AI64, Ensign!$A$2:$A$12, Ensign!$B$2:$B$12),
    _xlfn.XLOOKUP($AI64, 'Historic (IPEDS &amp; 2019 RTP)'!$A:$A, _xlfn.XLOOKUP(AP$1, 'Historic (IPEDS &amp; 2019 RTP)'!$A$1:$H$1, 'Historic (IPEDS &amp; 2019 RTP)'!$A:$H),
      IFERROR(_xlfn.XLOOKUP($AI64, 'USHE Historic'!$A$3:$A$13, _xlfn.XLOOKUP(AP$1, 'USHE Historic'!$A$2:$E$2, 'USHE Historic'!$A$3:$E$13)),
        _xlfn.IFS(
          AP$1="BYU", IFERROR(_xlfn.XLOOKUP($AI64, 'MAG College Enrollment Forecast'!$A:$A, 'MAG College Enrollment Forecast'!$B:$B), (AP$72-AP63)/($AI$72-$AI63)*($AI64-$AI63)+AP63),
          AP$1="UVU", IFERROR(_xlfn.XLOOKUP($AI64, 'MAG College Enrollment Forecast'!$A:$A, 'MAG College Enrollment Forecast'!$C:$C+'MAG College Enrollment Forecast'!$D:$D+'MAG College Enrollment Forecast'!$E:$E+'MAG College Enrollment Forecast'!$F:$F+'MAG College Enrollment Forecast'!$G:$G+'MAG College Enrollment Forecast'!$H:$H), (AP$72-AP63)/($AI$72-$AI63)*($AI64-$AI63)+AP63),
          TRUE, IFERROR(_xlfn.XLOOKUP($AI64, 'USHE Projections'!$A:$A, IFERROR(_xlfn.XLOOKUP(AP$1, 'USHE Projections'!$A$1:$E$1, 'USHE Projections'!$A:$E), "NONE"), (AP$72-AP63)/($AI$72-$AI63)*($AI64-$AI63)+AP63), (AP$72-AP63)/($AI$72-$AI63)*($AI64-$AI63)+AP63)
        )
      )
    )
  ), 0)</f>
        <v>3008</v>
      </c>
    </row>
    <row r="65" spans="33:42">
      <c r="AI65" s="3">
        <v>2053</v>
      </c>
      <c r="AJ65" s="104" cm="1">
        <f t="array" ref="AJ65">ROUND(
  IF(AND(AJ$1="Ensign", $AI65&gt;=2021, $AI65&lt;=2024),
    _xlfn.XLOOKUP($AI65, Ensign!$A$2:$A$12, Ensign!$B$2:$B$12),
    _xlfn.XLOOKUP($AI65, 'Historic (IPEDS &amp; 2019 RTP)'!$A:$A, _xlfn.XLOOKUP(AJ$1, 'Historic (IPEDS &amp; 2019 RTP)'!$A$1:$H$1, 'Historic (IPEDS &amp; 2019 RTP)'!$A:$H),
      IFERROR(_xlfn.XLOOKUP($AI65, 'USHE Historic'!$A$3:$A$13, _xlfn.XLOOKUP(AJ$1, 'USHE Historic'!$A$2:$E$2, 'USHE Historic'!$A$3:$E$13)),
        _xlfn.IFS(
          AJ$1="BYU", IFERROR(_xlfn.XLOOKUP($AI65, 'MAG College Enrollment Forecast'!$A:$A, 'MAG College Enrollment Forecast'!$B:$B), (AJ$72-AJ64)/($AI$72-$AI64)*($AI65-$AI64)+AJ64),
          AJ$1="UVU", IFERROR(_xlfn.XLOOKUP($AI65, 'MAG College Enrollment Forecast'!$A:$A, 'MAG College Enrollment Forecast'!$C:$C+'MAG College Enrollment Forecast'!$D:$D+'MAG College Enrollment Forecast'!$E:$E+'MAG College Enrollment Forecast'!$F:$F+'MAG College Enrollment Forecast'!$G:$G+'MAG College Enrollment Forecast'!$H:$H), (AJ$72-AJ64)/($AI$72-$AI64)*($AI65-$AI64)+AJ64),
          TRUE, IFERROR(_xlfn.XLOOKUP($AI65, 'USHE Projections'!$A:$A, IFERROR(_xlfn.XLOOKUP(AJ$1, 'USHE Projections'!$A$1:$E$1, 'USHE Projections'!$A:$E), "NONE"), (AJ$72-AJ64)/($AI$72-$AI64)*($AI65-$AI64)+AJ64), (AJ$72-AJ64)/($AI$72-$AI64)*($AI65-$AI64)+AJ64)
        )
      )
    )
  ), 0)</f>
        <v>44883</v>
      </c>
      <c r="AK65" s="104" cm="1">
        <f t="array" ref="AK65">ROUND(
  IF(AND(AK$1="Ensign", $AI65&gt;=2021, $AI65&lt;=2024),
    _xlfn.XLOOKUP($AI65, Ensign!$A$2:$A$12, Ensign!$B$2:$B$12),
    _xlfn.XLOOKUP($AI65, 'Historic (IPEDS &amp; 2019 RTP)'!$A:$A, _xlfn.XLOOKUP(AK$1, 'Historic (IPEDS &amp; 2019 RTP)'!$A$1:$H$1, 'Historic (IPEDS &amp; 2019 RTP)'!$A:$H),
      IFERROR(_xlfn.XLOOKUP($AI65, 'USHE Historic'!$A$3:$A$13, _xlfn.XLOOKUP(AK$1, 'USHE Historic'!$A$2:$E$2, 'USHE Historic'!$A$3:$E$13)),
        _xlfn.IFS(
          AK$1="BYU", IFERROR(_xlfn.XLOOKUP($AI65, 'MAG College Enrollment Forecast'!$A:$A, 'MAG College Enrollment Forecast'!$B:$B), (AK$72-AK64)/($AI$72-$AI64)*($AI65-$AI64)+AK64),
          AK$1="UVU", IFERROR(_xlfn.XLOOKUP($AI65, 'MAG College Enrollment Forecast'!$A:$A, 'MAG College Enrollment Forecast'!$C:$C+'MAG College Enrollment Forecast'!$D:$D+'MAG College Enrollment Forecast'!$E:$E+'MAG College Enrollment Forecast'!$F:$F+'MAG College Enrollment Forecast'!$G:$G+'MAG College Enrollment Forecast'!$H:$H), (AK$72-AK64)/($AI$72-$AI64)*($AI65-$AI64)+AK64),
          TRUE, IFERROR(_xlfn.XLOOKUP($AI65, 'USHE Projections'!$A:$A, IFERROR(_xlfn.XLOOKUP(AK$1, 'USHE Projections'!$A$1:$E$1, 'USHE Projections'!$A:$E), "NONE"), (AK$72-AK64)/($AI$72-$AI64)*($AI65-$AI64)+AK64), (AK$72-AK64)/($AI$72-$AI64)*($AI65-$AI64)+AK64)
        )
      )
    )
  ), 0)</f>
        <v>44735</v>
      </c>
      <c r="AL65" s="35" cm="1">
        <f t="array" ref="AL65">ROUND(
  IF(AND(AL$1="Ensign", $AI65&gt;=2021, $AI65&lt;=2024),
    _xlfn.XLOOKUP($AI65, Ensign!$A$2:$A$12, Ensign!$B$2:$B$12),
    _xlfn.XLOOKUP($AI65, 'Historic (IPEDS &amp; 2019 RTP)'!$A:$A, _xlfn.XLOOKUP(AL$1, 'Historic (IPEDS &amp; 2019 RTP)'!$A$1:$H$1, 'Historic (IPEDS &amp; 2019 RTP)'!$A:$H),
      IFERROR(_xlfn.XLOOKUP($AI65, 'USHE Historic'!$A$3:$A$13, _xlfn.XLOOKUP(AL$1, 'USHE Historic'!$A$2:$E$2, 'USHE Historic'!$A$3:$E$13)),
        _xlfn.IFS(
          AL$1="BYU", IFERROR(_xlfn.XLOOKUP($AI65, 'MAG College Enrollment Forecast'!$A:$A, 'MAG College Enrollment Forecast'!$B:$B), (AL$72-AL64)/($AI$72-$AI64)*($AI65-$AI64)+AL64),
          AL$1="UVU", IFERROR(_xlfn.XLOOKUP($AI65, 'MAG College Enrollment Forecast'!$A:$A, 'MAG College Enrollment Forecast'!$C:$C+'MAG College Enrollment Forecast'!$D:$D+'MAG College Enrollment Forecast'!$E:$E+'MAG College Enrollment Forecast'!$F:$F+'MAG College Enrollment Forecast'!$G:$G+'MAG College Enrollment Forecast'!$H:$H), (AL$72-AL64)/($AI$72-$AI64)*($AI65-$AI64)+AL64),
          TRUE, IFERROR(_xlfn.XLOOKUP($AI65, 'USHE Projections'!$A:$A, IFERROR(_xlfn.XLOOKUP(AL$1, 'USHE Projections'!$A$1:$E$1, 'USHE Projections'!$A:$E), "NONE"), (AL$72-AL64)/($AI$72-$AI64)*($AI65-$AI64)+AL64), (AL$72-AL64)/($AI$72-$AI64)*($AI65-$AI64)+AL64)
        )
      )
    )
  ), 0)</f>
        <v>78431</v>
      </c>
      <c r="AM65" s="104" cm="1">
        <f t="array" ref="AM65">ROUND(
  IF(AND(AM$1="Ensign", $AI65&gt;=2021, $AI65&lt;=2024),
    _xlfn.XLOOKUP($AI65, Ensign!$A$2:$A$12, Ensign!$B$2:$B$12),
    _xlfn.XLOOKUP($AI65, 'Historic (IPEDS &amp; 2019 RTP)'!$A:$A, _xlfn.XLOOKUP(AM$1, 'Historic (IPEDS &amp; 2019 RTP)'!$A$1:$H$1, 'Historic (IPEDS &amp; 2019 RTP)'!$A:$H),
      IFERROR(_xlfn.XLOOKUP($AI65, 'USHE Historic'!$A$3:$A$13, _xlfn.XLOOKUP(AM$1, 'USHE Historic'!$A$2:$E$2, 'USHE Historic'!$A$3:$E$13)),
        _xlfn.IFS(
          AM$1="BYU", IFERROR(_xlfn.XLOOKUP($AI65, 'MAG College Enrollment Forecast'!$A:$A, 'MAG College Enrollment Forecast'!$B:$B), (AM$72-AM64)/($AI$72-$AI64)*($AI65-$AI64)+AM64),
          AM$1="UVU", IFERROR(_xlfn.XLOOKUP($AI65, 'MAG College Enrollment Forecast'!$A:$A, 'MAG College Enrollment Forecast'!$C:$C+'MAG College Enrollment Forecast'!$D:$D+'MAG College Enrollment Forecast'!$E:$E+'MAG College Enrollment Forecast'!$F:$F+'MAG College Enrollment Forecast'!$G:$G+'MAG College Enrollment Forecast'!$H:$H), (AM$72-AM64)/($AI$72-$AI64)*($AI65-$AI64)+AM64),
          TRUE, IFERROR(_xlfn.XLOOKUP($AI65, 'USHE Projections'!$A:$A, IFERROR(_xlfn.XLOOKUP(AM$1, 'USHE Projections'!$A$1:$E$1, 'USHE Projections'!$A:$E), "NONE"), (AM$72-AM64)/($AI$72-$AI64)*($AI65-$AI64)+AM64), (AM$72-AM64)/($AI$72-$AI64)*($AI65-$AI64)+AM64)
        )
      )
    )
  ), 0)</f>
        <v>40644</v>
      </c>
      <c r="AN65" s="35" cm="1">
        <f t="array" ref="AN65">ROUND(
  IF(AND(AN$1="Ensign", $AI65&gt;=2021, $AI65&lt;=2024),
    _xlfn.XLOOKUP($AI65, Ensign!$A$2:$A$12, Ensign!$B$2:$B$12),
    _xlfn.XLOOKUP($AI65, 'Historic (IPEDS &amp; 2019 RTP)'!$A:$A, _xlfn.XLOOKUP(AN$1, 'Historic (IPEDS &amp; 2019 RTP)'!$A$1:$H$1, 'Historic (IPEDS &amp; 2019 RTP)'!$A:$H),
      IFERROR(_xlfn.XLOOKUP($AI65, 'USHE Historic'!$A$3:$A$13, _xlfn.XLOOKUP(AN$1, 'USHE Historic'!$A$2:$E$2, 'USHE Historic'!$A$3:$E$13)),
        _xlfn.IFS(
          AN$1="BYU", IFERROR(_xlfn.XLOOKUP($AI65, 'MAG College Enrollment Forecast'!$A:$A, 'MAG College Enrollment Forecast'!$B:$B), (AN$72-AN64)/($AI$72-$AI64)*($AI65-$AI64)+AN64),
          AN$1="UVU", IFERROR(_xlfn.XLOOKUP($AI65, 'MAG College Enrollment Forecast'!$A:$A, 'MAG College Enrollment Forecast'!$C:$C+'MAG College Enrollment Forecast'!$D:$D+'MAG College Enrollment Forecast'!$E:$E+'MAG College Enrollment Forecast'!$F:$F+'MAG College Enrollment Forecast'!$G:$G+'MAG College Enrollment Forecast'!$H:$H), (AN$72-AN64)/($AI$72-$AI64)*($AI65-$AI64)+AN64),
          TRUE, IFERROR(_xlfn.XLOOKUP($AI65, 'USHE Projections'!$A:$A, IFERROR(_xlfn.XLOOKUP(AN$1, 'USHE Projections'!$A$1:$E$1, 'USHE Projections'!$A:$E), "NONE"), (AN$72-AN64)/($AI$72-$AI64)*($AI65-$AI64)+AN64), (AN$72-AN64)/($AI$72-$AI64)*($AI65-$AI64)+AN64)
        )
      )
    )
  ), 0)</f>
        <v>39315</v>
      </c>
      <c r="AO65" s="104" cm="1">
        <f t="array" ref="AO65">ROUND(
  IF(AND(AO$1="Ensign", $AI65&gt;=2021, $AI65&lt;=2024),
    _xlfn.XLOOKUP($AI65, Ensign!$A$2:$A$12, Ensign!$B$2:$B$12),
    _xlfn.XLOOKUP($AI65, 'Historic (IPEDS &amp; 2019 RTP)'!$A:$A, _xlfn.XLOOKUP(AO$1, 'Historic (IPEDS &amp; 2019 RTP)'!$A$1:$H$1, 'Historic (IPEDS &amp; 2019 RTP)'!$A:$H),
      IFERROR(_xlfn.XLOOKUP($AI65, 'USHE Historic'!$A$3:$A$13, _xlfn.XLOOKUP(AO$1, 'USHE Historic'!$A$2:$E$2, 'USHE Historic'!$A$3:$E$13)),
        _xlfn.IFS(
          AO$1="BYU", IFERROR(_xlfn.XLOOKUP($AI65, 'MAG College Enrollment Forecast'!$A:$A, 'MAG College Enrollment Forecast'!$B:$B), (AO$72-AO64)/($AI$72-$AI64)*($AI65-$AI64)+AO64),
          AO$1="UVU", IFERROR(_xlfn.XLOOKUP($AI65, 'MAG College Enrollment Forecast'!$A:$A, 'MAG College Enrollment Forecast'!$C:$C+'MAG College Enrollment Forecast'!$D:$D+'MAG College Enrollment Forecast'!$E:$E+'MAG College Enrollment Forecast'!$F:$F+'MAG College Enrollment Forecast'!$G:$G+'MAG College Enrollment Forecast'!$H:$H), (AO$72-AO64)/($AI$72-$AI64)*($AI65-$AI64)+AO64),
          TRUE, IFERROR(_xlfn.XLOOKUP($AI65, 'USHE Projections'!$A:$A, IFERROR(_xlfn.XLOOKUP(AO$1, 'USHE Projections'!$A$1:$E$1, 'USHE Projections'!$A:$E), "NONE"), (AO$72-AO64)/($AI$72-$AI64)*($AI65-$AI64)+AO64), (AO$72-AO64)/($AI$72-$AI64)*($AI65-$AI64)+AO64)
        )
      )
    )
  ), 0)</f>
        <v>2952</v>
      </c>
      <c r="AP65" s="104" cm="1">
        <f t="array" ref="AP65">ROUND(
  IF(AND(AP$1="Ensign", $AI65&gt;=2021, $AI65&lt;=2024),
    _xlfn.XLOOKUP($AI65, Ensign!$A$2:$A$12, Ensign!$B$2:$B$12),
    _xlfn.XLOOKUP($AI65, 'Historic (IPEDS &amp; 2019 RTP)'!$A:$A, _xlfn.XLOOKUP(AP$1, 'Historic (IPEDS &amp; 2019 RTP)'!$A$1:$H$1, 'Historic (IPEDS &amp; 2019 RTP)'!$A:$H),
      IFERROR(_xlfn.XLOOKUP($AI65, 'USHE Historic'!$A$3:$A$13, _xlfn.XLOOKUP(AP$1, 'USHE Historic'!$A$2:$E$2, 'USHE Historic'!$A$3:$E$13)),
        _xlfn.IFS(
          AP$1="BYU", IFERROR(_xlfn.XLOOKUP($AI65, 'MAG College Enrollment Forecast'!$A:$A, 'MAG College Enrollment Forecast'!$B:$B), (AP$72-AP64)/($AI$72-$AI64)*($AI65-$AI64)+AP64),
          AP$1="UVU", IFERROR(_xlfn.XLOOKUP($AI65, 'MAG College Enrollment Forecast'!$A:$A, 'MAG College Enrollment Forecast'!$C:$C+'MAG College Enrollment Forecast'!$D:$D+'MAG College Enrollment Forecast'!$E:$E+'MAG College Enrollment Forecast'!$F:$F+'MAG College Enrollment Forecast'!$G:$G+'MAG College Enrollment Forecast'!$H:$H), (AP$72-AP64)/($AI$72-$AI64)*($AI65-$AI64)+AP64),
          TRUE, IFERROR(_xlfn.XLOOKUP($AI65, 'USHE Projections'!$A:$A, IFERROR(_xlfn.XLOOKUP(AP$1, 'USHE Projections'!$A$1:$E$1, 'USHE Projections'!$A:$E), "NONE"), (AP$72-AP64)/($AI$72-$AI64)*($AI65-$AI64)+AP64), (AP$72-AP64)/($AI$72-$AI64)*($AI65-$AI64)+AP64)
        )
      )
    )
  ), 0)</f>
        <v>3070</v>
      </c>
    </row>
    <row r="66" spans="33:42">
      <c r="AI66" s="3">
        <v>2054</v>
      </c>
      <c r="AJ66" s="104" cm="1">
        <f t="array" ref="AJ66">ROUND(
  IF(AND(AJ$1="Ensign", $AI66&gt;=2021, $AI66&lt;=2024),
    _xlfn.XLOOKUP($AI66, Ensign!$A$2:$A$12, Ensign!$B$2:$B$12),
    _xlfn.XLOOKUP($AI66, 'Historic (IPEDS &amp; 2019 RTP)'!$A:$A, _xlfn.XLOOKUP(AJ$1, 'Historic (IPEDS &amp; 2019 RTP)'!$A$1:$H$1, 'Historic (IPEDS &amp; 2019 RTP)'!$A:$H),
      IFERROR(_xlfn.XLOOKUP($AI66, 'USHE Historic'!$A$3:$A$13, _xlfn.XLOOKUP(AJ$1, 'USHE Historic'!$A$2:$E$2, 'USHE Historic'!$A$3:$E$13)),
        _xlfn.IFS(
          AJ$1="BYU", IFERROR(_xlfn.XLOOKUP($AI66, 'MAG College Enrollment Forecast'!$A:$A, 'MAG College Enrollment Forecast'!$B:$B), (AJ$72-AJ65)/($AI$72-$AI65)*($AI66-$AI65)+AJ65),
          AJ$1="UVU", IFERROR(_xlfn.XLOOKUP($AI66, 'MAG College Enrollment Forecast'!$A:$A, 'MAG College Enrollment Forecast'!$C:$C+'MAG College Enrollment Forecast'!$D:$D+'MAG College Enrollment Forecast'!$E:$E+'MAG College Enrollment Forecast'!$F:$F+'MAG College Enrollment Forecast'!$G:$G+'MAG College Enrollment Forecast'!$H:$H), (AJ$72-AJ65)/($AI$72-$AI65)*($AI66-$AI65)+AJ65),
          TRUE, IFERROR(_xlfn.XLOOKUP($AI66, 'USHE Projections'!$A:$A, IFERROR(_xlfn.XLOOKUP(AJ$1, 'USHE Projections'!$A$1:$E$1, 'USHE Projections'!$A:$E), "NONE"), (AJ$72-AJ65)/($AI$72-$AI65)*($AI66-$AI65)+AJ65), (AJ$72-AJ65)/($AI$72-$AI65)*($AI66-$AI65)+AJ65)
        )
      )
    )
  ), 0)</f>
        <v>45185</v>
      </c>
      <c r="AK66" s="104" cm="1">
        <f t="array" ref="AK66">ROUND(
  IF(AND(AK$1="Ensign", $AI66&gt;=2021, $AI66&lt;=2024),
    _xlfn.XLOOKUP($AI66, Ensign!$A$2:$A$12, Ensign!$B$2:$B$12),
    _xlfn.XLOOKUP($AI66, 'Historic (IPEDS &amp; 2019 RTP)'!$A:$A, _xlfn.XLOOKUP(AK$1, 'Historic (IPEDS &amp; 2019 RTP)'!$A$1:$H$1, 'Historic (IPEDS &amp; 2019 RTP)'!$A:$H),
      IFERROR(_xlfn.XLOOKUP($AI66, 'USHE Historic'!$A$3:$A$13, _xlfn.XLOOKUP(AK$1, 'USHE Historic'!$A$2:$E$2, 'USHE Historic'!$A$3:$E$13)),
        _xlfn.IFS(
          AK$1="BYU", IFERROR(_xlfn.XLOOKUP($AI66, 'MAG College Enrollment Forecast'!$A:$A, 'MAG College Enrollment Forecast'!$B:$B), (AK$72-AK65)/($AI$72-$AI65)*($AI66-$AI65)+AK65),
          AK$1="UVU", IFERROR(_xlfn.XLOOKUP($AI66, 'MAG College Enrollment Forecast'!$A:$A, 'MAG College Enrollment Forecast'!$C:$C+'MAG College Enrollment Forecast'!$D:$D+'MAG College Enrollment Forecast'!$E:$E+'MAG College Enrollment Forecast'!$F:$F+'MAG College Enrollment Forecast'!$G:$G+'MAG College Enrollment Forecast'!$H:$H), (AK$72-AK65)/($AI$72-$AI65)*($AI66-$AI65)+AK65),
          TRUE, IFERROR(_xlfn.XLOOKUP($AI66, 'USHE Projections'!$A:$A, IFERROR(_xlfn.XLOOKUP(AK$1, 'USHE Projections'!$A$1:$E$1, 'USHE Projections'!$A:$E), "NONE"), (AK$72-AK65)/($AI$72-$AI65)*($AI66-$AI65)+AK65), (AK$72-AK65)/($AI$72-$AI65)*($AI66-$AI65)+AK65)
        )
      )
    )
  ), 0)</f>
        <v>45201</v>
      </c>
      <c r="AL66" s="35" cm="1">
        <f t="array" ref="AL66">ROUND(
  IF(AND(AL$1="Ensign", $AI66&gt;=2021, $AI66&lt;=2024),
    _xlfn.XLOOKUP($AI66, Ensign!$A$2:$A$12, Ensign!$B$2:$B$12),
    _xlfn.XLOOKUP($AI66, 'Historic (IPEDS &amp; 2019 RTP)'!$A:$A, _xlfn.XLOOKUP(AL$1, 'Historic (IPEDS &amp; 2019 RTP)'!$A$1:$H$1, 'Historic (IPEDS &amp; 2019 RTP)'!$A:$H),
      IFERROR(_xlfn.XLOOKUP($AI66, 'USHE Historic'!$A$3:$A$13, _xlfn.XLOOKUP(AL$1, 'USHE Historic'!$A$2:$E$2, 'USHE Historic'!$A$3:$E$13)),
        _xlfn.IFS(
          AL$1="BYU", IFERROR(_xlfn.XLOOKUP($AI66, 'MAG College Enrollment Forecast'!$A:$A, 'MAG College Enrollment Forecast'!$B:$B), (AL$72-AL65)/($AI$72-$AI65)*($AI66-$AI65)+AL65),
          AL$1="UVU", IFERROR(_xlfn.XLOOKUP($AI66, 'MAG College Enrollment Forecast'!$A:$A, 'MAG College Enrollment Forecast'!$C:$C+'MAG College Enrollment Forecast'!$D:$D+'MAG College Enrollment Forecast'!$E:$E+'MAG College Enrollment Forecast'!$F:$F+'MAG College Enrollment Forecast'!$G:$G+'MAG College Enrollment Forecast'!$H:$H), (AL$72-AL65)/($AI$72-$AI65)*($AI66-$AI65)+AL65),
          TRUE, IFERROR(_xlfn.XLOOKUP($AI66, 'USHE Projections'!$A:$A, IFERROR(_xlfn.XLOOKUP(AL$1, 'USHE Projections'!$A$1:$E$1, 'USHE Projections'!$A:$E), "NONE"), (AL$72-AL65)/($AI$72-$AI65)*($AI66-$AI65)+AL65), (AL$72-AL65)/($AI$72-$AI65)*($AI66-$AI65)+AL65)
        )
      )
    )
  ), 0)</f>
        <v>78431</v>
      </c>
      <c r="AM66" s="104" cm="1">
        <f t="array" ref="AM66">ROUND(
  IF(AND(AM$1="Ensign", $AI66&gt;=2021, $AI66&lt;=2024),
    _xlfn.XLOOKUP($AI66, Ensign!$A$2:$A$12, Ensign!$B$2:$B$12),
    _xlfn.XLOOKUP($AI66, 'Historic (IPEDS &amp; 2019 RTP)'!$A:$A, _xlfn.XLOOKUP(AM$1, 'Historic (IPEDS &amp; 2019 RTP)'!$A$1:$H$1, 'Historic (IPEDS &amp; 2019 RTP)'!$A:$H),
      IFERROR(_xlfn.XLOOKUP($AI66, 'USHE Historic'!$A$3:$A$13, _xlfn.XLOOKUP(AM$1, 'USHE Historic'!$A$2:$E$2, 'USHE Historic'!$A$3:$E$13)),
        _xlfn.IFS(
          AM$1="BYU", IFERROR(_xlfn.XLOOKUP($AI66, 'MAG College Enrollment Forecast'!$A:$A, 'MAG College Enrollment Forecast'!$B:$B), (AM$72-AM65)/($AI$72-$AI65)*($AI66-$AI65)+AM65),
          AM$1="UVU", IFERROR(_xlfn.XLOOKUP($AI66, 'MAG College Enrollment Forecast'!$A:$A, 'MAG College Enrollment Forecast'!$C:$C+'MAG College Enrollment Forecast'!$D:$D+'MAG College Enrollment Forecast'!$E:$E+'MAG College Enrollment Forecast'!$F:$F+'MAG College Enrollment Forecast'!$G:$G+'MAG College Enrollment Forecast'!$H:$H), (AM$72-AM65)/($AI$72-$AI65)*($AI66-$AI65)+AM65),
          TRUE, IFERROR(_xlfn.XLOOKUP($AI66, 'USHE Projections'!$A:$A, IFERROR(_xlfn.XLOOKUP(AM$1, 'USHE Projections'!$A$1:$E$1, 'USHE Projections'!$A:$E), "NONE"), (AM$72-AM65)/($AI$72-$AI65)*($AI66-$AI65)+AM65), (AM$72-AM65)/($AI$72-$AI65)*($AI66-$AI65)+AM65)
        )
      )
    )
  ), 0)</f>
        <v>40981</v>
      </c>
      <c r="AN66" s="35" cm="1">
        <f t="array" ref="AN66">ROUND(
  IF(AND(AN$1="Ensign", $AI66&gt;=2021, $AI66&lt;=2024),
    _xlfn.XLOOKUP($AI66, Ensign!$A$2:$A$12, Ensign!$B$2:$B$12),
    _xlfn.XLOOKUP($AI66, 'Historic (IPEDS &amp; 2019 RTP)'!$A:$A, _xlfn.XLOOKUP(AN$1, 'Historic (IPEDS &amp; 2019 RTP)'!$A$1:$H$1, 'Historic (IPEDS &amp; 2019 RTP)'!$A:$H),
      IFERROR(_xlfn.XLOOKUP($AI66, 'USHE Historic'!$A$3:$A$13, _xlfn.XLOOKUP(AN$1, 'USHE Historic'!$A$2:$E$2, 'USHE Historic'!$A$3:$E$13)),
        _xlfn.IFS(
          AN$1="BYU", IFERROR(_xlfn.XLOOKUP($AI66, 'MAG College Enrollment Forecast'!$A:$A, 'MAG College Enrollment Forecast'!$B:$B), (AN$72-AN65)/($AI$72-$AI65)*($AI66-$AI65)+AN65),
          AN$1="UVU", IFERROR(_xlfn.XLOOKUP($AI66, 'MAG College Enrollment Forecast'!$A:$A, 'MAG College Enrollment Forecast'!$C:$C+'MAG College Enrollment Forecast'!$D:$D+'MAG College Enrollment Forecast'!$E:$E+'MAG College Enrollment Forecast'!$F:$F+'MAG College Enrollment Forecast'!$G:$G+'MAG College Enrollment Forecast'!$H:$H), (AN$72-AN65)/($AI$72-$AI65)*($AI66-$AI65)+AN65),
          TRUE, IFERROR(_xlfn.XLOOKUP($AI66, 'USHE Projections'!$A:$A, IFERROR(_xlfn.XLOOKUP(AN$1, 'USHE Projections'!$A$1:$E$1, 'USHE Projections'!$A:$E), "NONE"), (AN$72-AN65)/($AI$72-$AI65)*($AI66-$AI65)+AN65), (AN$72-AN65)/($AI$72-$AI65)*($AI66-$AI65)+AN65)
        )
      )
    )
  ), 0)</f>
        <v>39315</v>
      </c>
      <c r="AO66" s="104" cm="1">
        <f t="array" ref="AO66">ROUND(
  IF(AND(AO$1="Ensign", $AI66&gt;=2021, $AI66&lt;=2024),
    _xlfn.XLOOKUP($AI66, Ensign!$A$2:$A$12, Ensign!$B$2:$B$12),
    _xlfn.XLOOKUP($AI66, 'Historic (IPEDS &amp; 2019 RTP)'!$A:$A, _xlfn.XLOOKUP(AO$1, 'Historic (IPEDS &amp; 2019 RTP)'!$A$1:$H$1, 'Historic (IPEDS &amp; 2019 RTP)'!$A:$H),
      IFERROR(_xlfn.XLOOKUP($AI66, 'USHE Historic'!$A$3:$A$13, _xlfn.XLOOKUP(AO$1, 'USHE Historic'!$A$2:$E$2, 'USHE Historic'!$A$3:$E$13)),
        _xlfn.IFS(
          AO$1="BYU", IFERROR(_xlfn.XLOOKUP($AI66, 'MAG College Enrollment Forecast'!$A:$A, 'MAG College Enrollment Forecast'!$B:$B), (AO$72-AO65)/($AI$72-$AI65)*($AI66-$AI65)+AO65),
          AO$1="UVU", IFERROR(_xlfn.XLOOKUP($AI66, 'MAG College Enrollment Forecast'!$A:$A, 'MAG College Enrollment Forecast'!$C:$C+'MAG College Enrollment Forecast'!$D:$D+'MAG College Enrollment Forecast'!$E:$E+'MAG College Enrollment Forecast'!$F:$F+'MAG College Enrollment Forecast'!$G:$G+'MAG College Enrollment Forecast'!$H:$H), (AO$72-AO65)/($AI$72-$AI65)*($AI66-$AI65)+AO65),
          TRUE, IFERROR(_xlfn.XLOOKUP($AI66, 'USHE Projections'!$A:$A, IFERROR(_xlfn.XLOOKUP(AO$1, 'USHE Projections'!$A$1:$E$1, 'USHE Projections'!$A:$E), "NONE"), (AO$72-AO65)/($AI$72-$AI65)*($AI66-$AI65)+AO65), (AO$72-AO65)/($AI$72-$AI65)*($AI66-$AI65)+AO65)
        )
      )
    )
  ), 0)</f>
        <v>2987</v>
      </c>
      <c r="AP66" s="104" cm="1">
        <f t="array" ref="AP66">ROUND(
  IF(AND(AP$1="Ensign", $AI66&gt;=2021, $AI66&lt;=2024),
    _xlfn.XLOOKUP($AI66, Ensign!$A$2:$A$12, Ensign!$B$2:$B$12),
    _xlfn.XLOOKUP($AI66, 'Historic (IPEDS &amp; 2019 RTP)'!$A:$A, _xlfn.XLOOKUP(AP$1, 'Historic (IPEDS &amp; 2019 RTP)'!$A$1:$H$1, 'Historic (IPEDS &amp; 2019 RTP)'!$A:$H),
      IFERROR(_xlfn.XLOOKUP($AI66, 'USHE Historic'!$A$3:$A$13, _xlfn.XLOOKUP(AP$1, 'USHE Historic'!$A$2:$E$2, 'USHE Historic'!$A$3:$E$13)),
        _xlfn.IFS(
          AP$1="BYU", IFERROR(_xlfn.XLOOKUP($AI66, 'MAG College Enrollment Forecast'!$A:$A, 'MAG College Enrollment Forecast'!$B:$B), (AP$72-AP65)/($AI$72-$AI65)*($AI66-$AI65)+AP65),
          AP$1="UVU", IFERROR(_xlfn.XLOOKUP($AI66, 'MAG College Enrollment Forecast'!$A:$A, 'MAG College Enrollment Forecast'!$C:$C+'MAG College Enrollment Forecast'!$D:$D+'MAG College Enrollment Forecast'!$E:$E+'MAG College Enrollment Forecast'!$F:$F+'MAG College Enrollment Forecast'!$G:$G+'MAG College Enrollment Forecast'!$H:$H), (AP$72-AP65)/($AI$72-$AI65)*($AI66-$AI65)+AP65),
          TRUE, IFERROR(_xlfn.XLOOKUP($AI66, 'USHE Projections'!$A:$A, IFERROR(_xlfn.XLOOKUP(AP$1, 'USHE Projections'!$A$1:$E$1, 'USHE Projections'!$A:$E), "NONE"), (AP$72-AP65)/($AI$72-$AI65)*($AI66-$AI65)+AP65), (AP$72-AP65)/($AI$72-$AI65)*($AI66-$AI65)+AP65)
        )
      )
    )
  ), 0)</f>
        <v>3131</v>
      </c>
    </row>
    <row r="67" spans="33:42">
      <c r="AI67" s="3">
        <v>2055</v>
      </c>
      <c r="AJ67" s="104" cm="1">
        <f t="array" ref="AJ67">ROUND(
  IF(AND(AJ$1="Ensign", $AI67&gt;=2021, $AI67&lt;=2024),
    _xlfn.XLOOKUP($AI67, Ensign!$A$2:$A$12, Ensign!$B$2:$B$12),
    _xlfn.XLOOKUP($AI67, 'Historic (IPEDS &amp; 2019 RTP)'!$A:$A, _xlfn.XLOOKUP(AJ$1, 'Historic (IPEDS &amp; 2019 RTP)'!$A$1:$H$1, 'Historic (IPEDS &amp; 2019 RTP)'!$A:$H),
      IFERROR(_xlfn.XLOOKUP($AI67, 'USHE Historic'!$A$3:$A$13, _xlfn.XLOOKUP(AJ$1, 'USHE Historic'!$A$2:$E$2, 'USHE Historic'!$A$3:$E$13)),
        _xlfn.IFS(
          AJ$1="BYU", IFERROR(_xlfn.XLOOKUP($AI67, 'MAG College Enrollment Forecast'!$A:$A, 'MAG College Enrollment Forecast'!$B:$B), (AJ$72-AJ66)/($AI$72-$AI66)*($AI67-$AI66)+AJ66),
          AJ$1="UVU", IFERROR(_xlfn.XLOOKUP($AI67, 'MAG College Enrollment Forecast'!$A:$A, 'MAG College Enrollment Forecast'!$C:$C+'MAG College Enrollment Forecast'!$D:$D+'MAG College Enrollment Forecast'!$E:$E+'MAG College Enrollment Forecast'!$F:$F+'MAG College Enrollment Forecast'!$G:$G+'MAG College Enrollment Forecast'!$H:$H), (AJ$72-AJ66)/($AI$72-$AI66)*($AI67-$AI66)+AJ66),
          TRUE, IFERROR(_xlfn.XLOOKUP($AI67, 'USHE Projections'!$A:$A, IFERROR(_xlfn.XLOOKUP(AJ$1, 'USHE Projections'!$A$1:$E$1, 'USHE Projections'!$A:$E), "NONE"), (AJ$72-AJ66)/($AI$72-$AI66)*($AI67-$AI66)+AJ66), (AJ$72-AJ66)/($AI$72-$AI66)*($AI67-$AI66)+AJ66)
        )
      )
    )
  ), 0)</f>
        <v>45488</v>
      </c>
      <c r="AK67" s="104" cm="1">
        <f t="array" ref="AK67">ROUND(
  IF(AND(AK$1="Ensign", $AI67&gt;=2021, $AI67&lt;=2024),
    _xlfn.XLOOKUP($AI67, Ensign!$A$2:$A$12, Ensign!$B$2:$B$12),
    _xlfn.XLOOKUP($AI67, 'Historic (IPEDS &amp; 2019 RTP)'!$A:$A, _xlfn.XLOOKUP(AK$1, 'Historic (IPEDS &amp; 2019 RTP)'!$A$1:$H$1, 'Historic (IPEDS &amp; 2019 RTP)'!$A:$H),
      IFERROR(_xlfn.XLOOKUP($AI67, 'USHE Historic'!$A$3:$A$13, _xlfn.XLOOKUP(AK$1, 'USHE Historic'!$A$2:$E$2, 'USHE Historic'!$A$3:$E$13)),
        _xlfn.IFS(
          AK$1="BYU", IFERROR(_xlfn.XLOOKUP($AI67, 'MAG College Enrollment Forecast'!$A:$A, 'MAG College Enrollment Forecast'!$B:$B), (AK$72-AK66)/($AI$72-$AI66)*($AI67-$AI66)+AK66),
          AK$1="UVU", IFERROR(_xlfn.XLOOKUP($AI67, 'MAG College Enrollment Forecast'!$A:$A, 'MAG College Enrollment Forecast'!$C:$C+'MAG College Enrollment Forecast'!$D:$D+'MAG College Enrollment Forecast'!$E:$E+'MAG College Enrollment Forecast'!$F:$F+'MAG College Enrollment Forecast'!$G:$G+'MAG College Enrollment Forecast'!$H:$H), (AK$72-AK66)/($AI$72-$AI66)*($AI67-$AI66)+AK66),
          TRUE, IFERROR(_xlfn.XLOOKUP($AI67, 'USHE Projections'!$A:$A, IFERROR(_xlfn.XLOOKUP(AK$1, 'USHE Projections'!$A$1:$E$1, 'USHE Projections'!$A:$E), "NONE"), (AK$72-AK66)/($AI$72-$AI66)*($AI67-$AI66)+AK66), (AK$72-AK66)/($AI$72-$AI66)*($AI67-$AI66)+AK66)
        )
      )
    )
  ), 0)</f>
        <v>45668</v>
      </c>
      <c r="AL67" s="35" cm="1">
        <f t="array" ref="AL67">ROUND(
  IF(AND(AL$1="Ensign", $AI67&gt;=2021, $AI67&lt;=2024),
    _xlfn.XLOOKUP($AI67, Ensign!$A$2:$A$12, Ensign!$B$2:$B$12),
    _xlfn.XLOOKUP($AI67, 'Historic (IPEDS &amp; 2019 RTP)'!$A:$A, _xlfn.XLOOKUP(AL$1, 'Historic (IPEDS &amp; 2019 RTP)'!$A$1:$H$1, 'Historic (IPEDS &amp; 2019 RTP)'!$A:$H),
      IFERROR(_xlfn.XLOOKUP($AI67, 'USHE Historic'!$A$3:$A$13, _xlfn.XLOOKUP(AL$1, 'USHE Historic'!$A$2:$E$2, 'USHE Historic'!$A$3:$E$13)),
        _xlfn.IFS(
          AL$1="BYU", IFERROR(_xlfn.XLOOKUP($AI67, 'MAG College Enrollment Forecast'!$A:$A, 'MAG College Enrollment Forecast'!$B:$B), (AL$72-AL66)/($AI$72-$AI66)*($AI67-$AI66)+AL66),
          AL$1="UVU", IFERROR(_xlfn.XLOOKUP($AI67, 'MAG College Enrollment Forecast'!$A:$A, 'MAG College Enrollment Forecast'!$C:$C+'MAG College Enrollment Forecast'!$D:$D+'MAG College Enrollment Forecast'!$E:$E+'MAG College Enrollment Forecast'!$F:$F+'MAG College Enrollment Forecast'!$G:$G+'MAG College Enrollment Forecast'!$H:$H), (AL$72-AL66)/($AI$72-$AI66)*($AI67-$AI66)+AL66),
          TRUE, IFERROR(_xlfn.XLOOKUP($AI67, 'USHE Projections'!$A:$A, IFERROR(_xlfn.XLOOKUP(AL$1, 'USHE Projections'!$A$1:$E$1, 'USHE Projections'!$A:$E), "NONE"), (AL$72-AL66)/($AI$72-$AI66)*($AI67-$AI66)+AL66), (AL$72-AL66)/($AI$72-$AI66)*($AI67-$AI66)+AL66)
        )
      )
    )
  ), 0)</f>
        <v>78431</v>
      </c>
      <c r="AM67" s="104" cm="1">
        <f t="array" ref="AM67">ROUND(
  IF(AND(AM$1="Ensign", $AI67&gt;=2021, $AI67&lt;=2024),
    _xlfn.XLOOKUP($AI67, Ensign!$A$2:$A$12, Ensign!$B$2:$B$12),
    _xlfn.XLOOKUP($AI67, 'Historic (IPEDS &amp; 2019 RTP)'!$A:$A, _xlfn.XLOOKUP(AM$1, 'Historic (IPEDS &amp; 2019 RTP)'!$A$1:$H$1, 'Historic (IPEDS &amp; 2019 RTP)'!$A:$H),
      IFERROR(_xlfn.XLOOKUP($AI67, 'USHE Historic'!$A$3:$A$13, _xlfn.XLOOKUP(AM$1, 'USHE Historic'!$A$2:$E$2, 'USHE Historic'!$A$3:$E$13)),
        _xlfn.IFS(
          AM$1="BYU", IFERROR(_xlfn.XLOOKUP($AI67, 'MAG College Enrollment Forecast'!$A:$A, 'MAG College Enrollment Forecast'!$B:$B), (AM$72-AM66)/($AI$72-$AI66)*($AI67-$AI66)+AM66),
          AM$1="UVU", IFERROR(_xlfn.XLOOKUP($AI67, 'MAG College Enrollment Forecast'!$A:$A, 'MAG College Enrollment Forecast'!$C:$C+'MAG College Enrollment Forecast'!$D:$D+'MAG College Enrollment Forecast'!$E:$E+'MAG College Enrollment Forecast'!$F:$F+'MAG College Enrollment Forecast'!$G:$G+'MAG College Enrollment Forecast'!$H:$H), (AM$72-AM66)/($AI$72-$AI66)*($AI67-$AI66)+AM66),
          TRUE, IFERROR(_xlfn.XLOOKUP($AI67, 'USHE Projections'!$A:$A, IFERROR(_xlfn.XLOOKUP(AM$1, 'USHE Projections'!$A$1:$E$1, 'USHE Projections'!$A:$E), "NONE"), (AM$72-AM66)/($AI$72-$AI66)*($AI67-$AI66)+AM66), (AM$72-AM66)/($AI$72-$AI66)*($AI67-$AI66)+AM66)
        )
      )
    )
  ), 0)</f>
        <v>41318</v>
      </c>
      <c r="AN67" s="35" cm="1">
        <f t="array" ref="AN67">ROUND(
  IF(AND(AN$1="Ensign", $AI67&gt;=2021, $AI67&lt;=2024),
    _xlfn.XLOOKUP($AI67, Ensign!$A$2:$A$12, Ensign!$B$2:$B$12),
    _xlfn.XLOOKUP($AI67, 'Historic (IPEDS &amp; 2019 RTP)'!$A:$A, _xlfn.XLOOKUP(AN$1, 'Historic (IPEDS &amp; 2019 RTP)'!$A$1:$H$1, 'Historic (IPEDS &amp; 2019 RTP)'!$A:$H),
      IFERROR(_xlfn.XLOOKUP($AI67, 'USHE Historic'!$A$3:$A$13, _xlfn.XLOOKUP(AN$1, 'USHE Historic'!$A$2:$E$2, 'USHE Historic'!$A$3:$E$13)),
        _xlfn.IFS(
          AN$1="BYU", IFERROR(_xlfn.XLOOKUP($AI67, 'MAG College Enrollment Forecast'!$A:$A, 'MAG College Enrollment Forecast'!$B:$B), (AN$72-AN66)/($AI$72-$AI66)*($AI67-$AI66)+AN66),
          AN$1="UVU", IFERROR(_xlfn.XLOOKUP($AI67, 'MAG College Enrollment Forecast'!$A:$A, 'MAG College Enrollment Forecast'!$C:$C+'MAG College Enrollment Forecast'!$D:$D+'MAG College Enrollment Forecast'!$E:$E+'MAG College Enrollment Forecast'!$F:$F+'MAG College Enrollment Forecast'!$G:$G+'MAG College Enrollment Forecast'!$H:$H), (AN$72-AN66)/($AI$72-$AI66)*($AI67-$AI66)+AN66),
          TRUE, IFERROR(_xlfn.XLOOKUP($AI67, 'USHE Projections'!$A:$A, IFERROR(_xlfn.XLOOKUP(AN$1, 'USHE Projections'!$A$1:$E$1, 'USHE Projections'!$A:$E), "NONE"), (AN$72-AN66)/($AI$72-$AI66)*($AI67-$AI66)+AN66), (AN$72-AN66)/($AI$72-$AI66)*($AI67-$AI66)+AN66)
        )
      )
    )
  ), 0)</f>
        <v>39315</v>
      </c>
      <c r="AO67" s="104" cm="1">
        <f t="array" ref="AO67">ROUND(
  IF(AND(AO$1="Ensign", $AI67&gt;=2021, $AI67&lt;=2024),
    _xlfn.XLOOKUP($AI67, Ensign!$A$2:$A$12, Ensign!$B$2:$B$12),
    _xlfn.XLOOKUP($AI67, 'Historic (IPEDS &amp; 2019 RTP)'!$A:$A, _xlfn.XLOOKUP(AO$1, 'Historic (IPEDS &amp; 2019 RTP)'!$A$1:$H$1, 'Historic (IPEDS &amp; 2019 RTP)'!$A:$H),
      IFERROR(_xlfn.XLOOKUP($AI67, 'USHE Historic'!$A$3:$A$13, _xlfn.XLOOKUP(AO$1, 'USHE Historic'!$A$2:$E$2, 'USHE Historic'!$A$3:$E$13)),
        _xlfn.IFS(
          AO$1="BYU", IFERROR(_xlfn.XLOOKUP($AI67, 'MAG College Enrollment Forecast'!$A:$A, 'MAG College Enrollment Forecast'!$B:$B), (AO$72-AO66)/($AI$72-$AI66)*($AI67-$AI66)+AO66),
          AO$1="UVU", IFERROR(_xlfn.XLOOKUP($AI67, 'MAG College Enrollment Forecast'!$A:$A, 'MAG College Enrollment Forecast'!$C:$C+'MAG College Enrollment Forecast'!$D:$D+'MAG College Enrollment Forecast'!$E:$E+'MAG College Enrollment Forecast'!$F:$F+'MAG College Enrollment Forecast'!$G:$G+'MAG College Enrollment Forecast'!$H:$H), (AO$72-AO66)/($AI$72-$AI66)*($AI67-$AI66)+AO66),
          TRUE, IFERROR(_xlfn.XLOOKUP($AI67, 'USHE Projections'!$A:$A, IFERROR(_xlfn.XLOOKUP(AO$1, 'USHE Projections'!$A$1:$E$1, 'USHE Projections'!$A:$E), "NONE"), (AO$72-AO66)/($AI$72-$AI66)*($AI67-$AI66)+AO66), (AO$72-AO66)/($AI$72-$AI66)*($AI67-$AI66)+AO66)
        )
      )
    )
  ), 0)</f>
        <v>3023</v>
      </c>
      <c r="AP67" s="104" cm="1">
        <f t="array" ref="AP67">ROUND(
  IF(AND(AP$1="Ensign", $AI67&gt;=2021, $AI67&lt;=2024),
    _xlfn.XLOOKUP($AI67, Ensign!$A$2:$A$12, Ensign!$B$2:$B$12),
    _xlfn.XLOOKUP($AI67, 'Historic (IPEDS &amp; 2019 RTP)'!$A:$A, _xlfn.XLOOKUP(AP$1, 'Historic (IPEDS &amp; 2019 RTP)'!$A$1:$H$1, 'Historic (IPEDS &amp; 2019 RTP)'!$A:$H),
      IFERROR(_xlfn.XLOOKUP($AI67, 'USHE Historic'!$A$3:$A$13, _xlfn.XLOOKUP(AP$1, 'USHE Historic'!$A$2:$E$2, 'USHE Historic'!$A$3:$E$13)),
        _xlfn.IFS(
          AP$1="BYU", IFERROR(_xlfn.XLOOKUP($AI67, 'MAG College Enrollment Forecast'!$A:$A, 'MAG College Enrollment Forecast'!$B:$B), (AP$72-AP66)/($AI$72-$AI66)*($AI67-$AI66)+AP66),
          AP$1="UVU", IFERROR(_xlfn.XLOOKUP($AI67, 'MAG College Enrollment Forecast'!$A:$A, 'MAG College Enrollment Forecast'!$C:$C+'MAG College Enrollment Forecast'!$D:$D+'MAG College Enrollment Forecast'!$E:$E+'MAG College Enrollment Forecast'!$F:$F+'MAG College Enrollment Forecast'!$G:$G+'MAG College Enrollment Forecast'!$H:$H), (AP$72-AP66)/($AI$72-$AI66)*($AI67-$AI66)+AP66),
          TRUE, IFERROR(_xlfn.XLOOKUP($AI67, 'USHE Projections'!$A:$A, IFERROR(_xlfn.XLOOKUP(AP$1, 'USHE Projections'!$A$1:$E$1, 'USHE Projections'!$A:$E), "NONE"), (AP$72-AP66)/($AI$72-$AI66)*($AI67-$AI66)+AP66), (AP$72-AP66)/($AI$72-$AI66)*($AI67-$AI66)+AP66)
        )
      )
    )
  ), 0)</f>
        <v>3193</v>
      </c>
    </row>
    <row r="68" spans="33:42">
      <c r="AI68" s="3">
        <v>2056</v>
      </c>
      <c r="AJ68" s="104" cm="1">
        <f t="array" ref="AJ68">ROUND(
  IF(AND(AJ$1="Ensign", $AI68&gt;=2021, $AI68&lt;=2024),
    _xlfn.XLOOKUP($AI68, Ensign!$A$2:$A$12, Ensign!$B$2:$B$12),
    _xlfn.XLOOKUP($AI68, 'Historic (IPEDS &amp; 2019 RTP)'!$A:$A, _xlfn.XLOOKUP(AJ$1, 'Historic (IPEDS &amp; 2019 RTP)'!$A$1:$H$1, 'Historic (IPEDS &amp; 2019 RTP)'!$A:$H),
      IFERROR(_xlfn.XLOOKUP($AI68, 'USHE Historic'!$A$3:$A$13, _xlfn.XLOOKUP(AJ$1, 'USHE Historic'!$A$2:$E$2, 'USHE Historic'!$A$3:$E$13)),
        _xlfn.IFS(
          AJ$1="BYU", IFERROR(_xlfn.XLOOKUP($AI68, 'MAG College Enrollment Forecast'!$A:$A, 'MAG College Enrollment Forecast'!$B:$B), (AJ$72-AJ67)/($AI$72-$AI67)*($AI68-$AI67)+AJ67),
          AJ$1="UVU", IFERROR(_xlfn.XLOOKUP($AI68, 'MAG College Enrollment Forecast'!$A:$A, 'MAG College Enrollment Forecast'!$C:$C+'MAG College Enrollment Forecast'!$D:$D+'MAG College Enrollment Forecast'!$E:$E+'MAG College Enrollment Forecast'!$F:$F+'MAG College Enrollment Forecast'!$G:$G+'MAG College Enrollment Forecast'!$H:$H), (AJ$72-AJ67)/($AI$72-$AI67)*($AI68-$AI67)+AJ67),
          TRUE, IFERROR(_xlfn.XLOOKUP($AI68, 'USHE Projections'!$A:$A, IFERROR(_xlfn.XLOOKUP(AJ$1, 'USHE Projections'!$A$1:$E$1, 'USHE Projections'!$A:$E), "NONE"), (AJ$72-AJ67)/($AI$72-$AI67)*($AI68-$AI67)+AJ67), (AJ$72-AJ67)/($AI$72-$AI67)*($AI68-$AI67)+AJ67)
        )
      )
    )
  ), 0)</f>
        <v>45790</v>
      </c>
      <c r="AK68" s="104" cm="1">
        <f t="array" ref="AK68">ROUND(
  IF(AND(AK$1="Ensign", $AI68&gt;=2021, $AI68&lt;=2024),
    _xlfn.XLOOKUP($AI68, Ensign!$A$2:$A$12, Ensign!$B$2:$B$12),
    _xlfn.XLOOKUP($AI68, 'Historic (IPEDS &amp; 2019 RTP)'!$A:$A, _xlfn.XLOOKUP(AK$1, 'Historic (IPEDS &amp; 2019 RTP)'!$A$1:$H$1, 'Historic (IPEDS &amp; 2019 RTP)'!$A:$H),
      IFERROR(_xlfn.XLOOKUP($AI68, 'USHE Historic'!$A$3:$A$13, _xlfn.XLOOKUP(AK$1, 'USHE Historic'!$A$2:$E$2, 'USHE Historic'!$A$3:$E$13)),
        _xlfn.IFS(
          AK$1="BYU", IFERROR(_xlfn.XLOOKUP($AI68, 'MAG College Enrollment Forecast'!$A:$A, 'MAG College Enrollment Forecast'!$B:$B), (AK$72-AK67)/($AI$72-$AI67)*($AI68-$AI67)+AK67),
          AK$1="UVU", IFERROR(_xlfn.XLOOKUP($AI68, 'MAG College Enrollment Forecast'!$A:$A, 'MAG College Enrollment Forecast'!$C:$C+'MAG College Enrollment Forecast'!$D:$D+'MAG College Enrollment Forecast'!$E:$E+'MAG College Enrollment Forecast'!$F:$F+'MAG College Enrollment Forecast'!$G:$G+'MAG College Enrollment Forecast'!$H:$H), (AK$72-AK67)/($AI$72-$AI67)*($AI68-$AI67)+AK67),
          TRUE, IFERROR(_xlfn.XLOOKUP($AI68, 'USHE Projections'!$A:$A, IFERROR(_xlfn.XLOOKUP(AK$1, 'USHE Projections'!$A$1:$E$1, 'USHE Projections'!$A:$E), "NONE"), (AK$72-AK67)/($AI$72-$AI67)*($AI68-$AI67)+AK67), (AK$72-AK67)/($AI$72-$AI67)*($AI68-$AI67)+AK67)
        )
      )
    )
  ), 0)</f>
        <v>46134</v>
      </c>
      <c r="AL68" s="35" cm="1">
        <f t="array" ref="AL68">ROUND(
  IF(AND(AL$1="Ensign", $AI68&gt;=2021, $AI68&lt;=2024),
    _xlfn.XLOOKUP($AI68, Ensign!$A$2:$A$12, Ensign!$B$2:$B$12),
    _xlfn.XLOOKUP($AI68, 'Historic (IPEDS &amp; 2019 RTP)'!$A:$A, _xlfn.XLOOKUP(AL$1, 'Historic (IPEDS &amp; 2019 RTP)'!$A$1:$H$1, 'Historic (IPEDS &amp; 2019 RTP)'!$A:$H),
      IFERROR(_xlfn.XLOOKUP($AI68, 'USHE Historic'!$A$3:$A$13, _xlfn.XLOOKUP(AL$1, 'USHE Historic'!$A$2:$E$2, 'USHE Historic'!$A$3:$E$13)),
        _xlfn.IFS(
          AL$1="BYU", IFERROR(_xlfn.XLOOKUP($AI68, 'MAG College Enrollment Forecast'!$A:$A, 'MAG College Enrollment Forecast'!$B:$B), (AL$72-AL67)/($AI$72-$AI67)*($AI68-$AI67)+AL67),
          AL$1="UVU", IFERROR(_xlfn.XLOOKUP($AI68, 'MAG College Enrollment Forecast'!$A:$A, 'MAG College Enrollment Forecast'!$C:$C+'MAG College Enrollment Forecast'!$D:$D+'MAG College Enrollment Forecast'!$E:$E+'MAG College Enrollment Forecast'!$F:$F+'MAG College Enrollment Forecast'!$G:$G+'MAG College Enrollment Forecast'!$H:$H), (AL$72-AL67)/($AI$72-$AI67)*($AI68-$AI67)+AL67),
          TRUE, IFERROR(_xlfn.XLOOKUP($AI68, 'USHE Projections'!$A:$A, IFERROR(_xlfn.XLOOKUP(AL$1, 'USHE Projections'!$A$1:$E$1, 'USHE Projections'!$A:$E), "NONE"), (AL$72-AL67)/($AI$72-$AI67)*($AI68-$AI67)+AL67), (AL$72-AL67)/($AI$72-$AI67)*($AI68-$AI67)+AL67)
        )
      )
    )
  ), 0)</f>
        <v>78431</v>
      </c>
      <c r="AM68" s="104" cm="1">
        <f t="array" ref="AM68">ROUND(
  IF(AND(AM$1="Ensign", $AI68&gt;=2021, $AI68&lt;=2024),
    _xlfn.XLOOKUP($AI68, Ensign!$A$2:$A$12, Ensign!$B$2:$B$12),
    _xlfn.XLOOKUP($AI68, 'Historic (IPEDS &amp; 2019 RTP)'!$A:$A, _xlfn.XLOOKUP(AM$1, 'Historic (IPEDS &amp; 2019 RTP)'!$A$1:$H$1, 'Historic (IPEDS &amp; 2019 RTP)'!$A:$H),
      IFERROR(_xlfn.XLOOKUP($AI68, 'USHE Historic'!$A$3:$A$13, _xlfn.XLOOKUP(AM$1, 'USHE Historic'!$A$2:$E$2, 'USHE Historic'!$A$3:$E$13)),
        _xlfn.IFS(
          AM$1="BYU", IFERROR(_xlfn.XLOOKUP($AI68, 'MAG College Enrollment Forecast'!$A:$A, 'MAG College Enrollment Forecast'!$B:$B), (AM$72-AM67)/($AI$72-$AI67)*($AI68-$AI67)+AM67),
          AM$1="UVU", IFERROR(_xlfn.XLOOKUP($AI68, 'MAG College Enrollment Forecast'!$A:$A, 'MAG College Enrollment Forecast'!$C:$C+'MAG College Enrollment Forecast'!$D:$D+'MAG College Enrollment Forecast'!$E:$E+'MAG College Enrollment Forecast'!$F:$F+'MAG College Enrollment Forecast'!$G:$G+'MAG College Enrollment Forecast'!$H:$H), (AM$72-AM67)/($AI$72-$AI67)*($AI68-$AI67)+AM67),
          TRUE, IFERROR(_xlfn.XLOOKUP($AI68, 'USHE Projections'!$A:$A, IFERROR(_xlfn.XLOOKUP(AM$1, 'USHE Projections'!$A$1:$E$1, 'USHE Projections'!$A:$E), "NONE"), (AM$72-AM67)/($AI$72-$AI67)*($AI68-$AI67)+AM67), (AM$72-AM67)/($AI$72-$AI67)*($AI68-$AI67)+AM67)
        )
      )
    )
  ), 0)</f>
        <v>41654</v>
      </c>
      <c r="AN68" s="35" cm="1">
        <f t="array" ref="AN68">ROUND(
  IF(AND(AN$1="Ensign", $AI68&gt;=2021, $AI68&lt;=2024),
    _xlfn.XLOOKUP($AI68, Ensign!$A$2:$A$12, Ensign!$B$2:$B$12),
    _xlfn.XLOOKUP($AI68, 'Historic (IPEDS &amp; 2019 RTP)'!$A:$A, _xlfn.XLOOKUP(AN$1, 'Historic (IPEDS &amp; 2019 RTP)'!$A$1:$H$1, 'Historic (IPEDS &amp; 2019 RTP)'!$A:$H),
      IFERROR(_xlfn.XLOOKUP($AI68, 'USHE Historic'!$A$3:$A$13, _xlfn.XLOOKUP(AN$1, 'USHE Historic'!$A$2:$E$2, 'USHE Historic'!$A$3:$E$13)),
        _xlfn.IFS(
          AN$1="BYU", IFERROR(_xlfn.XLOOKUP($AI68, 'MAG College Enrollment Forecast'!$A:$A, 'MAG College Enrollment Forecast'!$B:$B), (AN$72-AN67)/($AI$72-$AI67)*($AI68-$AI67)+AN67),
          AN$1="UVU", IFERROR(_xlfn.XLOOKUP($AI68, 'MAG College Enrollment Forecast'!$A:$A, 'MAG College Enrollment Forecast'!$C:$C+'MAG College Enrollment Forecast'!$D:$D+'MAG College Enrollment Forecast'!$E:$E+'MAG College Enrollment Forecast'!$F:$F+'MAG College Enrollment Forecast'!$G:$G+'MAG College Enrollment Forecast'!$H:$H), (AN$72-AN67)/($AI$72-$AI67)*($AI68-$AI67)+AN67),
          TRUE, IFERROR(_xlfn.XLOOKUP($AI68, 'USHE Projections'!$A:$A, IFERROR(_xlfn.XLOOKUP(AN$1, 'USHE Projections'!$A$1:$E$1, 'USHE Projections'!$A:$E), "NONE"), (AN$72-AN67)/($AI$72-$AI67)*($AI68-$AI67)+AN67), (AN$72-AN67)/($AI$72-$AI67)*($AI68-$AI67)+AN67)
        )
      )
    )
  ), 0)</f>
        <v>39315</v>
      </c>
      <c r="AO68" s="104" cm="1">
        <f t="array" ref="AO68">ROUND(
  IF(AND(AO$1="Ensign", $AI68&gt;=2021, $AI68&lt;=2024),
    _xlfn.XLOOKUP($AI68, Ensign!$A$2:$A$12, Ensign!$B$2:$B$12),
    _xlfn.XLOOKUP($AI68, 'Historic (IPEDS &amp; 2019 RTP)'!$A:$A, _xlfn.XLOOKUP(AO$1, 'Historic (IPEDS &amp; 2019 RTP)'!$A$1:$H$1, 'Historic (IPEDS &amp; 2019 RTP)'!$A:$H),
      IFERROR(_xlfn.XLOOKUP($AI68, 'USHE Historic'!$A$3:$A$13, _xlfn.XLOOKUP(AO$1, 'USHE Historic'!$A$2:$E$2, 'USHE Historic'!$A$3:$E$13)),
        _xlfn.IFS(
          AO$1="BYU", IFERROR(_xlfn.XLOOKUP($AI68, 'MAG College Enrollment Forecast'!$A:$A, 'MAG College Enrollment Forecast'!$B:$B), (AO$72-AO67)/($AI$72-$AI67)*($AI68-$AI67)+AO67),
          AO$1="UVU", IFERROR(_xlfn.XLOOKUP($AI68, 'MAG College Enrollment Forecast'!$A:$A, 'MAG College Enrollment Forecast'!$C:$C+'MAG College Enrollment Forecast'!$D:$D+'MAG College Enrollment Forecast'!$E:$E+'MAG College Enrollment Forecast'!$F:$F+'MAG College Enrollment Forecast'!$G:$G+'MAG College Enrollment Forecast'!$H:$H), (AO$72-AO67)/($AI$72-$AI67)*($AI68-$AI67)+AO67),
          TRUE, IFERROR(_xlfn.XLOOKUP($AI68, 'USHE Projections'!$A:$A, IFERROR(_xlfn.XLOOKUP(AO$1, 'USHE Projections'!$A$1:$E$1, 'USHE Projections'!$A:$E), "NONE"), (AO$72-AO67)/($AI$72-$AI67)*($AI68-$AI67)+AO67), (AO$72-AO67)/($AI$72-$AI67)*($AI68-$AI67)+AO67)
        )
      )
    )
  ), 0)</f>
        <v>3058</v>
      </c>
      <c r="AP68" s="104" cm="1">
        <f t="array" ref="AP68">ROUND(
  IF(AND(AP$1="Ensign", $AI68&gt;=2021, $AI68&lt;=2024),
    _xlfn.XLOOKUP($AI68, Ensign!$A$2:$A$12, Ensign!$B$2:$B$12),
    _xlfn.XLOOKUP($AI68, 'Historic (IPEDS &amp; 2019 RTP)'!$A:$A, _xlfn.XLOOKUP(AP$1, 'Historic (IPEDS &amp; 2019 RTP)'!$A$1:$H$1, 'Historic (IPEDS &amp; 2019 RTP)'!$A:$H),
      IFERROR(_xlfn.XLOOKUP($AI68, 'USHE Historic'!$A$3:$A$13, _xlfn.XLOOKUP(AP$1, 'USHE Historic'!$A$2:$E$2, 'USHE Historic'!$A$3:$E$13)),
        _xlfn.IFS(
          AP$1="BYU", IFERROR(_xlfn.XLOOKUP($AI68, 'MAG College Enrollment Forecast'!$A:$A, 'MAG College Enrollment Forecast'!$B:$B), (AP$72-AP67)/($AI$72-$AI67)*($AI68-$AI67)+AP67),
          AP$1="UVU", IFERROR(_xlfn.XLOOKUP($AI68, 'MAG College Enrollment Forecast'!$A:$A, 'MAG College Enrollment Forecast'!$C:$C+'MAG College Enrollment Forecast'!$D:$D+'MAG College Enrollment Forecast'!$E:$E+'MAG College Enrollment Forecast'!$F:$F+'MAG College Enrollment Forecast'!$G:$G+'MAG College Enrollment Forecast'!$H:$H), (AP$72-AP67)/($AI$72-$AI67)*($AI68-$AI67)+AP67),
          TRUE, IFERROR(_xlfn.XLOOKUP($AI68, 'USHE Projections'!$A:$A, IFERROR(_xlfn.XLOOKUP(AP$1, 'USHE Projections'!$A$1:$E$1, 'USHE Projections'!$A:$E), "NONE"), (AP$72-AP67)/($AI$72-$AI67)*($AI68-$AI67)+AP67), (AP$72-AP67)/($AI$72-$AI67)*($AI68-$AI67)+AP67)
        )
      )
    )
  ), 0)</f>
        <v>3254</v>
      </c>
    </row>
    <row r="69" spans="33:42">
      <c r="AI69" s="3">
        <v>2057</v>
      </c>
      <c r="AJ69" s="104" cm="1">
        <f t="array" ref="AJ69">ROUND(
  IF(AND(AJ$1="Ensign", $AI69&gt;=2021, $AI69&lt;=2024),
    _xlfn.XLOOKUP($AI69, Ensign!$A$2:$A$12, Ensign!$B$2:$B$12),
    _xlfn.XLOOKUP($AI69, 'Historic (IPEDS &amp; 2019 RTP)'!$A:$A, _xlfn.XLOOKUP(AJ$1, 'Historic (IPEDS &amp; 2019 RTP)'!$A$1:$H$1, 'Historic (IPEDS &amp; 2019 RTP)'!$A:$H),
      IFERROR(_xlfn.XLOOKUP($AI69, 'USHE Historic'!$A$3:$A$13, _xlfn.XLOOKUP(AJ$1, 'USHE Historic'!$A$2:$E$2, 'USHE Historic'!$A$3:$E$13)),
        _xlfn.IFS(
          AJ$1="BYU", IFERROR(_xlfn.XLOOKUP($AI69, 'MAG College Enrollment Forecast'!$A:$A, 'MAG College Enrollment Forecast'!$B:$B), (AJ$72-AJ68)/($AI$72-$AI68)*($AI69-$AI68)+AJ68),
          AJ$1="UVU", IFERROR(_xlfn.XLOOKUP($AI69, 'MAG College Enrollment Forecast'!$A:$A, 'MAG College Enrollment Forecast'!$C:$C+'MAG College Enrollment Forecast'!$D:$D+'MAG College Enrollment Forecast'!$E:$E+'MAG College Enrollment Forecast'!$F:$F+'MAG College Enrollment Forecast'!$G:$G+'MAG College Enrollment Forecast'!$H:$H), (AJ$72-AJ68)/($AI$72-$AI68)*($AI69-$AI68)+AJ68),
          TRUE, IFERROR(_xlfn.XLOOKUP($AI69, 'USHE Projections'!$A:$A, IFERROR(_xlfn.XLOOKUP(AJ$1, 'USHE Projections'!$A$1:$E$1, 'USHE Projections'!$A:$E), "NONE"), (AJ$72-AJ68)/($AI$72-$AI68)*($AI69-$AI68)+AJ68), (AJ$72-AJ68)/($AI$72-$AI68)*($AI69-$AI68)+AJ68)
        )
      )
    )
  ), 0)</f>
        <v>46093</v>
      </c>
      <c r="AK69" s="104" cm="1">
        <f t="array" ref="AK69">ROUND(
  IF(AND(AK$1="Ensign", $AI69&gt;=2021, $AI69&lt;=2024),
    _xlfn.XLOOKUP($AI69, Ensign!$A$2:$A$12, Ensign!$B$2:$B$12),
    _xlfn.XLOOKUP($AI69, 'Historic (IPEDS &amp; 2019 RTP)'!$A:$A, _xlfn.XLOOKUP(AK$1, 'Historic (IPEDS &amp; 2019 RTP)'!$A$1:$H$1, 'Historic (IPEDS &amp; 2019 RTP)'!$A:$H),
      IFERROR(_xlfn.XLOOKUP($AI69, 'USHE Historic'!$A$3:$A$13, _xlfn.XLOOKUP(AK$1, 'USHE Historic'!$A$2:$E$2, 'USHE Historic'!$A$3:$E$13)),
        _xlfn.IFS(
          AK$1="BYU", IFERROR(_xlfn.XLOOKUP($AI69, 'MAG College Enrollment Forecast'!$A:$A, 'MAG College Enrollment Forecast'!$B:$B), (AK$72-AK68)/($AI$72-$AI68)*($AI69-$AI68)+AK68),
          AK$1="UVU", IFERROR(_xlfn.XLOOKUP($AI69, 'MAG College Enrollment Forecast'!$A:$A, 'MAG College Enrollment Forecast'!$C:$C+'MAG College Enrollment Forecast'!$D:$D+'MAG College Enrollment Forecast'!$E:$E+'MAG College Enrollment Forecast'!$F:$F+'MAG College Enrollment Forecast'!$G:$G+'MAG College Enrollment Forecast'!$H:$H), (AK$72-AK68)/($AI$72-$AI68)*($AI69-$AI68)+AK68),
          TRUE, IFERROR(_xlfn.XLOOKUP($AI69, 'USHE Projections'!$A:$A, IFERROR(_xlfn.XLOOKUP(AK$1, 'USHE Projections'!$A$1:$E$1, 'USHE Projections'!$A:$E), "NONE"), (AK$72-AK68)/($AI$72-$AI68)*($AI69-$AI68)+AK68), (AK$72-AK68)/($AI$72-$AI68)*($AI69-$AI68)+AK68)
        )
      )
    )
  ), 0)</f>
        <v>46601</v>
      </c>
      <c r="AL69" s="35" cm="1">
        <f t="array" ref="AL69">ROUND(
  IF(AND(AL$1="Ensign", $AI69&gt;=2021, $AI69&lt;=2024),
    _xlfn.XLOOKUP($AI69, Ensign!$A$2:$A$12, Ensign!$B$2:$B$12),
    _xlfn.XLOOKUP($AI69, 'Historic (IPEDS &amp; 2019 RTP)'!$A:$A, _xlfn.XLOOKUP(AL$1, 'Historic (IPEDS &amp; 2019 RTP)'!$A$1:$H$1, 'Historic (IPEDS &amp; 2019 RTP)'!$A:$H),
      IFERROR(_xlfn.XLOOKUP($AI69, 'USHE Historic'!$A$3:$A$13, _xlfn.XLOOKUP(AL$1, 'USHE Historic'!$A$2:$E$2, 'USHE Historic'!$A$3:$E$13)),
        _xlfn.IFS(
          AL$1="BYU", IFERROR(_xlfn.XLOOKUP($AI69, 'MAG College Enrollment Forecast'!$A:$A, 'MAG College Enrollment Forecast'!$B:$B), (AL$72-AL68)/($AI$72-$AI68)*($AI69-$AI68)+AL68),
          AL$1="UVU", IFERROR(_xlfn.XLOOKUP($AI69, 'MAG College Enrollment Forecast'!$A:$A, 'MAG College Enrollment Forecast'!$C:$C+'MAG College Enrollment Forecast'!$D:$D+'MAG College Enrollment Forecast'!$E:$E+'MAG College Enrollment Forecast'!$F:$F+'MAG College Enrollment Forecast'!$G:$G+'MAG College Enrollment Forecast'!$H:$H), (AL$72-AL68)/($AI$72-$AI68)*($AI69-$AI68)+AL68),
          TRUE, IFERROR(_xlfn.XLOOKUP($AI69, 'USHE Projections'!$A:$A, IFERROR(_xlfn.XLOOKUP(AL$1, 'USHE Projections'!$A$1:$E$1, 'USHE Projections'!$A:$E), "NONE"), (AL$72-AL68)/($AI$72-$AI68)*($AI69-$AI68)+AL68), (AL$72-AL68)/($AI$72-$AI68)*($AI69-$AI68)+AL68)
        )
      )
    )
  ), 0)</f>
        <v>78431</v>
      </c>
      <c r="AM69" s="104" cm="1">
        <f t="array" ref="AM69">ROUND(
  IF(AND(AM$1="Ensign", $AI69&gt;=2021, $AI69&lt;=2024),
    _xlfn.XLOOKUP($AI69, Ensign!$A$2:$A$12, Ensign!$B$2:$B$12),
    _xlfn.XLOOKUP($AI69, 'Historic (IPEDS &amp; 2019 RTP)'!$A:$A, _xlfn.XLOOKUP(AM$1, 'Historic (IPEDS &amp; 2019 RTP)'!$A$1:$H$1, 'Historic (IPEDS &amp; 2019 RTP)'!$A:$H),
      IFERROR(_xlfn.XLOOKUP($AI69, 'USHE Historic'!$A$3:$A$13, _xlfn.XLOOKUP(AM$1, 'USHE Historic'!$A$2:$E$2, 'USHE Historic'!$A$3:$E$13)),
        _xlfn.IFS(
          AM$1="BYU", IFERROR(_xlfn.XLOOKUP($AI69, 'MAG College Enrollment Forecast'!$A:$A, 'MAG College Enrollment Forecast'!$B:$B), (AM$72-AM68)/($AI$72-$AI68)*($AI69-$AI68)+AM68),
          AM$1="UVU", IFERROR(_xlfn.XLOOKUP($AI69, 'MAG College Enrollment Forecast'!$A:$A, 'MAG College Enrollment Forecast'!$C:$C+'MAG College Enrollment Forecast'!$D:$D+'MAG College Enrollment Forecast'!$E:$E+'MAG College Enrollment Forecast'!$F:$F+'MAG College Enrollment Forecast'!$G:$G+'MAG College Enrollment Forecast'!$H:$H), (AM$72-AM68)/($AI$72-$AI68)*($AI69-$AI68)+AM68),
          TRUE, IFERROR(_xlfn.XLOOKUP($AI69, 'USHE Projections'!$A:$A, IFERROR(_xlfn.XLOOKUP(AM$1, 'USHE Projections'!$A$1:$E$1, 'USHE Projections'!$A:$E), "NONE"), (AM$72-AM68)/($AI$72-$AI68)*($AI69-$AI68)+AM68), (AM$72-AM68)/($AI$72-$AI68)*($AI69-$AI68)+AM68)
        )
      )
    )
  ), 0)</f>
        <v>41991</v>
      </c>
      <c r="AN69" s="35" cm="1">
        <f t="array" ref="AN69">ROUND(
  IF(AND(AN$1="Ensign", $AI69&gt;=2021, $AI69&lt;=2024),
    _xlfn.XLOOKUP($AI69, Ensign!$A$2:$A$12, Ensign!$B$2:$B$12),
    _xlfn.XLOOKUP($AI69, 'Historic (IPEDS &amp; 2019 RTP)'!$A:$A, _xlfn.XLOOKUP(AN$1, 'Historic (IPEDS &amp; 2019 RTP)'!$A$1:$H$1, 'Historic (IPEDS &amp; 2019 RTP)'!$A:$H),
      IFERROR(_xlfn.XLOOKUP($AI69, 'USHE Historic'!$A$3:$A$13, _xlfn.XLOOKUP(AN$1, 'USHE Historic'!$A$2:$E$2, 'USHE Historic'!$A$3:$E$13)),
        _xlfn.IFS(
          AN$1="BYU", IFERROR(_xlfn.XLOOKUP($AI69, 'MAG College Enrollment Forecast'!$A:$A, 'MAG College Enrollment Forecast'!$B:$B), (AN$72-AN68)/($AI$72-$AI68)*($AI69-$AI68)+AN68),
          AN$1="UVU", IFERROR(_xlfn.XLOOKUP($AI69, 'MAG College Enrollment Forecast'!$A:$A, 'MAG College Enrollment Forecast'!$C:$C+'MAG College Enrollment Forecast'!$D:$D+'MAG College Enrollment Forecast'!$E:$E+'MAG College Enrollment Forecast'!$F:$F+'MAG College Enrollment Forecast'!$G:$G+'MAG College Enrollment Forecast'!$H:$H), (AN$72-AN68)/($AI$72-$AI68)*($AI69-$AI68)+AN68),
          TRUE, IFERROR(_xlfn.XLOOKUP($AI69, 'USHE Projections'!$A:$A, IFERROR(_xlfn.XLOOKUP(AN$1, 'USHE Projections'!$A$1:$E$1, 'USHE Projections'!$A:$E), "NONE"), (AN$72-AN68)/($AI$72-$AI68)*($AI69-$AI68)+AN68), (AN$72-AN68)/($AI$72-$AI68)*($AI69-$AI68)+AN68)
        )
      )
    )
  ), 0)</f>
        <v>39315</v>
      </c>
      <c r="AO69" s="104" cm="1">
        <f t="array" ref="AO69">ROUND(
  IF(AND(AO$1="Ensign", $AI69&gt;=2021, $AI69&lt;=2024),
    _xlfn.XLOOKUP($AI69, Ensign!$A$2:$A$12, Ensign!$B$2:$B$12),
    _xlfn.XLOOKUP($AI69, 'Historic (IPEDS &amp; 2019 RTP)'!$A:$A, _xlfn.XLOOKUP(AO$1, 'Historic (IPEDS &amp; 2019 RTP)'!$A$1:$H$1, 'Historic (IPEDS &amp; 2019 RTP)'!$A:$H),
      IFERROR(_xlfn.XLOOKUP($AI69, 'USHE Historic'!$A$3:$A$13, _xlfn.XLOOKUP(AO$1, 'USHE Historic'!$A$2:$E$2, 'USHE Historic'!$A$3:$E$13)),
        _xlfn.IFS(
          AO$1="BYU", IFERROR(_xlfn.XLOOKUP($AI69, 'MAG College Enrollment Forecast'!$A:$A, 'MAG College Enrollment Forecast'!$B:$B), (AO$72-AO68)/($AI$72-$AI68)*($AI69-$AI68)+AO68),
          AO$1="UVU", IFERROR(_xlfn.XLOOKUP($AI69, 'MAG College Enrollment Forecast'!$A:$A, 'MAG College Enrollment Forecast'!$C:$C+'MAG College Enrollment Forecast'!$D:$D+'MAG College Enrollment Forecast'!$E:$E+'MAG College Enrollment Forecast'!$F:$F+'MAG College Enrollment Forecast'!$G:$G+'MAG College Enrollment Forecast'!$H:$H), (AO$72-AO68)/($AI$72-$AI68)*($AI69-$AI68)+AO68),
          TRUE, IFERROR(_xlfn.XLOOKUP($AI69, 'USHE Projections'!$A:$A, IFERROR(_xlfn.XLOOKUP(AO$1, 'USHE Projections'!$A$1:$E$1, 'USHE Projections'!$A:$E), "NONE"), (AO$72-AO68)/($AI$72-$AI68)*($AI69-$AI68)+AO68), (AO$72-AO68)/($AI$72-$AI68)*($AI69-$AI68)+AO68)
        )
      )
    )
  ), 0)</f>
        <v>3094</v>
      </c>
      <c r="AP69" s="104" cm="1">
        <f t="array" ref="AP69">ROUND(
  IF(AND(AP$1="Ensign", $AI69&gt;=2021, $AI69&lt;=2024),
    _xlfn.XLOOKUP($AI69, Ensign!$A$2:$A$12, Ensign!$B$2:$B$12),
    _xlfn.XLOOKUP($AI69, 'Historic (IPEDS &amp; 2019 RTP)'!$A:$A, _xlfn.XLOOKUP(AP$1, 'Historic (IPEDS &amp; 2019 RTP)'!$A$1:$H$1, 'Historic (IPEDS &amp; 2019 RTP)'!$A:$H),
      IFERROR(_xlfn.XLOOKUP($AI69, 'USHE Historic'!$A$3:$A$13, _xlfn.XLOOKUP(AP$1, 'USHE Historic'!$A$2:$E$2, 'USHE Historic'!$A$3:$E$13)),
        _xlfn.IFS(
          AP$1="BYU", IFERROR(_xlfn.XLOOKUP($AI69, 'MAG College Enrollment Forecast'!$A:$A, 'MAG College Enrollment Forecast'!$B:$B), (AP$72-AP68)/($AI$72-$AI68)*($AI69-$AI68)+AP68),
          AP$1="UVU", IFERROR(_xlfn.XLOOKUP($AI69, 'MAG College Enrollment Forecast'!$A:$A, 'MAG College Enrollment Forecast'!$C:$C+'MAG College Enrollment Forecast'!$D:$D+'MAG College Enrollment Forecast'!$E:$E+'MAG College Enrollment Forecast'!$F:$F+'MAG College Enrollment Forecast'!$G:$G+'MAG College Enrollment Forecast'!$H:$H), (AP$72-AP68)/($AI$72-$AI68)*($AI69-$AI68)+AP68),
          TRUE, IFERROR(_xlfn.XLOOKUP($AI69, 'USHE Projections'!$A:$A, IFERROR(_xlfn.XLOOKUP(AP$1, 'USHE Projections'!$A$1:$E$1, 'USHE Projections'!$A:$E), "NONE"), (AP$72-AP68)/($AI$72-$AI68)*($AI69-$AI68)+AP68), (AP$72-AP68)/($AI$72-$AI68)*($AI69-$AI68)+AP68)
        )
      )
    )
  ), 0)</f>
        <v>3316</v>
      </c>
    </row>
    <row r="70" spans="33:42">
      <c r="AI70" s="3">
        <v>2058</v>
      </c>
      <c r="AJ70" s="104" cm="1">
        <f t="array" ref="AJ70">ROUND(
  IF(AND(AJ$1="Ensign", $AI70&gt;=2021, $AI70&lt;=2024),
    _xlfn.XLOOKUP($AI70, Ensign!$A$2:$A$12, Ensign!$B$2:$B$12),
    _xlfn.XLOOKUP($AI70, 'Historic (IPEDS &amp; 2019 RTP)'!$A:$A, _xlfn.XLOOKUP(AJ$1, 'Historic (IPEDS &amp; 2019 RTP)'!$A$1:$H$1, 'Historic (IPEDS &amp; 2019 RTP)'!$A:$H),
      IFERROR(_xlfn.XLOOKUP($AI70, 'USHE Historic'!$A$3:$A$13, _xlfn.XLOOKUP(AJ$1, 'USHE Historic'!$A$2:$E$2, 'USHE Historic'!$A$3:$E$13)),
        _xlfn.IFS(
          AJ$1="BYU", IFERROR(_xlfn.XLOOKUP($AI70, 'MAG College Enrollment Forecast'!$A:$A, 'MAG College Enrollment Forecast'!$B:$B), (AJ$72-AJ69)/($AI$72-$AI69)*($AI70-$AI69)+AJ69),
          AJ$1="UVU", IFERROR(_xlfn.XLOOKUP($AI70, 'MAG College Enrollment Forecast'!$A:$A, 'MAG College Enrollment Forecast'!$C:$C+'MAG College Enrollment Forecast'!$D:$D+'MAG College Enrollment Forecast'!$E:$E+'MAG College Enrollment Forecast'!$F:$F+'MAG College Enrollment Forecast'!$G:$G+'MAG College Enrollment Forecast'!$H:$H), (AJ$72-AJ69)/($AI$72-$AI69)*($AI70-$AI69)+AJ69),
          TRUE, IFERROR(_xlfn.XLOOKUP($AI70, 'USHE Projections'!$A:$A, IFERROR(_xlfn.XLOOKUP(AJ$1, 'USHE Projections'!$A$1:$E$1, 'USHE Projections'!$A:$E), "NONE"), (AJ$72-AJ69)/($AI$72-$AI69)*($AI70-$AI69)+AJ69), (AJ$72-AJ69)/($AI$72-$AI69)*($AI70-$AI69)+AJ69)
        )
      )
    )
  ), 0)</f>
        <v>46395</v>
      </c>
      <c r="AK70" s="104" cm="1">
        <f t="array" ref="AK70">ROUND(
  IF(AND(AK$1="Ensign", $AI70&gt;=2021, $AI70&lt;=2024),
    _xlfn.XLOOKUP($AI70, Ensign!$A$2:$A$12, Ensign!$B$2:$B$12),
    _xlfn.XLOOKUP($AI70, 'Historic (IPEDS &amp; 2019 RTP)'!$A:$A, _xlfn.XLOOKUP(AK$1, 'Historic (IPEDS &amp; 2019 RTP)'!$A$1:$H$1, 'Historic (IPEDS &amp; 2019 RTP)'!$A:$H),
      IFERROR(_xlfn.XLOOKUP($AI70, 'USHE Historic'!$A$3:$A$13, _xlfn.XLOOKUP(AK$1, 'USHE Historic'!$A$2:$E$2, 'USHE Historic'!$A$3:$E$13)),
        _xlfn.IFS(
          AK$1="BYU", IFERROR(_xlfn.XLOOKUP($AI70, 'MAG College Enrollment Forecast'!$A:$A, 'MAG College Enrollment Forecast'!$B:$B), (AK$72-AK69)/($AI$72-$AI69)*($AI70-$AI69)+AK69),
          AK$1="UVU", IFERROR(_xlfn.XLOOKUP($AI70, 'MAG College Enrollment Forecast'!$A:$A, 'MAG College Enrollment Forecast'!$C:$C+'MAG College Enrollment Forecast'!$D:$D+'MAG College Enrollment Forecast'!$E:$E+'MAG College Enrollment Forecast'!$F:$F+'MAG College Enrollment Forecast'!$G:$G+'MAG College Enrollment Forecast'!$H:$H), (AK$72-AK69)/($AI$72-$AI69)*($AI70-$AI69)+AK69),
          TRUE, IFERROR(_xlfn.XLOOKUP($AI70, 'USHE Projections'!$A:$A, IFERROR(_xlfn.XLOOKUP(AK$1, 'USHE Projections'!$A$1:$E$1, 'USHE Projections'!$A:$E), "NONE"), (AK$72-AK69)/($AI$72-$AI69)*($AI70-$AI69)+AK69), (AK$72-AK69)/($AI$72-$AI69)*($AI70-$AI69)+AK69)
        )
      )
    )
  ), 0)</f>
        <v>47067</v>
      </c>
      <c r="AL70" s="35" cm="1">
        <f t="array" ref="AL70">ROUND(
  IF(AND(AL$1="Ensign", $AI70&gt;=2021, $AI70&lt;=2024),
    _xlfn.XLOOKUP($AI70, Ensign!$A$2:$A$12, Ensign!$B$2:$B$12),
    _xlfn.XLOOKUP($AI70, 'Historic (IPEDS &amp; 2019 RTP)'!$A:$A, _xlfn.XLOOKUP(AL$1, 'Historic (IPEDS &amp; 2019 RTP)'!$A$1:$H$1, 'Historic (IPEDS &amp; 2019 RTP)'!$A:$H),
      IFERROR(_xlfn.XLOOKUP($AI70, 'USHE Historic'!$A$3:$A$13, _xlfn.XLOOKUP(AL$1, 'USHE Historic'!$A$2:$E$2, 'USHE Historic'!$A$3:$E$13)),
        _xlfn.IFS(
          AL$1="BYU", IFERROR(_xlfn.XLOOKUP($AI70, 'MAG College Enrollment Forecast'!$A:$A, 'MAG College Enrollment Forecast'!$B:$B), (AL$72-AL69)/($AI$72-$AI69)*($AI70-$AI69)+AL69),
          AL$1="UVU", IFERROR(_xlfn.XLOOKUP($AI70, 'MAG College Enrollment Forecast'!$A:$A, 'MAG College Enrollment Forecast'!$C:$C+'MAG College Enrollment Forecast'!$D:$D+'MAG College Enrollment Forecast'!$E:$E+'MAG College Enrollment Forecast'!$F:$F+'MAG College Enrollment Forecast'!$G:$G+'MAG College Enrollment Forecast'!$H:$H), (AL$72-AL69)/($AI$72-$AI69)*($AI70-$AI69)+AL69),
          TRUE, IFERROR(_xlfn.XLOOKUP($AI70, 'USHE Projections'!$A:$A, IFERROR(_xlfn.XLOOKUP(AL$1, 'USHE Projections'!$A$1:$E$1, 'USHE Projections'!$A:$E), "NONE"), (AL$72-AL69)/($AI$72-$AI69)*($AI70-$AI69)+AL69), (AL$72-AL69)/($AI$72-$AI69)*($AI70-$AI69)+AL69)
        )
      )
    )
  ), 0)</f>
        <v>78431</v>
      </c>
      <c r="AM70" s="104" cm="1">
        <f t="array" ref="AM70">ROUND(
  IF(AND(AM$1="Ensign", $AI70&gt;=2021, $AI70&lt;=2024),
    _xlfn.XLOOKUP($AI70, Ensign!$A$2:$A$12, Ensign!$B$2:$B$12),
    _xlfn.XLOOKUP($AI70, 'Historic (IPEDS &amp; 2019 RTP)'!$A:$A, _xlfn.XLOOKUP(AM$1, 'Historic (IPEDS &amp; 2019 RTP)'!$A$1:$H$1, 'Historic (IPEDS &amp; 2019 RTP)'!$A:$H),
      IFERROR(_xlfn.XLOOKUP($AI70, 'USHE Historic'!$A$3:$A$13, _xlfn.XLOOKUP(AM$1, 'USHE Historic'!$A$2:$E$2, 'USHE Historic'!$A$3:$E$13)),
        _xlfn.IFS(
          AM$1="BYU", IFERROR(_xlfn.XLOOKUP($AI70, 'MAG College Enrollment Forecast'!$A:$A, 'MAG College Enrollment Forecast'!$B:$B), (AM$72-AM69)/($AI$72-$AI69)*($AI70-$AI69)+AM69),
          AM$1="UVU", IFERROR(_xlfn.XLOOKUP($AI70, 'MAG College Enrollment Forecast'!$A:$A, 'MAG College Enrollment Forecast'!$C:$C+'MAG College Enrollment Forecast'!$D:$D+'MAG College Enrollment Forecast'!$E:$E+'MAG College Enrollment Forecast'!$F:$F+'MAG College Enrollment Forecast'!$G:$G+'MAG College Enrollment Forecast'!$H:$H), (AM$72-AM69)/($AI$72-$AI69)*($AI70-$AI69)+AM69),
          TRUE, IFERROR(_xlfn.XLOOKUP($AI70, 'USHE Projections'!$A:$A, IFERROR(_xlfn.XLOOKUP(AM$1, 'USHE Projections'!$A$1:$E$1, 'USHE Projections'!$A:$E), "NONE"), (AM$72-AM69)/($AI$72-$AI69)*($AI70-$AI69)+AM69), (AM$72-AM69)/($AI$72-$AI69)*($AI70-$AI69)+AM69)
        )
      )
    )
  ), 0)</f>
        <v>42327</v>
      </c>
      <c r="AN70" s="35" cm="1">
        <f t="array" ref="AN70">ROUND(
  IF(AND(AN$1="Ensign", $AI70&gt;=2021, $AI70&lt;=2024),
    _xlfn.XLOOKUP($AI70, Ensign!$A$2:$A$12, Ensign!$B$2:$B$12),
    _xlfn.XLOOKUP($AI70, 'Historic (IPEDS &amp; 2019 RTP)'!$A:$A, _xlfn.XLOOKUP(AN$1, 'Historic (IPEDS &amp; 2019 RTP)'!$A$1:$H$1, 'Historic (IPEDS &amp; 2019 RTP)'!$A:$H),
      IFERROR(_xlfn.XLOOKUP($AI70, 'USHE Historic'!$A$3:$A$13, _xlfn.XLOOKUP(AN$1, 'USHE Historic'!$A$2:$E$2, 'USHE Historic'!$A$3:$E$13)),
        _xlfn.IFS(
          AN$1="BYU", IFERROR(_xlfn.XLOOKUP($AI70, 'MAG College Enrollment Forecast'!$A:$A, 'MAG College Enrollment Forecast'!$B:$B), (AN$72-AN69)/($AI$72-$AI69)*($AI70-$AI69)+AN69),
          AN$1="UVU", IFERROR(_xlfn.XLOOKUP($AI70, 'MAG College Enrollment Forecast'!$A:$A, 'MAG College Enrollment Forecast'!$C:$C+'MAG College Enrollment Forecast'!$D:$D+'MAG College Enrollment Forecast'!$E:$E+'MAG College Enrollment Forecast'!$F:$F+'MAG College Enrollment Forecast'!$G:$G+'MAG College Enrollment Forecast'!$H:$H), (AN$72-AN69)/($AI$72-$AI69)*($AI70-$AI69)+AN69),
          TRUE, IFERROR(_xlfn.XLOOKUP($AI70, 'USHE Projections'!$A:$A, IFERROR(_xlfn.XLOOKUP(AN$1, 'USHE Projections'!$A$1:$E$1, 'USHE Projections'!$A:$E), "NONE"), (AN$72-AN69)/($AI$72-$AI69)*($AI70-$AI69)+AN69), (AN$72-AN69)/($AI$72-$AI69)*($AI70-$AI69)+AN69)
        )
      )
    )
  ), 0)</f>
        <v>39315</v>
      </c>
      <c r="AO70" s="104" cm="1">
        <f t="array" ref="AO70">ROUND(
  IF(AND(AO$1="Ensign", $AI70&gt;=2021, $AI70&lt;=2024),
    _xlfn.XLOOKUP($AI70, Ensign!$A$2:$A$12, Ensign!$B$2:$B$12),
    _xlfn.XLOOKUP($AI70, 'Historic (IPEDS &amp; 2019 RTP)'!$A:$A, _xlfn.XLOOKUP(AO$1, 'Historic (IPEDS &amp; 2019 RTP)'!$A$1:$H$1, 'Historic (IPEDS &amp; 2019 RTP)'!$A:$H),
      IFERROR(_xlfn.XLOOKUP($AI70, 'USHE Historic'!$A$3:$A$13, _xlfn.XLOOKUP(AO$1, 'USHE Historic'!$A$2:$E$2, 'USHE Historic'!$A$3:$E$13)),
        _xlfn.IFS(
          AO$1="BYU", IFERROR(_xlfn.XLOOKUP($AI70, 'MAG College Enrollment Forecast'!$A:$A, 'MAG College Enrollment Forecast'!$B:$B), (AO$72-AO69)/($AI$72-$AI69)*($AI70-$AI69)+AO69),
          AO$1="UVU", IFERROR(_xlfn.XLOOKUP($AI70, 'MAG College Enrollment Forecast'!$A:$A, 'MAG College Enrollment Forecast'!$C:$C+'MAG College Enrollment Forecast'!$D:$D+'MAG College Enrollment Forecast'!$E:$E+'MAG College Enrollment Forecast'!$F:$F+'MAG College Enrollment Forecast'!$G:$G+'MAG College Enrollment Forecast'!$H:$H), (AO$72-AO69)/($AI$72-$AI69)*($AI70-$AI69)+AO69),
          TRUE, IFERROR(_xlfn.XLOOKUP($AI70, 'USHE Projections'!$A:$A, IFERROR(_xlfn.XLOOKUP(AO$1, 'USHE Projections'!$A$1:$E$1, 'USHE Projections'!$A:$E), "NONE"), (AO$72-AO69)/($AI$72-$AI69)*($AI70-$AI69)+AO69), (AO$72-AO69)/($AI$72-$AI69)*($AI70-$AI69)+AO69)
        )
      )
    )
  ), 0)</f>
        <v>3129</v>
      </c>
      <c r="AP70" s="104" cm="1">
        <f t="array" ref="AP70">ROUND(
  IF(AND(AP$1="Ensign", $AI70&gt;=2021, $AI70&lt;=2024),
    _xlfn.XLOOKUP($AI70, Ensign!$A$2:$A$12, Ensign!$B$2:$B$12),
    _xlfn.XLOOKUP($AI70, 'Historic (IPEDS &amp; 2019 RTP)'!$A:$A, _xlfn.XLOOKUP(AP$1, 'Historic (IPEDS &amp; 2019 RTP)'!$A$1:$H$1, 'Historic (IPEDS &amp; 2019 RTP)'!$A:$H),
      IFERROR(_xlfn.XLOOKUP($AI70, 'USHE Historic'!$A$3:$A$13, _xlfn.XLOOKUP(AP$1, 'USHE Historic'!$A$2:$E$2, 'USHE Historic'!$A$3:$E$13)),
        _xlfn.IFS(
          AP$1="BYU", IFERROR(_xlfn.XLOOKUP($AI70, 'MAG College Enrollment Forecast'!$A:$A, 'MAG College Enrollment Forecast'!$B:$B), (AP$72-AP69)/($AI$72-$AI69)*($AI70-$AI69)+AP69),
          AP$1="UVU", IFERROR(_xlfn.XLOOKUP($AI70, 'MAG College Enrollment Forecast'!$A:$A, 'MAG College Enrollment Forecast'!$C:$C+'MAG College Enrollment Forecast'!$D:$D+'MAG College Enrollment Forecast'!$E:$E+'MAG College Enrollment Forecast'!$F:$F+'MAG College Enrollment Forecast'!$G:$G+'MAG College Enrollment Forecast'!$H:$H), (AP$72-AP69)/($AI$72-$AI69)*($AI70-$AI69)+AP69),
          TRUE, IFERROR(_xlfn.XLOOKUP($AI70, 'USHE Projections'!$A:$A, IFERROR(_xlfn.XLOOKUP(AP$1, 'USHE Projections'!$A$1:$E$1, 'USHE Projections'!$A:$E), "NONE"), (AP$72-AP69)/($AI$72-$AI69)*($AI70-$AI69)+AP69), (AP$72-AP69)/($AI$72-$AI69)*($AI70-$AI69)+AP69)
        )
      )
    )
  ), 0)</f>
        <v>3377</v>
      </c>
    </row>
    <row r="71" spans="33:42">
      <c r="AI71" s="3">
        <v>2059</v>
      </c>
      <c r="AJ71" s="104" cm="1">
        <f t="array" ref="AJ71">ROUND(
  IF(AND(AJ$1="Ensign", $AI71&gt;=2021, $AI71&lt;=2024),
    _xlfn.XLOOKUP($AI71, Ensign!$A$2:$A$12, Ensign!$B$2:$B$12),
    _xlfn.XLOOKUP($AI71, 'Historic (IPEDS &amp; 2019 RTP)'!$A:$A, _xlfn.XLOOKUP(AJ$1, 'Historic (IPEDS &amp; 2019 RTP)'!$A$1:$H$1, 'Historic (IPEDS &amp; 2019 RTP)'!$A:$H),
      IFERROR(_xlfn.XLOOKUP($AI71, 'USHE Historic'!$A$3:$A$13, _xlfn.XLOOKUP(AJ$1, 'USHE Historic'!$A$2:$E$2, 'USHE Historic'!$A$3:$E$13)),
        _xlfn.IFS(
          AJ$1="BYU", IFERROR(_xlfn.XLOOKUP($AI71, 'MAG College Enrollment Forecast'!$A:$A, 'MAG College Enrollment Forecast'!$B:$B), (AJ$72-AJ70)/($AI$72-$AI70)*($AI71-$AI70)+AJ70),
          AJ$1="UVU", IFERROR(_xlfn.XLOOKUP($AI71, 'MAG College Enrollment Forecast'!$A:$A, 'MAG College Enrollment Forecast'!$C:$C+'MAG College Enrollment Forecast'!$D:$D+'MAG College Enrollment Forecast'!$E:$E+'MAG College Enrollment Forecast'!$F:$F+'MAG College Enrollment Forecast'!$G:$G+'MAG College Enrollment Forecast'!$H:$H), (AJ$72-AJ70)/($AI$72-$AI70)*($AI71-$AI70)+AJ70),
          TRUE, IFERROR(_xlfn.XLOOKUP($AI71, 'USHE Projections'!$A:$A, IFERROR(_xlfn.XLOOKUP(AJ$1, 'USHE Projections'!$A$1:$E$1, 'USHE Projections'!$A:$E), "NONE"), (AJ$72-AJ70)/($AI$72-$AI70)*($AI71-$AI70)+AJ70), (AJ$72-AJ70)/($AI$72-$AI70)*($AI71-$AI70)+AJ70)
        )
      )
    )
  ), 0)</f>
        <v>46698</v>
      </c>
      <c r="AK71" s="104" cm="1">
        <f t="array" ref="AK71">ROUND(
  IF(AND(AK$1="Ensign", $AI71&gt;=2021, $AI71&lt;=2024),
    _xlfn.XLOOKUP($AI71, Ensign!$A$2:$A$12, Ensign!$B$2:$B$12),
    _xlfn.XLOOKUP($AI71, 'Historic (IPEDS &amp; 2019 RTP)'!$A:$A, _xlfn.XLOOKUP(AK$1, 'Historic (IPEDS &amp; 2019 RTP)'!$A$1:$H$1, 'Historic (IPEDS &amp; 2019 RTP)'!$A:$H),
      IFERROR(_xlfn.XLOOKUP($AI71, 'USHE Historic'!$A$3:$A$13, _xlfn.XLOOKUP(AK$1, 'USHE Historic'!$A$2:$E$2, 'USHE Historic'!$A$3:$E$13)),
        _xlfn.IFS(
          AK$1="BYU", IFERROR(_xlfn.XLOOKUP($AI71, 'MAG College Enrollment Forecast'!$A:$A, 'MAG College Enrollment Forecast'!$B:$B), (AK$72-AK70)/($AI$72-$AI70)*($AI71-$AI70)+AK70),
          AK$1="UVU", IFERROR(_xlfn.XLOOKUP($AI71, 'MAG College Enrollment Forecast'!$A:$A, 'MAG College Enrollment Forecast'!$C:$C+'MAG College Enrollment Forecast'!$D:$D+'MAG College Enrollment Forecast'!$E:$E+'MAG College Enrollment Forecast'!$F:$F+'MAG College Enrollment Forecast'!$G:$G+'MAG College Enrollment Forecast'!$H:$H), (AK$72-AK70)/($AI$72-$AI70)*($AI71-$AI70)+AK70),
          TRUE, IFERROR(_xlfn.XLOOKUP($AI71, 'USHE Projections'!$A:$A, IFERROR(_xlfn.XLOOKUP(AK$1, 'USHE Projections'!$A$1:$E$1, 'USHE Projections'!$A:$E), "NONE"), (AK$72-AK70)/($AI$72-$AI70)*($AI71-$AI70)+AK70), (AK$72-AK70)/($AI$72-$AI70)*($AI71-$AI70)+AK70)
        )
      )
    )
  ), 0)</f>
        <v>47534</v>
      </c>
      <c r="AL71" s="35" cm="1">
        <f t="array" ref="AL71">ROUND(
  IF(AND(AL$1="Ensign", $AI71&gt;=2021, $AI71&lt;=2024),
    _xlfn.XLOOKUP($AI71, Ensign!$A$2:$A$12, Ensign!$B$2:$B$12),
    _xlfn.XLOOKUP($AI71, 'Historic (IPEDS &amp; 2019 RTP)'!$A:$A, _xlfn.XLOOKUP(AL$1, 'Historic (IPEDS &amp; 2019 RTP)'!$A$1:$H$1, 'Historic (IPEDS &amp; 2019 RTP)'!$A:$H),
      IFERROR(_xlfn.XLOOKUP($AI71, 'USHE Historic'!$A$3:$A$13, _xlfn.XLOOKUP(AL$1, 'USHE Historic'!$A$2:$E$2, 'USHE Historic'!$A$3:$E$13)),
        _xlfn.IFS(
          AL$1="BYU", IFERROR(_xlfn.XLOOKUP($AI71, 'MAG College Enrollment Forecast'!$A:$A, 'MAG College Enrollment Forecast'!$B:$B), (AL$72-AL70)/($AI$72-$AI70)*($AI71-$AI70)+AL70),
          AL$1="UVU", IFERROR(_xlfn.XLOOKUP($AI71, 'MAG College Enrollment Forecast'!$A:$A, 'MAG College Enrollment Forecast'!$C:$C+'MAG College Enrollment Forecast'!$D:$D+'MAG College Enrollment Forecast'!$E:$E+'MAG College Enrollment Forecast'!$F:$F+'MAG College Enrollment Forecast'!$G:$G+'MAG College Enrollment Forecast'!$H:$H), (AL$72-AL70)/($AI$72-$AI70)*($AI71-$AI70)+AL70),
          TRUE, IFERROR(_xlfn.XLOOKUP($AI71, 'USHE Projections'!$A:$A, IFERROR(_xlfn.XLOOKUP(AL$1, 'USHE Projections'!$A$1:$E$1, 'USHE Projections'!$A:$E), "NONE"), (AL$72-AL70)/($AI$72-$AI70)*($AI71-$AI70)+AL70), (AL$72-AL70)/($AI$72-$AI70)*($AI71-$AI70)+AL70)
        )
      )
    )
  ), 0)</f>
        <v>78431</v>
      </c>
      <c r="AM71" s="104" cm="1">
        <f t="array" ref="AM71">ROUND(
  IF(AND(AM$1="Ensign", $AI71&gt;=2021, $AI71&lt;=2024),
    _xlfn.XLOOKUP($AI71, Ensign!$A$2:$A$12, Ensign!$B$2:$B$12),
    _xlfn.XLOOKUP($AI71, 'Historic (IPEDS &amp; 2019 RTP)'!$A:$A, _xlfn.XLOOKUP(AM$1, 'Historic (IPEDS &amp; 2019 RTP)'!$A$1:$H$1, 'Historic (IPEDS &amp; 2019 RTP)'!$A:$H),
      IFERROR(_xlfn.XLOOKUP($AI71, 'USHE Historic'!$A$3:$A$13, _xlfn.XLOOKUP(AM$1, 'USHE Historic'!$A$2:$E$2, 'USHE Historic'!$A$3:$E$13)),
        _xlfn.IFS(
          AM$1="BYU", IFERROR(_xlfn.XLOOKUP($AI71, 'MAG College Enrollment Forecast'!$A:$A, 'MAG College Enrollment Forecast'!$B:$B), (AM$72-AM70)/($AI$72-$AI70)*($AI71-$AI70)+AM70),
          AM$1="UVU", IFERROR(_xlfn.XLOOKUP($AI71, 'MAG College Enrollment Forecast'!$A:$A, 'MAG College Enrollment Forecast'!$C:$C+'MAG College Enrollment Forecast'!$D:$D+'MAG College Enrollment Forecast'!$E:$E+'MAG College Enrollment Forecast'!$F:$F+'MAG College Enrollment Forecast'!$G:$G+'MAG College Enrollment Forecast'!$H:$H), (AM$72-AM70)/($AI$72-$AI70)*($AI71-$AI70)+AM70),
          TRUE, IFERROR(_xlfn.XLOOKUP($AI71, 'USHE Projections'!$A:$A, IFERROR(_xlfn.XLOOKUP(AM$1, 'USHE Projections'!$A$1:$E$1, 'USHE Projections'!$A:$E), "NONE"), (AM$72-AM70)/($AI$72-$AI70)*($AI71-$AI70)+AM70), (AM$72-AM70)/($AI$72-$AI70)*($AI71-$AI70)+AM70)
        )
      )
    )
  ), 0)</f>
        <v>42664</v>
      </c>
      <c r="AN71" s="35" cm="1">
        <f t="array" ref="AN71">ROUND(
  IF(AND(AN$1="Ensign", $AI71&gt;=2021, $AI71&lt;=2024),
    _xlfn.XLOOKUP($AI71, Ensign!$A$2:$A$12, Ensign!$B$2:$B$12),
    _xlfn.XLOOKUP($AI71, 'Historic (IPEDS &amp; 2019 RTP)'!$A:$A, _xlfn.XLOOKUP(AN$1, 'Historic (IPEDS &amp; 2019 RTP)'!$A$1:$H$1, 'Historic (IPEDS &amp; 2019 RTP)'!$A:$H),
      IFERROR(_xlfn.XLOOKUP($AI71, 'USHE Historic'!$A$3:$A$13, _xlfn.XLOOKUP(AN$1, 'USHE Historic'!$A$2:$E$2, 'USHE Historic'!$A$3:$E$13)),
        _xlfn.IFS(
          AN$1="BYU", IFERROR(_xlfn.XLOOKUP($AI71, 'MAG College Enrollment Forecast'!$A:$A, 'MAG College Enrollment Forecast'!$B:$B), (AN$72-AN70)/($AI$72-$AI70)*($AI71-$AI70)+AN70),
          AN$1="UVU", IFERROR(_xlfn.XLOOKUP($AI71, 'MAG College Enrollment Forecast'!$A:$A, 'MAG College Enrollment Forecast'!$C:$C+'MAG College Enrollment Forecast'!$D:$D+'MAG College Enrollment Forecast'!$E:$E+'MAG College Enrollment Forecast'!$F:$F+'MAG College Enrollment Forecast'!$G:$G+'MAG College Enrollment Forecast'!$H:$H), (AN$72-AN70)/($AI$72-$AI70)*($AI71-$AI70)+AN70),
          TRUE, IFERROR(_xlfn.XLOOKUP($AI71, 'USHE Projections'!$A:$A, IFERROR(_xlfn.XLOOKUP(AN$1, 'USHE Projections'!$A$1:$E$1, 'USHE Projections'!$A:$E), "NONE"), (AN$72-AN70)/($AI$72-$AI70)*($AI71-$AI70)+AN70), (AN$72-AN70)/($AI$72-$AI70)*($AI71-$AI70)+AN70)
        )
      )
    )
  ), 0)</f>
        <v>39315</v>
      </c>
      <c r="AO71" s="104" cm="1">
        <f t="array" ref="AO71">ROUND(
  IF(AND(AO$1="Ensign", $AI71&gt;=2021, $AI71&lt;=2024),
    _xlfn.XLOOKUP($AI71, Ensign!$A$2:$A$12, Ensign!$B$2:$B$12),
    _xlfn.XLOOKUP($AI71, 'Historic (IPEDS &amp; 2019 RTP)'!$A:$A, _xlfn.XLOOKUP(AO$1, 'Historic (IPEDS &amp; 2019 RTP)'!$A$1:$H$1, 'Historic (IPEDS &amp; 2019 RTP)'!$A:$H),
      IFERROR(_xlfn.XLOOKUP($AI71, 'USHE Historic'!$A$3:$A$13, _xlfn.XLOOKUP(AO$1, 'USHE Historic'!$A$2:$E$2, 'USHE Historic'!$A$3:$E$13)),
        _xlfn.IFS(
          AO$1="BYU", IFERROR(_xlfn.XLOOKUP($AI71, 'MAG College Enrollment Forecast'!$A:$A, 'MAG College Enrollment Forecast'!$B:$B), (AO$72-AO70)/($AI$72-$AI70)*($AI71-$AI70)+AO70),
          AO$1="UVU", IFERROR(_xlfn.XLOOKUP($AI71, 'MAG College Enrollment Forecast'!$A:$A, 'MAG College Enrollment Forecast'!$C:$C+'MAG College Enrollment Forecast'!$D:$D+'MAG College Enrollment Forecast'!$E:$E+'MAG College Enrollment Forecast'!$F:$F+'MAG College Enrollment Forecast'!$G:$G+'MAG College Enrollment Forecast'!$H:$H), (AO$72-AO70)/($AI$72-$AI70)*($AI71-$AI70)+AO70),
          TRUE, IFERROR(_xlfn.XLOOKUP($AI71, 'USHE Projections'!$A:$A, IFERROR(_xlfn.XLOOKUP(AO$1, 'USHE Projections'!$A$1:$E$1, 'USHE Projections'!$A:$E), "NONE"), (AO$72-AO70)/($AI$72-$AI70)*($AI71-$AI70)+AO70), (AO$72-AO70)/($AI$72-$AI70)*($AI71-$AI70)+AO70)
        )
      )
    )
  ), 0)</f>
        <v>3165</v>
      </c>
      <c r="AP71" s="104" cm="1">
        <f t="array" ref="AP71">ROUND(
  IF(AND(AP$1="Ensign", $AI71&gt;=2021, $AI71&lt;=2024),
    _xlfn.XLOOKUP($AI71, Ensign!$A$2:$A$12, Ensign!$B$2:$B$12),
    _xlfn.XLOOKUP($AI71, 'Historic (IPEDS &amp; 2019 RTP)'!$A:$A, _xlfn.XLOOKUP(AP$1, 'Historic (IPEDS &amp; 2019 RTP)'!$A$1:$H$1, 'Historic (IPEDS &amp; 2019 RTP)'!$A:$H),
      IFERROR(_xlfn.XLOOKUP($AI71, 'USHE Historic'!$A$3:$A$13, _xlfn.XLOOKUP(AP$1, 'USHE Historic'!$A$2:$E$2, 'USHE Historic'!$A$3:$E$13)),
        _xlfn.IFS(
          AP$1="BYU", IFERROR(_xlfn.XLOOKUP($AI71, 'MAG College Enrollment Forecast'!$A:$A, 'MAG College Enrollment Forecast'!$B:$B), (AP$72-AP70)/($AI$72-$AI70)*($AI71-$AI70)+AP70),
          AP$1="UVU", IFERROR(_xlfn.XLOOKUP($AI71, 'MAG College Enrollment Forecast'!$A:$A, 'MAG College Enrollment Forecast'!$C:$C+'MAG College Enrollment Forecast'!$D:$D+'MAG College Enrollment Forecast'!$E:$E+'MAG College Enrollment Forecast'!$F:$F+'MAG College Enrollment Forecast'!$G:$G+'MAG College Enrollment Forecast'!$H:$H), (AP$72-AP70)/($AI$72-$AI70)*($AI71-$AI70)+AP70),
          TRUE, IFERROR(_xlfn.XLOOKUP($AI71, 'USHE Projections'!$A:$A, IFERROR(_xlfn.XLOOKUP(AP$1, 'USHE Projections'!$A$1:$E$1, 'USHE Projections'!$A:$E), "NONE"), (AP$72-AP70)/($AI$72-$AI70)*($AI71-$AI70)+AP70), (AP$72-AP70)/($AI$72-$AI70)*($AI71-$AI70)+AP70)
        )
      )
    )
  ), 0)</f>
        <v>3439</v>
      </c>
    </row>
    <row r="72" spans="33:42">
      <c r="AG72" s="2" t="s">
        <v>204</v>
      </c>
      <c r="AH72" s="25" t="s">
        <v>95</v>
      </c>
      <c r="AI72" s="29">
        <v>2060</v>
      </c>
      <c r="AJ72" s="19">
        <v>47000</v>
      </c>
      <c r="AK72" s="19">
        <v>48000</v>
      </c>
      <c r="AL72" s="19">
        <v>78431</v>
      </c>
      <c r="AM72" s="19">
        <v>43000</v>
      </c>
      <c r="AN72" s="19">
        <v>39315</v>
      </c>
      <c r="AO72" s="19">
        <v>3200</v>
      </c>
      <c r="AP72" s="19">
        <v>3500</v>
      </c>
    </row>
    <row r="73" spans="33:42">
      <c r="AG73" s="2" t="s">
        <v>205</v>
      </c>
      <c r="AH73" s="28" t="s">
        <v>95</v>
      </c>
      <c r="AI73" s="30">
        <v>2050</v>
      </c>
      <c r="AJ73" s="27">
        <v>43000</v>
      </c>
      <c r="AK73" s="27">
        <v>43000</v>
      </c>
      <c r="AL73" s="27">
        <v>78431</v>
      </c>
      <c r="AM73" s="27">
        <v>40000</v>
      </c>
      <c r="AN73" s="27">
        <v>39315</v>
      </c>
      <c r="AO73" s="27">
        <v>2000</v>
      </c>
      <c r="AP73" s="27">
        <v>3000</v>
      </c>
    </row>
    <row r="74" spans="33:42">
      <c r="AG74" s="2" t="s">
        <v>206</v>
      </c>
      <c r="AH74" s="28" t="s">
        <v>95</v>
      </c>
      <c r="AI74" s="30">
        <v>2050</v>
      </c>
      <c r="AJ74" s="27">
        <v>42000</v>
      </c>
      <c r="AK74" s="27">
        <v>43000</v>
      </c>
      <c r="AL74" s="27">
        <v>67000</v>
      </c>
      <c r="AM74" s="27">
        <v>65400</v>
      </c>
      <c r="AN74" s="27">
        <v>34000</v>
      </c>
      <c r="AO74" s="27">
        <v>6300</v>
      </c>
      <c r="AP74" s="27">
        <v>3500</v>
      </c>
    </row>
    <row r="75" spans="33:42">
      <c r="AI75" s="3" t="s">
        <v>5</v>
      </c>
      <c r="AJ75" s="3" t="s">
        <v>1</v>
      </c>
      <c r="AK75" s="3" t="s">
        <v>2</v>
      </c>
      <c r="AL75" s="3" t="s">
        <v>3</v>
      </c>
      <c r="AM75" s="3" t="s">
        <v>4</v>
      </c>
      <c r="AN75" s="3" t="s">
        <v>15</v>
      </c>
      <c r="AO75" s="3" t="s">
        <v>16</v>
      </c>
      <c r="AP75" s="3" t="s">
        <v>17</v>
      </c>
    </row>
    <row r="76" spans="33:42">
      <c r="AI76" s="3">
        <v>2020</v>
      </c>
      <c r="AJ76" s="166">
        <v>33081</v>
      </c>
      <c r="AK76" s="166">
        <v>29596</v>
      </c>
      <c r="AL76" s="166">
        <v>40936</v>
      </c>
      <c r="AM76" s="166">
        <v>27293</v>
      </c>
      <c r="AN76" s="166">
        <v>36461</v>
      </c>
      <c r="AO76" s="166">
        <v>1829</v>
      </c>
      <c r="AP76" s="166">
        <v>1849</v>
      </c>
    </row>
    <row r="77" spans="33:42">
      <c r="AI77" s="3">
        <v>2021</v>
      </c>
      <c r="AJ77" s="166">
        <v>34464</v>
      </c>
      <c r="AK77" s="166">
        <v>29774</v>
      </c>
      <c r="AL77" s="166">
        <v>41262</v>
      </c>
      <c r="AM77" s="166">
        <v>27225</v>
      </c>
      <c r="AN77" s="166">
        <v>34811</v>
      </c>
      <c r="AO77" s="166">
        <v>1731</v>
      </c>
      <c r="AP77" s="166">
        <v>1535</v>
      </c>
    </row>
    <row r="78" spans="33:42">
      <c r="AI78" s="3">
        <v>2022</v>
      </c>
      <c r="AJ78" s="166">
        <v>34734</v>
      </c>
      <c r="AK78" s="166">
        <v>29914</v>
      </c>
      <c r="AL78" s="166">
        <v>43099</v>
      </c>
      <c r="AM78" s="166">
        <v>26300</v>
      </c>
      <c r="AN78" s="166">
        <v>34464</v>
      </c>
      <c r="AO78" s="166">
        <v>1618</v>
      </c>
      <c r="AP78" s="166">
        <v>1280</v>
      </c>
    </row>
    <row r="79" spans="33:42">
      <c r="AI79" s="3">
        <v>2023</v>
      </c>
      <c r="AJ79" s="166">
        <v>35260</v>
      </c>
      <c r="AK79" s="166">
        <v>30536</v>
      </c>
      <c r="AL79" s="166">
        <v>44651</v>
      </c>
      <c r="AM79" s="166">
        <v>26764</v>
      </c>
      <c r="AN79" s="166">
        <v>35074</v>
      </c>
      <c r="AO79" s="166">
        <v>1831</v>
      </c>
      <c r="AP79" s="166">
        <v>1214</v>
      </c>
    </row>
    <row r="80" spans="33:42">
      <c r="AI80" s="3">
        <v>2024</v>
      </c>
      <c r="AJ80" s="178">
        <v>36571</v>
      </c>
      <c r="AK80" s="178">
        <v>31784</v>
      </c>
      <c r="AL80" s="178">
        <v>46412</v>
      </c>
      <c r="AM80" s="178">
        <v>32552</v>
      </c>
      <c r="AN80" s="178">
        <v>36921</v>
      </c>
      <c r="AO80" s="178">
        <v>1937</v>
      </c>
      <c r="AP80" s="178">
        <v>1276</v>
      </c>
    </row>
    <row r="81" spans="32:42">
      <c r="AI81" s="3">
        <v>2025</v>
      </c>
      <c r="AJ81" s="178">
        <v>36873</v>
      </c>
      <c r="AK81" s="178">
        <v>32055</v>
      </c>
      <c r="AL81" s="178">
        <v>48161</v>
      </c>
      <c r="AM81" s="178">
        <v>32557</v>
      </c>
      <c r="AN81" s="178">
        <v>37477</v>
      </c>
      <c r="AO81" s="178">
        <v>1972</v>
      </c>
      <c r="AP81" s="178">
        <v>1338</v>
      </c>
    </row>
    <row r="82" spans="32:42">
      <c r="AI82" s="3">
        <v>2026</v>
      </c>
      <c r="AJ82" s="178">
        <v>37086</v>
      </c>
      <c r="AK82" s="178">
        <v>32380</v>
      </c>
      <c r="AL82" s="178">
        <v>49562</v>
      </c>
      <c r="AM82" s="178">
        <v>32490</v>
      </c>
      <c r="AN82" s="178">
        <v>37514</v>
      </c>
      <c r="AO82" s="178">
        <v>2007</v>
      </c>
      <c r="AP82" s="178">
        <v>1400</v>
      </c>
    </row>
    <row r="83" spans="32:42">
      <c r="AI83" s="3">
        <v>2027</v>
      </c>
      <c r="AJ83" s="178">
        <v>37266</v>
      </c>
      <c r="AK83" s="178">
        <v>32709</v>
      </c>
      <c r="AL83" s="178">
        <v>50678</v>
      </c>
      <c r="AM83" s="178">
        <v>32395</v>
      </c>
      <c r="AN83" s="178">
        <v>37551</v>
      </c>
      <c r="AO83" s="178">
        <v>2042</v>
      </c>
      <c r="AP83" s="178">
        <v>1462</v>
      </c>
    </row>
    <row r="84" spans="32:42">
      <c r="AI84" s="3">
        <v>2028</v>
      </c>
      <c r="AJ84" s="178">
        <v>37324</v>
      </c>
      <c r="AK84" s="178">
        <v>33073</v>
      </c>
      <c r="AL84" s="178">
        <v>51665</v>
      </c>
      <c r="AM84" s="178">
        <v>32219</v>
      </c>
      <c r="AN84" s="178">
        <v>37588</v>
      </c>
      <c r="AO84" s="178">
        <v>2077</v>
      </c>
      <c r="AP84" s="178">
        <v>1524</v>
      </c>
    </row>
    <row r="85" spans="32:42">
      <c r="AF85" s="2" t="s">
        <v>281</v>
      </c>
      <c r="AG85" s="2" t="s">
        <v>204</v>
      </c>
      <c r="AH85" s="25" t="s">
        <v>95</v>
      </c>
      <c r="AI85" s="29">
        <v>2060</v>
      </c>
      <c r="AJ85" s="19">
        <v>45160</v>
      </c>
      <c r="AK85" s="19">
        <v>41332</v>
      </c>
      <c r="AL85" s="19">
        <v>61878</v>
      </c>
      <c r="AM85" s="19">
        <v>33569</v>
      </c>
      <c r="AN85" s="19">
        <v>48307</v>
      </c>
      <c r="AO85" s="19">
        <v>2388</v>
      </c>
      <c r="AP85" s="19">
        <v>1498</v>
      </c>
    </row>
    <row r="86" spans="32:42">
      <c r="AG86" s="2" t="s">
        <v>205</v>
      </c>
      <c r="AH86" s="28" t="s">
        <v>95</v>
      </c>
      <c r="AI86" s="30">
        <v>2050</v>
      </c>
      <c r="AJ86" s="27">
        <v>43000</v>
      </c>
      <c r="AK86" s="27">
        <v>43000</v>
      </c>
      <c r="AL86" s="27">
        <v>78431</v>
      </c>
      <c r="AM86" s="27">
        <v>40000</v>
      </c>
      <c r="AN86" s="27">
        <v>39315</v>
      </c>
      <c r="AO86" s="27">
        <v>2000</v>
      </c>
      <c r="AP86" s="27">
        <v>3000</v>
      </c>
    </row>
    <row r="87" spans="32:42">
      <c r="AG87" s="2" t="s">
        <v>206</v>
      </c>
      <c r="AH87" s="28" t="s">
        <v>95</v>
      </c>
      <c r="AI87" s="30">
        <v>2050</v>
      </c>
      <c r="AJ87" s="27">
        <v>42000</v>
      </c>
      <c r="AK87" s="27">
        <v>43000</v>
      </c>
      <c r="AL87" s="27">
        <v>67000</v>
      </c>
      <c r="AM87" s="27">
        <v>65400</v>
      </c>
      <c r="AN87" s="27">
        <v>34000</v>
      </c>
      <c r="AO87" s="27">
        <v>6300</v>
      </c>
      <c r="AP87" s="27">
        <v>3500</v>
      </c>
    </row>
    <row r="90" spans="32:42">
      <c r="AI90" s="166">
        <v>33081</v>
      </c>
      <c r="AJ90" s="166">
        <v>29596</v>
      </c>
      <c r="AK90" s="166">
        <v>40936</v>
      </c>
      <c r="AL90" s="166">
        <v>27293</v>
      </c>
      <c r="AM90" s="166">
        <v>36461</v>
      </c>
      <c r="AN90" s="166">
        <v>1829</v>
      </c>
      <c r="AO90" s="166">
        <v>1849</v>
      </c>
    </row>
    <row r="91" spans="32:42">
      <c r="AI91" s="166">
        <v>34464</v>
      </c>
      <c r="AJ91" s="166">
        <v>29774</v>
      </c>
      <c r="AK91" s="166">
        <v>41262</v>
      </c>
      <c r="AL91" s="166">
        <v>27225</v>
      </c>
      <c r="AM91" s="166">
        <v>34811</v>
      </c>
      <c r="AN91" s="166">
        <v>1731</v>
      </c>
      <c r="AO91" s="166">
        <v>1535</v>
      </c>
    </row>
    <row r="92" spans="32:42">
      <c r="AI92" s="166">
        <v>34734</v>
      </c>
      <c r="AJ92" s="166">
        <v>29914</v>
      </c>
      <c r="AK92" s="166">
        <v>43099</v>
      </c>
      <c r="AL92" s="166">
        <v>26300</v>
      </c>
      <c r="AM92" s="166">
        <v>34464</v>
      </c>
      <c r="AN92" s="166">
        <v>1618</v>
      </c>
      <c r="AO92" s="166">
        <v>1280</v>
      </c>
    </row>
    <row r="93" spans="32:42">
      <c r="AI93" s="166">
        <v>35260</v>
      </c>
      <c r="AJ93" s="166">
        <v>30536</v>
      </c>
      <c r="AK93" s="166">
        <v>44651</v>
      </c>
      <c r="AL93" s="166">
        <v>26764</v>
      </c>
      <c r="AM93" s="166">
        <v>35074</v>
      </c>
      <c r="AN93" s="166">
        <v>1831</v>
      </c>
      <c r="AO93" s="166">
        <v>1214</v>
      </c>
    </row>
    <row r="94" spans="32:42">
      <c r="AI94" s="166">
        <v>36571</v>
      </c>
      <c r="AJ94" s="166">
        <v>31784</v>
      </c>
      <c r="AK94" s="166">
        <v>46412</v>
      </c>
      <c r="AL94" s="166">
        <v>32552</v>
      </c>
      <c r="AM94" s="166">
        <v>36921</v>
      </c>
      <c r="AN94" s="166">
        <v>1937</v>
      </c>
      <c r="AO94" s="166">
        <v>1276</v>
      </c>
    </row>
    <row r="95" spans="32:42">
      <c r="AI95" s="166">
        <v>36873</v>
      </c>
      <c r="AJ95" s="166">
        <v>32055</v>
      </c>
      <c r="AK95" s="166">
        <v>48161</v>
      </c>
      <c r="AL95" s="166">
        <v>32557</v>
      </c>
      <c r="AM95" s="166">
        <v>37477</v>
      </c>
      <c r="AN95" s="166">
        <v>1972</v>
      </c>
      <c r="AO95" s="166">
        <v>1338</v>
      </c>
    </row>
    <row r="96" spans="32:42">
      <c r="AI96" s="166">
        <v>37086</v>
      </c>
      <c r="AJ96" s="166">
        <v>32380</v>
      </c>
      <c r="AK96" s="166">
        <v>49562</v>
      </c>
      <c r="AL96" s="166">
        <v>32490</v>
      </c>
      <c r="AM96" s="166">
        <v>37514</v>
      </c>
      <c r="AN96" s="166">
        <v>2007</v>
      </c>
      <c r="AO96" s="166">
        <v>1400</v>
      </c>
    </row>
    <row r="97" spans="35:41">
      <c r="AI97" s="166">
        <v>37266</v>
      </c>
      <c r="AJ97" s="166">
        <v>32709</v>
      </c>
      <c r="AK97" s="166">
        <v>50678</v>
      </c>
      <c r="AL97" s="166">
        <v>32395</v>
      </c>
      <c r="AM97" s="166">
        <v>37551</v>
      </c>
      <c r="AN97" s="166">
        <v>2042</v>
      </c>
      <c r="AO97" s="166">
        <v>1462</v>
      </c>
    </row>
    <row r="98" spans="35:41">
      <c r="AI98" s="166">
        <v>37324</v>
      </c>
      <c r="AJ98" s="166">
        <v>33073</v>
      </c>
      <c r="AK98" s="166">
        <v>51665</v>
      </c>
      <c r="AL98" s="166">
        <v>32219</v>
      </c>
      <c r="AM98" s="166">
        <v>37588</v>
      </c>
      <c r="AN98" s="166">
        <v>2077</v>
      </c>
      <c r="AO98" s="166">
        <v>1524</v>
      </c>
    </row>
  </sheetData>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2023-5E91-45B9-9DA9-CE18E0B25F65}">
  <dimension ref="A1:AZ47"/>
  <sheetViews>
    <sheetView topLeftCell="AC1" zoomScale="145" zoomScaleNormal="145" workbookViewId="0">
      <selection activeCell="AJ4" sqref="AJ4:AP12"/>
    </sheetView>
  </sheetViews>
  <sheetFormatPr defaultColWidth="6.140625" defaultRowHeight="15"/>
  <cols>
    <col min="1" max="5" width="19.140625" customWidth="1"/>
    <col min="7" max="7" width="10" customWidth="1"/>
    <col min="8" max="8" width="12.85546875" customWidth="1"/>
    <col min="9" max="12" width="12.7109375" hidden="1" customWidth="1"/>
    <col min="13" max="15" width="12.7109375" customWidth="1"/>
    <col min="16" max="16" width="13.42578125" customWidth="1"/>
    <col min="17" max="17" width="12.85546875" customWidth="1"/>
    <col min="19" max="19" width="12.28515625" customWidth="1"/>
    <col min="20" max="23" width="13" customWidth="1"/>
    <col min="26" max="26" width="10.42578125" customWidth="1"/>
    <col min="27" max="27" width="9" bestFit="1" customWidth="1"/>
    <col min="28" max="28" width="9.85546875" customWidth="1"/>
    <col min="29" max="29" width="11.28515625" bestFit="1" customWidth="1"/>
    <col min="30" max="30" width="9" bestFit="1" customWidth="1"/>
    <col min="31" max="31" width="10.28515625" customWidth="1"/>
    <col min="32" max="32" width="11" customWidth="1"/>
    <col min="34" max="34" width="9.42578125" bestFit="1" customWidth="1"/>
    <col min="35" max="35" width="7.85546875" customWidth="1"/>
    <col min="36" max="36" width="9.5703125" bestFit="1" customWidth="1"/>
    <col min="37" max="40" width="8.42578125" bestFit="1" customWidth="1"/>
    <col min="41" max="41" width="7.28515625" bestFit="1" customWidth="1"/>
    <col min="42" max="42" width="9.5703125" customWidth="1"/>
    <col min="44" max="44" width="12.5703125" customWidth="1"/>
    <col min="45" max="45" width="7.5703125" customWidth="1"/>
    <col min="46" max="46" width="7.28515625" customWidth="1"/>
    <col min="50" max="50" width="7.7109375" customWidth="1"/>
    <col min="51" max="51" width="9.28515625" customWidth="1"/>
  </cols>
  <sheetData>
    <row r="1" spans="1:52" ht="60">
      <c r="A1" s="102" t="s">
        <v>221</v>
      </c>
      <c r="Z1" s="135" t="s">
        <v>274</v>
      </c>
      <c r="AA1" s="135" t="s">
        <v>276</v>
      </c>
      <c r="AB1" s="135" t="s">
        <v>275</v>
      </c>
      <c r="AC1" s="135" t="s">
        <v>274</v>
      </c>
      <c r="AD1" s="135" t="s">
        <v>275</v>
      </c>
      <c r="AE1" s="135" t="s">
        <v>274</v>
      </c>
      <c r="AF1" s="135" t="s">
        <v>274</v>
      </c>
    </row>
    <row r="2" spans="1:52" ht="22.5">
      <c r="A2" s="127" t="s">
        <v>222</v>
      </c>
      <c r="B2" s="128">
        <v>2020</v>
      </c>
      <c r="C2" s="128">
        <v>2060</v>
      </c>
      <c r="D2" s="137" t="s">
        <v>254</v>
      </c>
      <c r="E2" s="138" t="s">
        <v>255</v>
      </c>
      <c r="G2" s="168" t="s">
        <v>256</v>
      </c>
      <c r="H2" s="168" t="s">
        <v>257</v>
      </c>
      <c r="I2" s="170" t="s">
        <v>258</v>
      </c>
      <c r="J2" s="171"/>
      <c r="K2" s="171"/>
      <c r="L2" s="171"/>
      <c r="M2" s="170" t="s">
        <v>259</v>
      </c>
      <c r="N2" s="171"/>
      <c r="O2" s="171"/>
      <c r="P2" s="171"/>
      <c r="S2" t="s">
        <v>273</v>
      </c>
      <c r="Z2" s="162">
        <f>Z$7/($S$7*AS$4+$T$7*AS$5+$U$7*AS$6+$V$7*AS$7+$W$7*AS$8)</f>
        <v>0.59557418645184601</v>
      </c>
      <c r="AA2" s="162">
        <f>AA$7/($S$7*AT$4+$T$7*AT$5+$U$7*AT$6+$V$7*AT$7+$W$7*AT$8)</f>
        <v>0.60594259367944958</v>
      </c>
      <c r="AB2" s="162">
        <f>AB$7/($S$7*AU$4+$T$7*AU$5+$U$7*AU$6+$V$7*AU$7+$W$7*AU$8)</f>
        <v>0.51046513085609535</v>
      </c>
      <c r="AC2" s="162">
        <f>AC$7/($S$7*AV$4+$T$7*AV$5+$U$7*AV$6+$V$7*AV$7+$W$7*AV$8)</f>
        <v>0.50815845670731663</v>
      </c>
      <c r="AD2" s="162">
        <f>AD$7/($S$7*AW$4+$T$7*AW$5+$U$7*AW$6+$V$7*AW$7+$W$7*AW$8)</f>
        <v>0.91182252496368899</v>
      </c>
      <c r="AE2" s="162">
        <f>AE$7/($S$7*AX$4+$T$7*AX$5+$U$7*AX$6+$V$7*AX$7+$W$7*AX$8)</f>
        <v>0.48440935978829913</v>
      </c>
      <c r="AF2" s="162">
        <f>AF$7/($S$7*AY$4+$T$7*AY$5+$U$7*AY$6+$V$7*AY$7+$W$7*AY$8)</f>
        <v>0.55339687458589304</v>
      </c>
      <c r="AJ2" t="s">
        <v>279</v>
      </c>
    </row>
    <row r="3" spans="1:52" ht="22.5">
      <c r="A3" s="129" t="s">
        <v>223</v>
      </c>
      <c r="B3" s="122">
        <v>341924</v>
      </c>
      <c r="C3" s="122">
        <v>519710</v>
      </c>
      <c r="D3" s="122">
        <f>C3-B3</f>
        <v>177786</v>
      </c>
      <c r="E3" s="132">
        <f>D3/B3</f>
        <v>0.51995765140791517</v>
      </c>
      <c r="G3" s="169"/>
      <c r="H3" s="169"/>
      <c r="I3" s="148" t="s">
        <v>260</v>
      </c>
      <c r="J3" s="147" t="s">
        <v>261</v>
      </c>
      <c r="K3" s="147" t="s">
        <v>262</v>
      </c>
      <c r="L3" s="147" t="s">
        <v>263</v>
      </c>
      <c r="M3" s="148" t="s">
        <v>260</v>
      </c>
      <c r="N3" s="147" t="s">
        <v>261</v>
      </c>
      <c r="O3" s="148" t="s">
        <v>262</v>
      </c>
      <c r="P3" s="147" t="s">
        <v>263</v>
      </c>
      <c r="Q3" s="159" t="s">
        <v>268</v>
      </c>
      <c r="S3" s="160" t="s">
        <v>269</v>
      </c>
      <c r="T3" s="160" t="s">
        <v>270</v>
      </c>
      <c r="U3" s="160" t="s">
        <v>271</v>
      </c>
      <c r="V3" s="160" t="s">
        <v>142</v>
      </c>
      <c r="W3" s="160" t="s">
        <v>272</v>
      </c>
      <c r="Y3" s="177" t="s">
        <v>5</v>
      </c>
      <c r="Z3" s="160" t="s">
        <v>1</v>
      </c>
      <c r="AA3" s="160" t="s">
        <v>2</v>
      </c>
      <c r="AB3" s="160" t="s">
        <v>3</v>
      </c>
      <c r="AC3" s="160" t="s">
        <v>4</v>
      </c>
      <c r="AD3" s="160" t="s">
        <v>15</v>
      </c>
      <c r="AE3" s="160" t="s">
        <v>16</v>
      </c>
      <c r="AF3" s="160" t="s">
        <v>17</v>
      </c>
      <c r="AH3" s="163" t="s">
        <v>92</v>
      </c>
      <c r="AJ3" s="160" t="s">
        <v>1</v>
      </c>
      <c r="AK3" s="160" t="s">
        <v>2</v>
      </c>
      <c r="AL3" s="160" t="s">
        <v>3</v>
      </c>
      <c r="AM3" s="160" t="s">
        <v>4</v>
      </c>
      <c r="AN3" s="160" t="s">
        <v>15</v>
      </c>
      <c r="AO3" s="160" t="s">
        <v>16</v>
      </c>
      <c r="AP3" s="160" t="s">
        <v>17</v>
      </c>
      <c r="AR3" s="175"/>
      <c r="AS3" s="176" t="s">
        <v>1</v>
      </c>
      <c r="AT3" s="176" t="s">
        <v>2</v>
      </c>
      <c r="AU3" s="176" t="s">
        <v>3</v>
      </c>
      <c r="AV3" s="176" t="s">
        <v>4</v>
      </c>
      <c r="AW3" s="176" t="s">
        <v>15</v>
      </c>
      <c r="AX3" s="176" t="s">
        <v>16</v>
      </c>
      <c r="AY3" s="176" t="s">
        <v>17</v>
      </c>
    </row>
    <row r="4" spans="1:52">
      <c r="A4" s="130" t="s">
        <v>224</v>
      </c>
      <c r="B4" s="123">
        <v>556</v>
      </c>
      <c r="C4" s="123">
        <v>798</v>
      </c>
      <c r="D4" s="123">
        <f t="shared" ref="D4:D32" si="0">C4-B4</f>
        <v>242</v>
      </c>
      <c r="E4" s="133">
        <f t="shared" ref="E4:E32" si="1">D4/B4</f>
        <v>0.43525179856115109</v>
      </c>
      <c r="G4" s="139">
        <v>2020</v>
      </c>
      <c r="H4" s="140">
        <v>3284823</v>
      </c>
      <c r="I4" s="140">
        <v>706174</v>
      </c>
      <c r="J4" s="140">
        <v>10097</v>
      </c>
      <c r="K4" s="141">
        <v>1.4999999999999999E-2</v>
      </c>
      <c r="L4" s="141">
        <v>0.215</v>
      </c>
      <c r="M4" s="140">
        <v>341924</v>
      </c>
      <c r="N4" s="140">
        <v>2479</v>
      </c>
      <c r="O4" s="141">
        <v>7.0000000000000001E-3</v>
      </c>
      <c r="P4" s="141">
        <v>0.104</v>
      </c>
      <c r="Q4" s="158">
        <f>(M4-$M$4)/($M$44-$M$4)</f>
        <v>0</v>
      </c>
      <c r="S4" s="161">
        <f t="shared" ref="S4:W13" si="2">_xlfn.XLOOKUP(S$3 &amp; " County", $A$3:$A$32,$B$3:$B$32) + (_xlfn.XLOOKUP(S$3 &amp; " County", $A$3:$A$32,$C$3:$C$32) - _xlfn.XLOOKUP(S$3 &amp; " County", $A$3:$A$32,$B$3:$B$32)) * $Q4</f>
        <v>101186</v>
      </c>
      <c r="T4" s="161">
        <f t="shared" si="2"/>
        <v>101654</v>
      </c>
      <c r="U4" s="161">
        <f t="shared" si="2"/>
        <v>23114</v>
      </c>
      <c r="V4" s="161">
        <f t="shared" si="2"/>
        <v>31540</v>
      </c>
      <c r="W4" s="161">
        <f t="shared" si="2"/>
        <v>4310</v>
      </c>
      <c r="Y4" s="139">
        <v>2020</v>
      </c>
      <c r="Z4" s="166">
        <v>33081</v>
      </c>
      <c r="AA4" s="166">
        <v>29596</v>
      </c>
      <c r="AB4" s="166">
        <v>40936</v>
      </c>
      <c r="AC4" s="166">
        <v>27293</v>
      </c>
      <c r="AD4" s="166">
        <v>36461</v>
      </c>
      <c r="AE4" s="166">
        <v>1829</v>
      </c>
      <c r="AF4" s="166">
        <v>1849</v>
      </c>
      <c r="AH4" s="164">
        <f>SUM(Z4:AF4)</f>
        <v>171045</v>
      </c>
      <c r="AJ4" s="166">
        <v>33081</v>
      </c>
      <c r="AK4" s="166">
        <v>29596</v>
      </c>
      <c r="AL4" s="166">
        <v>40936</v>
      </c>
      <c r="AM4" s="166">
        <v>27293</v>
      </c>
      <c r="AN4" s="166">
        <v>36461</v>
      </c>
      <c r="AO4" s="166">
        <v>1829</v>
      </c>
      <c r="AP4" s="166">
        <v>1849</v>
      </c>
      <c r="AR4" s="176" t="s">
        <v>269</v>
      </c>
      <c r="AS4" s="175">
        <v>0.38</v>
      </c>
      <c r="AT4" s="175">
        <v>0.03</v>
      </c>
      <c r="AU4" s="175">
        <v>0.08</v>
      </c>
      <c r="AV4" s="175">
        <v>0.42</v>
      </c>
      <c r="AW4" s="175">
        <v>0.05</v>
      </c>
      <c r="AX4" s="175">
        <v>0.02</v>
      </c>
      <c r="AY4" s="175">
        <v>0.02</v>
      </c>
      <c r="AZ4">
        <f>SUM(AS4:AY4)</f>
        <v>1</v>
      </c>
    </row>
    <row r="5" spans="1:52">
      <c r="A5" s="149" t="s">
        <v>225</v>
      </c>
      <c r="B5" s="150">
        <v>4310</v>
      </c>
      <c r="C5" s="150">
        <v>6705</v>
      </c>
      <c r="D5" s="150">
        <f t="shared" si="0"/>
        <v>2395</v>
      </c>
      <c r="E5" s="151">
        <f t="shared" si="1"/>
        <v>0.55568445475638051</v>
      </c>
      <c r="G5" s="142">
        <v>2021</v>
      </c>
      <c r="H5" s="143">
        <v>3343552</v>
      </c>
      <c r="I5" s="143">
        <v>712289</v>
      </c>
      <c r="J5" s="143">
        <v>6115</v>
      </c>
      <c r="K5" s="144">
        <v>8.9999999999999993E-3</v>
      </c>
      <c r="L5" s="144">
        <v>0.21299999999999999</v>
      </c>
      <c r="M5" s="143">
        <v>356612</v>
      </c>
      <c r="N5" s="143">
        <v>14688</v>
      </c>
      <c r="O5" s="144">
        <v>4.2999999999999997E-2</v>
      </c>
      <c r="P5" s="144">
        <v>0.107</v>
      </c>
      <c r="Q5" s="158">
        <f t="shared" ref="Q5:Q44" si="3">(M5-$M$4)/($M$44-$M$4)</f>
        <v>8.2616179001721177E-2</v>
      </c>
      <c r="S5" s="161">
        <f t="shared" si="2"/>
        <v>104008.82960413081</v>
      </c>
      <c r="T5" s="161">
        <f t="shared" si="2"/>
        <v>106858.32358003443</v>
      </c>
      <c r="U5" s="161">
        <f t="shared" si="2"/>
        <v>24031.535283993115</v>
      </c>
      <c r="V5" s="161">
        <f t="shared" si="2"/>
        <v>33148.123924268504</v>
      </c>
      <c r="W5" s="161">
        <f t="shared" si="2"/>
        <v>4507.8657487091223</v>
      </c>
      <c r="Y5" s="142">
        <v>2021</v>
      </c>
      <c r="Z5" s="166">
        <v>34464</v>
      </c>
      <c r="AA5" s="166">
        <v>29774</v>
      </c>
      <c r="AB5" s="166">
        <v>41262</v>
      </c>
      <c r="AC5" s="166">
        <v>27225</v>
      </c>
      <c r="AD5" s="166">
        <v>34811</v>
      </c>
      <c r="AE5" s="166">
        <v>1731</v>
      </c>
      <c r="AF5" s="166">
        <v>1535</v>
      </c>
      <c r="AH5" s="164">
        <f t="shared" ref="AH5:AH44" si="4">SUM(Z5:AF5)</f>
        <v>170802</v>
      </c>
      <c r="AJ5" s="166">
        <v>34464</v>
      </c>
      <c r="AK5" s="166">
        <v>29774</v>
      </c>
      <c r="AL5" s="166">
        <v>41262</v>
      </c>
      <c r="AM5" s="166">
        <v>27225</v>
      </c>
      <c r="AN5" s="166">
        <v>34811</v>
      </c>
      <c r="AO5" s="166">
        <v>1731</v>
      </c>
      <c r="AP5" s="166">
        <v>1535</v>
      </c>
      <c r="AR5" s="176" t="s">
        <v>270</v>
      </c>
      <c r="AS5" s="175">
        <v>0.05</v>
      </c>
      <c r="AT5" s="175">
        <v>0.01</v>
      </c>
      <c r="AU5" s="175">
        <v>0.65</v>
      </c>
      <c r="AV5" s="175">
        <v>0.02</v>
      </c>
      <c r="AW5" s="175">
        <v>0.26</v>
      </c>
      <c r="AX5" s="175">
        <v>0.01</v>
      </c>
      <c r="AY5" s="175">
        <v>0</v>
      </c>
      <c r="AZ5">
        <f t="shared" ref="AZ5:AZ8" si="5">SUM(AS5:AY5)</f>
        <v>1</v>
      </c>
    </row>
    <row r="6" spans="1:52">
      <c r="A6" s="130" t="s">
        <v>226</v>
      </c>
      <c r="B6" s="125">
        <v>24710</v>
      </c>
      <c r="C6" s="125">
        <v>34978</v>
      </c>
      <c r="D6" s="125">
        <f t="shared" si="0"/>
        <v>10268</v>
      </c>
      <c r="E6" s="133">
        <f t="shared" si="1"/>
        <v>0.41554026709834074</v>
      </c>
      <c r="G6" s="139">
        <v>2022</v>
      </c>
      <c r="H6" s="140">
        <v>3403190</v>
      </c>
      <c r="I6" s="140">
        <v>716069</v>
      </c>
      <c r="J6" s="140">
        <v>3780</v>
      </c>
      <c r="K6" s="141">
        <v>5.0000000000000001E-3</v>
      </c>
      <c r="L6" s="141">
        <v>0.21</v>
      </c>
      <c r="M6" s="140">
        <v>369573</v>
      </c>
      <c r="N6" s="140">
        <v>12961</v>
      </c>
      <c r="O6" s="141">
        <v>3.5999999999999997E-2</v>
      </c>
      <c r="P6" s="141">
        <v>0.109</v>
      </c>
      <c r="Q6" s="158">
        <f t="shared" si="3"/>
        <v>0.15551843227250739</v>
      </c>
      <c r="S6" s="161">
        <f t="shared" si="2"/>
        <v>106499.75379388704</v>
      </c>
      <c r="T6" s="161">
        <f t="shared" si="2"/>
        <v>111450.72812257434</v>
      </c>
      <c r="U6" s="161">
        <f t="shared" si="2"/>
        <v>24841.187708818466</v>
      </c>
      <c r="V6" s="161">
        <f t="shared" si="2"/>
        <v>34567.166284184357</v>
      </c>
      <c r="W6" s="161">
        <f t="shared" si="2"/>
        <v>4682.4666452926549</v>
      </c>
      <c r="Y6" s="139">
        <v>2022</v>
      </c>
      <c r="Z6" s="166">
        <v>34734</v>
      </c>
      <c r="AA6" s="166">
        <v>29914</v>
      </c>
      <c r="AB6" s="166">
        <v>43099</v>
      </c>
      <c r="AC6" s="166">
        <v>26300</v>
      </c>
      <c r="AD6" s="166">
        <v>34464</v>
      </c>
      <c r="AE6" s="166">
        <v>1618</v>
      </c>
      <c r="AF6" s="166">
        <v>1280</v>
      </c>
      <c r="AH6" s="164">
        <f t="shared" si="4"/>
        <v>171409</v>
      </c>
      <c r="AJ6" s="166">
        <v>34734</v>
      </c>
      <c r="AK6" s="166">
        <v>29914</v>
      </c>
      <c r="AL6" s="166">
        <v>43099</v>
      </c>
      <c r="AM6" s="166">
        <v>26300</v>
      </c>
      <c r="AN6" s="166">
        <v>34464</v>
      </c>
      <c r="AO6" s="166">
        <v>1618</v>
      </c>
      <c r="AP6" s="166">
        <v>1280</v>
      </c>
      <c r="AR6" s="176" t="s">
        <v>271</v>
      </c>
      <c r="AS6" s="175">
        <v>0.08</v>
      </c>
      <c r="AT6" s="175">
        <v>0.85</v>
      </c>
      <c r="AU6" s="175">
        <v>0.02</v>
      </c>
      <c r="AV6" s="175">
        <v>0.02</v>
      </c>
      <c r="AW6" s="175">
        <v>0.03</v>
      </c>
      <c r="AX6" s="175">
        <v>0</v>
      </c>
      <c r="AY6" s="175">
        <v>0</v>
      </c>
      <c r="AZ6">
        <f t="shared" si="5"/>
        <v>1</v>
      </c>
    </row>
    <row r="7" spans="1:52">
      <c r="A7" s="131" t="s">
        <v>227</v>
      </c>
      <c r="B7" s="124">
        <v>1751</v>
      </c>
      <c r="C7" s="124">
        <v>2008</v>
      </c>
      <c r="D7" s="124">
        <f t="shared" si="0"/>
        <v>257</v>
      </c>
      <c r="E7" s="134">
        <f t="shared" si="1"/>
        <v>0.14677327241576243</v>
      </c>
      <c r="G7" s="142">
        <v>2023</v>
      </c>
      <c r="H7" s="143">
        <v>3464887</v>
      </c>
      <c r="I7" s="143">
        <v>716832</v>
      </c>
      <c r="J7" s="145">
        <v>763</v>
      </c>
      <c r="K7" s="144">
        <v>1E-3</v>
      </c>
      <c r="L7" s="144">
        <v>0.20699999999999999</v>
      </c>
      <c r="M7" s="143">
        <v>386153</v>
      </c>
      <c r="N7" s="143">
        <v>16580</v>
      </c>
      <c r="O7" s="144">
        <v>4.4999999999999998E-2</v>
      </c>
      <c r="P7" s="144">
        <v>0.111</v>
      </c>
      <c r="Q7" s="158">
        <f t="shared" si="3"/>
        <v>0.2487766190813675</v>
      </c>
      <c r="S7" s="161">
        <f t="shared" si="2"/>
        <v>109686.19952077216</v>
      </c>
      <c r="T7" s="161">
        <f t="shared" si="2"/>
        <v>117325.43434241167</v>
      </c>
      <c r="U7" s="161">
        <f t="shared" si="2"/>
        <v>25876.913131517667</v>
      </c>
      <c r="V7" s="161">
        <f t="shared" si="2"/>
        <v>36382.436890418816</v>
      </c>
      <c r="W7" s="161">
        <f t="shared" si="2"/>
        <v>4905.8200026998747</v>
      </c>
      <c r="Y7" s="142">
        <v>2023</v>
      </c>
      <c r="Z7" s="166">
        <v>35260</v>
      </c>
      <c r="AA7" s="166">
        <v>30536</v>
      </c>
      <c r="AB7" s="166">
        <v>44651</v>
      </c>
      <c r="AC7" s="166">
        <v>26764</v>
      </c>
      <c r="AD7" s="166">
        <v>35074</v>
      </c>
      <c r="AE7" s="166">
        <v>1831</v>
      </c>
      <c r="AF7" s="166">
        <v>1214</v>
      </c>
      <c r="AH7" s="164">
        <f t="shared" si="4"/>
        <v>175330</v>
      </c>
      <c r="AJ7" s="166">
        <v>35260</v>
      </c>
      <c r="AK7" s="166">
        <v>30536</v>
      </c>
      <c r="AL7" s="166">
        <v>44651</v>
      </c>
      <c r="AM7" s="166">
        <v>26764</v>
      </c>
      <c r="AN7" s="166">
        <v>35074</v>
      </c>
      <c r="AO7" s="166">
        <v>1831</v>
      </c>
      <c r="AP7" s="166">
        <v>1214</v>
      </c>
      <c r="AR7" s="176" t="s">
        <v>142</v>
      </c>
      <c r="AS7" s="175">
        <v>0.25</v>
      </c>
      <c r="AT7" s="175">
        <v>0.55000000000000004</v>
      </c>
      <c r="AU7" s="175">
        <v>0.05</v>
      </c>
      <c r="AV7" s="175">
        <v>0.1</v>
      </c>
      <c r="AW7" s="175">
        <v>0.04</v>
      </c>
      <c r="AX7" s="175">
        <v>0.01</v>
      </c>
      <c r="AY7" s="175">
        <v>0</v>
      </c>
      <c r="AZ7">
        <f t="shared" si="5"/>
        <v>1</v>
      </c>
    </row>
    <row r="8" spans="1:52">
      <c r="A8" s="130" t="s">
        <v>228</v>
      </c>
      <c r="B8" s="123">
        <v>53</v>
      </c>
      <c r="C8" s="123">
        <v>84</v>
      </c>
      <c r="D8" s="123">
        <f t="shared" si="0"/>
        <v>31</v>
      </c>
      <c r="E8" s="133">
        <f t="shared" si="1"/>
        <v>0.58490566037735847</v>
      </c>
      <c r="G8" s="139">
        <v>2024</v>
      </c>
      <c r="H8" s="140">
        <v>3526992</v>
      </c>
      <c r="I8" s="140">
        <v>715188</v>
      </c>
      <c r="J8" s="140">
        <v>-1644</v>
      </c>
      <c r="K8" s="141">
        <v>-2E-3</v>
      </c>
      <c r="L8" s="141">
        <v>0.20300000000000001</v>
      </c>
      <c r="M8" s="140">
        <v>405171</v>
      </c>
      <c r="N8" s="140">
        <v>19018</v>
      </c>
      <c r="O8" s="141">
        <v>4.9000000000000002E-2</v>
      </c>
      <c r="P8" s="141">
        <v>0.115</v>
      </c>
      <c r="Q8" s="158">
        <f t="shared" si="3"/>
        <v>0.35574792165862329</v>
      </c>
      <c r="S8" s="161">
        <f t="shared" si="2"/>
        <v>113341.19498723184</v>
      </c>
      <c r="T8" s="161">
        <f t="shared" si="2"/>
        <v>124063.98457696331</v>
      </c>
      <c r="U8" s="161">
        <f t="shared" si="2"/>
        <v>27064.936417940669</v>
      </c>
      <c r="V8" s="161">
        <f t="shared" si="2"/>
        <v>38464.633295085099</v>
      </c>
      <c r="W8" s="161">
        <f t="shared" si="2"/>
        <v>5162.0162723724025</v>
      </c>
      <c r="Y8" s="139">
        <v>2024</v>
      </c>
      <c r="Z8" s="161">
        <f>ROUND(Z$2*($S8*AS$4+$T8*AS$5+$U8*AS$6+$V8*AS$7+$W8*AS$8),0)</f>
        <v>36670</v>
      </c>
      <c r="AA8" s="161">
        <f>ROUND(AA$2*($S8*AT$4+$T8*AT$5+$U8*AT$6+$V8*AT$7+$W8*AT$8),0)</f>
        <v>32073</v>
      </c>
      <c r="AB8" s="161">
        <f>ROUND(AB$2*($S8*AU$4+$T8*AU$5+$U8*AU$6+$V8*AU$7+$W8*AU$8),0)</f>
        <v>47104</v>
      </c>
      <c r="AC8" s="161">
        <f>ROUND(AC$2*($S8*AV$4+$T8*AV$5+$U8*AV$6+$V8*AV$7+$W8*AV$8),0)</f>
        <v>27733</v>
      </c>
      <c r="AD8" s="161">
        <f>ROUND(AD$2*($S8*AW$4+$T8*AW$5+$U8*AW$6+$V8*AW$7+$W8*AW$8),0)</f>
        <v>36958</v>
      </c>
      <c r="AE8" s="161">
        <f>ROUND(AE$2*($S8*AX$4+$T8*AX$5+$U8*AX$6+$V8*AX$7+$W8*AX$8),0)</f>
        <v>1910</v>
      </c>
      <c r="AF8" s="161">
        <f>ROUND(AF$2*($S8*AY$4+$T8*AY$5+$U8*AY$6+$V8*AY$7+$W8*AY$8),0)</f>
        <v>1254</v>
      </c>
      <c r="AH8" s="164">
        <f t="shared" si="4"/>
        <v>183702</v>
      </c>
      <c r="AJ8" s="166">
        <v>36571</v>
      </c>
      <c r="AK8" s="166">
        <v>31784</v>
      </c>
      <c r="AL8" s="166">
        <v>46412</v>
      </c>
      <c r="AM8" s="166">
        <v>32552</v>
      </c>
      <c r="AN8" s="166">
        <v>36921</v>
      </c>
      <c r="AO8" s="166">
        <v>1937</v>
      </c>
      <c r="AP8" s="166">
        <v>1276</v>
      </c>
      <c r="AR8" s="176" t="s">
        <v>272</v>
      </c>
      <c r="AS8" s="175">
        <v>0.1</v>
      </c>
      <c r="AT8" s="175">
        <v>0.8</v>
      </c>
      <c r="AU8" s="175">
        <v>0.02</v>
      </c>
      <c r="AV8" s="175">
        <v>0.02</v>
      </c>
      <c r="AW8" s="175">
        <v>0.05</v>
      </c>
      <c r="AX8" s="175">
        <v>0.01</v>
      </c>
      <c r="AY8" s="175">
        <v>0</v>
      </c>
      <c r="AZ8">
        <f t="shared" si="5"/>
        <v>1</v>
      </c>
    </row>
    <row r="9" spans="1:52">
      <c r="A9" s="149" t="s">
        <v>229</v>
      </c>
      <c r="B9" s="150">
        <v>31540</v>
      </c>
      <c r="C9" s="150">
        <v>51005</v>
      </c>
      <c r="D9" s="150">
        <f t="shared" si="0"/>
        <v>19465</v>
      </c>
      <c r="E9" s="151">
        <f t="shared" si="1"/>
        <v>0.61715282181357012</v>
      </c>
      <c r="G9" s="142">
        <v>2025</v>
      </c>
      <c r="H9" s="143">
        <v>3588325</v>
      </c>
      <c r="I9" s="143">
        <v>711428</v>
      </c>
      <c r="J9" s="143">
        <v>-3760</v>
      </c>
      <c r="K9" s="144">
        <v>-5.0000000000000001E-3</v>
      </c>
      <c r="L9" s="144">
        <v>0.19800000000000001</v>
      </c>
      <c r="M9" s="143">
        <v>423181</v>
      </c>
      <c r="N9" s="143">
        <v>18010</v>
      </c>
      <c r="O9" s="144">
        <v>4.3999999999999997E-2</v>
      </c>
      <c r="P9" s="144">
        <v>0.11799999999999999</v>
      </c>
      <c r="Q9" s="158">
        <f t="shared" si="3"/>
        <v>0.45704948646125115</v>
      </c>
      <c r="S9" s="161">
        <f t="shared" si="2"/>
        <v>116802.46685340803</v>
      </c>
      <c r="T9" s="161">
        <f t="shared" si="2"/>
        <v>130445.37535014005</v>
      </c>
      <c r="U9" s="161">
        <f t="shared" si="2"/>
        <v>28189.991596638654</v>
      </c>
      <c r="V9" s="161">
        <f t="shared" si="2"/>
        <v>40436.468253968254</v>
      </c>
      <c r="W9" s="161">
        <f t="shared" si="2"/>
        <v>5404.6335200746962</v>
      </c>
      <c r="Y9" s="142">
        <v>2025</v>
      </c>
      <c r="Z9" s="161">
        <f>ROUND(Z$2*($S9*AS$4+$T9*AS$5+$U9*AS$6+$V9*AS$7+$W9*AS$8),0)</f>
        <v>38005</v>
      </c>
      <c r="AA9" s="161">
        <f>ROUND(AA$2*($S9*AT$4+$T9*AT$5+$U9*AT$6+$V9*AT$7+$W9*AT$8),0)</f>
        <v>33529</v>
      </c>
      <c r="AB9" s="161">
        <f>ROUND(AB$2*($S9*AU$4+$T9*AU$5+$U9*AU$6+$V9*AU$7+$W9*AU$8),0)</f>
        <v>49427</v>
      </c>
      <c r="AC9" s="161">
        <f>ROUND(AC$2*($S9*AV$4+$T9*AV$5+$U9*AV$6+$V9*AV$7+$W9*AV$8),0)</f>
        <v>28651</v>
      </c>
      <c r="AD9" s="161">
        <f>ROUND(AD$2*($S9*AW$4+$T9*AW$5+$U9*AW$6+$V9*AW$7+$W9*AW$8),0)</f>
        <v>38743</v>
      </c>
      <c r="AE9" s="161">
        <f>ROUND(AE$2*($S9*AX$4+$T9*AX$5+$U9*AX$6+$V9*AX$7+$W9*AX$8),0)</f>
        <v>1986</v>
      </c>
      <c r="AF9" s="161">
        <f>ROUND(AF$2*($S9*AY$4+$T9*AY$5+$U9*AY$6+$V9*AY$7+$W9*AY$8),0)</f>
        <v>1293</v>
      </c>
      <c r="AH9" s="164">
        <f t="shared" si="4"/>
        <v>191634</v>
      </c>
      <c r="AJ9" s="166">
        <v>36873</v>
      </c>
      <c r="AK9" s="166">
        <v>32055</v>
      </c>
      <c r="AL9" s="166">
        <v>48161</v>
      </c>
      <c r="AM9" s="166">
        <v>32557</v>
      </c>
      <c r="AN9" s="166">
        <v>37477</v>
      </c>
      <c r="AO9" s="166">
        <v>1972</v>
      </c>
      <c r="AP9" s="166">
        <v>1338</v>
      </c>
      <c r="AS9">
        <f>SUM(AS4:AS8)</f>
        <v>0.86</v>
      </c>
      <c r="AT9">
        <f t="shared" ref="AT9:AY9" si="6">SUM(AT4:AT8)</f>
        <v>2.2400000000000002</v>
      </c>
      <c r="AU9">
        <f t="shared" si="6"/>
        <v>0.82000000000000006</v>
      </c>
      <c r="AV9">
        <f t="shared" si="6"/>
        <v>0.58000000000000007</v>
      </c>
      <c r="AW9">
        <f t="shared" si="6"/>
        <v>0.42999999999999994</v>
      </c>
      <c r="AX9">
        <f t="shared" si="6"/>
        <v>0.05</v>
      </c>
      <c r="AY9">
        <f t="shared" si="6"/>
        <v>0.02</v>
      </c>
    </row>
    <row r="10" spans="1:52">
      <c r="A10" s="130" t="s">
        <v>230</v>
      </c>
      <c r="B10" s="125">
        <v>1392</v>
      </c>
      <c r="C10" s="125">
        <v>2121</v>
      </c>
      <c r="D10" s="125">
        <f t="shared" si="0"/>
        <v>729</v>
      </c>
      <c r="E10" s="133">
        <f t="shared" si="1"/>
        <v>0.52370689655172409</v>
      </c>
      <c r="G10" s="139">
        <v>2026</v>
      </c>
      <c r="H10" s="140">
        <v>3647847</v>
      </c>
      <c r="I10" s="140">
        <v>706181</v>
      </c>
      <c r="J10" s="140">
        <v>-5247</v>
      </c>
      <c r="K10" s="141">
        <v>-7.0000000000000001E-3</v>
      </c>
      <c r="L10" s="141">
        <v>0.19400000000000001</v>
      </c>
      <c r="M10" s="140">
        <v>444492</v>
      </c>
      <c r="N10" s="140">
        <v>21311</v>
      </c>
      <c r="O10" s="141">
        <v>0.05</v>
      </c>
      <c r="P10" s="141">
        <v>0.122</v>
      </c>
      <c r="Q10" s="158">
        <f t="shared" si="3"/>
        <v>0.57691831752781431</v>
      </c>
      <c r="S10" s="161">
        <f t="shared" si="2"/>
        <v>120898.14507329036</v>
      </c>
      <c r="T10" s="161">
        <f t="shared" si="2"/>
        <v>137996.39249434712</v>
      </c>
      <c r="U10" s="161">
        <f t="shared" si="2"/>
        <v>29521.254834463907</v>
      </c>
      <c r="V10" s="161">
        <f t="shared" si="2"/>
        <v>42769.715050678904</v>
      </c>
      <c r="W10" s="161">
        <f t="shared" si="2"/>
        <v>5691.7193704791152</v>
      </c>
      <c r="Y10" s="139">
        <v>2026</v>
      </c>
      <c r="Z10" s="161">
        <f>ROUND(Z$2*($S10*AS$4+$T10*AS$5+$U10*AS$6+$V10*AS$7+$W10*AS$8),0)</f>
        <v>39584</v>
      </c>
      <c r="AA10" s="161">
        <f>ROUND(AA$2*($S10*AT$4+$T10*AT$5+$U10*AT$6+$V10*AT$7+$W10*AT$8),0)</f>
        <v>35252</v>
      </c>
      <c r="AB10" s="161">
        <f>ROUND(AB$2*($S10*AU$4+$T10*AU$5+$U10*AU$6+$V10*AU$7+$W10*AU$8),0)</f>
        <v>52176</v>
      </c>
      <c r="AC10" s="161">
        <f>ROUND(AC$2*($S10*AV$4+$T10*AV$5+$U10*AV$6+$V10*AV$7+$W10*AV$8),0)</f>
        <v>29737</v>
      </c>
      <c r="AD10" s="161">
        <f>ROUND(AD$2*($S10*AW$4+$T10*AW$5+$U10*AW$6+$V10*AW$7+$W10*AW$8),0)</f>
        <v>40854</v>
      </c>
      <c r="AE10" s="161">
        <f>ROUND(AE$2*($S10*AX$4+$T10*AX$5+$U10*AX$6+$V10*AX$7+$W10*AX$8),0)</f>
        <v>2075</v>
      </c>
      <c r="AF10" s="161">
        <f>ROUND(AF$2*($S10*AY$4+$T10*AY$5+$U10*AY$6+$V10*AY$7+$W10*AY$8),0)</f>
        <v>1338</v>
      </c>
      <c r="AH10" s="164">
        <f t="shared" si="4"/>
        <v>201016</v>
      </c>
      <c r="AJ10" s="166">
        <v>37086</v>
      </c>
      <c r="AK10" s="166">
        <v>32380</v>
      </c>
      <c r="AL10" s="166">
        <v>49562</v>
      </c>
      <c r="AM10" s="166">
        <v>32490</v>
      </c>
      <c r="AN10" s="166">
        <v>37514</v>
      </c>
      <c r="AO10" s="166">
        <v>2007</v>
      </c>
      <c r="AP10" s="166">
        <v>1400</v>
      </c>
    </row>
    <row r="11" spans="1:52">
      <c r="A11" s="131" t="s">
        <v>231</v>
      </c>
      <c r="B11" s="126">
        <v>709</v>
      </c>
      <c r="C11" s="126">
        <v>739</v>
      </c>
      <c r="D11" s="126">
        <f t="shared" si="0"/>
        <v>30</v>
      </c>
      <c r="E11" s="134">
        <f t="shared" si="1"/>
        <v>4.2313117066290547E-2</v>
      </c>
      <c r="G11" s="142">
        <v>2027</v>
      </c>
      <c r="H11" s="143">
        <v>3707365</v>
      </c>
      <c r="I11" s="143">
        <v>699955</v>
      </c>
      <c r="J11" s="143">
        <v>-6226</v>
      </c>
      <c r="K11" s="144">
        <v>-8.9999999999999993E-3</v>
      </c>
      <c r="L11" s="144">
        <v>0.189</v>
      </c>
      <c r="M11" s="143">
        <v>461304</v>
      </c>
      <c r="N11" s="143">
        <v>16812</v>
      </c>
      <c r="O11" s="144">
        <v>3.7999999999999999E-2</v>
      </c>
      <c r="P11" s="144">
        <v>0.124</v>
      </c>
      <c r="Q11" s="158">
        <f t="shared" si="3"/>
        <v>0.67148144398321574</v>
      </c>
      <c r="S11" s="161">
        <f t="shared" si="2"/>
        <v>124129.17797801852</v>
      </c>
      <c r="T11" s="161">
        <f t="shared" si="2"/>
        <v>143953.30208227871</v>
      </c>
      <c r="U11" s="161">
        <f t="shared" si="2"/>
        <v>30571.472916877596</v>
      </c>
      <c r="V11" s="161">
        <f t="shared" si="2"/>
        <v>44610.386307133296</v>
      </c>
      <c r="W11" s="161">
        <f t="shared" si="2"/>
        <v>5918.1980583398017</v>
      </c>
      <c r="Y11" s="142">
        <v>2027</v>
      </c>
      <c r="Z11" s="161">
        <f>ROUND(Z$2*($S11*AS$4+$T11*AS$5+$U11*AS$6+$V11*AS$7+$W11*AS$8),0)</f>
        <v>40831</v>
      </c>
      <c r="AA11" s="161">
        <f>ROUND(AA$2*($S11*AT$4+$T11*AT$5+$U11*AT$6+$V11*AT$7+$W11*AT$8),0)</f>
        <v>36611</v>
      </c>
      <c r="AB11" s="161">
        <f>ROUND(AB$2*($S11*AU$4+$T11*AU$5+$U11*AU$6+$V11*AU$7+$W11*AU$8),0)</f>
        <v>54344</v>
      </c>
      <c r="AC11" s="161">
        <f>ROUND(AC$2*($S11*AV$4+$T11*AV$5+$U11*AV$6+$V11*AV$7+$W11*AV$8),0)</f>
        <v>30593</v>
      </c>
      <c r="AD11" s="161">
        <f>ROUND(AD$2*($S11*AW$4+$T11*AW$5+$U11*AW$6+$V11*AW$7+$W11*AW$8),0)</f>
        <v>42520</v>
      </c>
      <c r="AE11" s="161">
        <f>ROUND(AE$2*($S11*AX$4+$T11*AX$5+$U11*AX$6+$V11*AX$7+$W11*AX$8),0)</f>
        <v>2145</v>
      </c>
      <c r="AF11" s="161">
        <f>ROUND(AF$2*($S11*AY$4+$T11*AY$5+$U11*AY$6+$V11*AY$7+$W11*AY$8),0)</f>
        <v>1374</v>
      </c>
      <c r="AH11" s="164">
        <f t="shared" si="4"/>
        <v>208418</v>
      </c>
      <c r="AJ11" s="166">
        <v>37266</v>
      </c>
      <c r="AK11" s="166">
        <v>32709</v>
      </c>
      <c r="AL11" s="166">
        <v>50678</v>
      </c>
      <c r="AM11" s="166">
        <v>32395</v>
      </c>
      <c r="AN11" s="166">
        <v>37551</v>
      </c>
      <c r="AO11" s="166">
        <v>2042</v>
      </c>
      <c r="AP11" s="166">
        <v>1462</v>
      </c>
    </row>
    <row r="12" spans="1:52">
      <c r="A12" s="130" t="s">
        <v>232</v>
      </c>
      <c r="B12" s="123">
        <v>361</v>
      </c>
      <c r="C12" s="123">
        <v>472</v>
      </c>
      <c r="D12" s="123">
        <f t="shared" si="0"/>
        <v>111</v>
      </c>
      <c r="E12" s="133">
        <f t="shared" si="1"/>
        <v>0.30747922437673131</v>
      </c>
      <c r="G12" s="139">
        <v>2028</v>
      </c>
      <c r="H12" s="140">
        <v>3765808</v>
      </c>
      <c r="I12" s="140">
        <v>692969</v>
      </c>
      <c r="J12" s="140">
        <v>-6986</v>
      </c>
      <c r="K12" s="141">
        <v>-0.01</v>
      </c>
      <c r="L12" s="141">
        <v>0.184</v>
      </c>
      <c r="M12" s="140">
        <v>468652</v>
      </c>
      <c r="N12" s="140">
        <v>7348</v>
      </c>
      <c r="O12" s="141">
        <v>1.6E-2</v>
      </c>
      <c r="P12" s="141">
        <v>0.124</v>
      </c>
      <c r="Q12" s="158">
        <f t="shared" si="3"/>
        <v>0.71281203244349944</v>
      </c>
      <c r="S12" s="161">
        <f t="shared" si="2"/>
        <v>125541.36152452949</v>
      </c>
      <c r="T12" s="161">
        <f t="shared" si="2"/>
        <v>146556.8811717458</v>
      </c>
      <c r="U12" s="161">
        <f t="shared" si="2"/>
        <v>31030.490432317507</v>
      </c>
      <c r="V12" s="161">
        <f t="shared" si="2"/>
        <v>45414.886211512712</v>
      </c>
      <c r="W12" s="161">
        <f t="shared" si="2"/>
        <v>6017.1848177021811</v>
      </c>
      <c r="Y12" s="139">
        <v>2028</v>
      </c>
      <c r="Z12" s="161">
        <f>ROUND(Z$2*($S12*AS$4+$T12*AS$5+$U12*AS$6+$V12*AS$7+$W12*AS$8),0)</f>
        <v>41375</v>
      </c>
      <c r="AA12" s="161">
        <f>ROUND(AA$2*($S12*AT$4+$T12*AT$5+$U12*AT$6+$V12*AT$7+$W12*AT$8),0)</f>
        <v>37205</v>
      </c>
      <c r="AB12" s="161">
        <f>ROUND(AB$2*($S12*AU$4+$T12*AU$5+$U12*AU$6+$V12*AU$7+$W12*AU$8),0)</f>
        <v>55292</v>
      </c>
      <c r="AC12" s="161">
        <f>ROUND(AC$2*($S12*AV$4+$T12*AV$5+$U12*AV$6+$V12*AV$7+$W12*AV$8),0)</f>
        <v>30968</v>
      </c>
      <c r="AD12" s="161">
        <f>ROUND(AD$2*($S12*AW$4+$T12*AW$5+$U12*AW$6+$V12*AW$7+$W12*AW$8),0)</f>
        <v>43248</v>
      </c>
      <c r="AE12" s="161">
        <f>ROUND(AE$2*($S12*AX$4+$T12*AX$5+$U12*AX$6+$V12*AX$7+$W12*AX$8),0)</f>
        <v>2175</v>
      </c>
      <c r="AF12" s="161">
        <f>ROUND(AF$2*($S12*AY$4+$T12*AY$5+$U12*AY$6+$V12*AY$7+$W12*AY$8),0)</f>
        <v>1389</v>
      </c>
      <c r="AH12" s="164">
        <f t="shared" si="4"/>
        <v>211652</v>
      </c>
      <c r="AJ12" s="166">
        <v>37324</v>
      </c>
      <c r="AK12" s="166">
        <v>33073</v>
      </c>
      <c r="AL12" s="166">
        <v>51665</v>
      </c>
      <c r="AM12" s="166">
        <v>32219</v>
      </c>
      <c r="AN12" s="166">
        <v>37588</v>
      </c>
      <c r="AO12" s="166">
        <v>2077</v>
      </c>
      <c r="AP12" s="166">
        <v>1524</v>
      </c>
    </row>
    <row r="13" spans="1:52">
      <c r="A13" s="131" t="s">
        <v>233</v>
      </c>
      <c r="B13" s="126">
        <v>576</v>
      </c>
      <c r="C13" s="126">
        <v>974</v>
      </c>
      <c r="D13" s="126">
        <f t="shared" si="0"/>
        <v>398</v>
      </c>
      <c r="E13" s="134">
        <f t="shared" si="1"/>
        <v>0.69097222222222221</v>
      </c>
      <c r="G13" s="142">
        <v>2029</v>
      </c>
      <c r="H13" s="143">
        <v>3823047</v>
      </c>
      <c r="I13" s="143">
        <v>686577</v>
      </c>
      <c r="J13" s="143">
        <v>-6392</v>
      </c>
      <c r="K13" s="144">
        <v>-8.9999999999999993E-3</v>
      </c>
      <c r="L13" s="144">
        <v>0.18</v>
      </c>
      <c r="M13" s="143">
        <v>472857</v>
      </c>
      <c r="N13" s="143">
        <v>4205</v>
      </c>
      <c r="O13" s="144">
        <v>8.9999999999999993E-3</v>
      </c>
      <c r="P13" s="144">
        <v>0.124</v>
      </c>
      <c r="Q13" s="158">
        <f t="shared" si="3"/>
        <v>0.7364640635370614</v>
      </c>
      <c r="S13" s="161">
        <f t="shared" si="2"/>
        <v>126349.50412293432</v>
      </c>
      <c r="T13" s="161">
        <f t="shared" si="2"/>
        <v>148046.81721845365</v>
      </c>
      <c r="U13" s="161">
        <f t="shared" si="2"/>
        <v>31293.169889642602</v>
      </c>
      <c r="V13" s="161">
        <f t="shared" si="2"/>
        <v>45875.272996748899</v>
      </c>
      <c r="W13" s="161">
        <f t="shared" si="2"/>
        <v>6073.8314321712623</v>
      </c>
      <c r="Y13" s="142">
        <v>2029</v>
      </c>
      <c r="Z13" s="161">
        <f>ROUND(Z$2*($S13*AS$4+$T13*AS$5+$U13*AS$6+$V13*AS$7+$W13*AS$8),0)</f>
        <v>41687</v>
      </c>
      <c r="AA13" s="161">
        <f>ROUND(AA$2*($S13*AT$4+$T13*AT$5+$U13*AT$6+$V13*AT$7+$W13*AT$8),0)</f>
        <v>37545</v>
      </c>
      <c r="AB13" s="161">
        <f>ROUND(AB$2*($S13*AU$4+$T13*AU$5+$U13*AU$6+$V13*AU$7+$W13*AU$8),0)</f>
        <v>55834</v>
      </c>
      <c r="AC13" s="161">
        <f>ROUND(AC$2*($S13*AV$4+$T13*AV$5+$U13*AV$6+$V13*AV$7+$W13*AV$8),0)</f>
        <v>31182</v>
      </c>
      <c r="AD13" s="161">
        <f>ROUND(AD$2*($S13*AW$4+$T13*AW$5+$U13*AW$6+$V13*AW$7+$W13*AW$8),0)</f>
        <v>43665</v>
      </c>
      <c r="AE13" s="161">
        <f>ROUND(AE$2*($S13*AX$4+$T13*AX$5+$U13*AX$6+$V13*AX$7+$W13*AX$8),0)</f>
        <v>2193</v>
      </c>
      <c r="AF13" s="161">
        <f>ROUND(AF$2*($S13*AY$4+$T13*AY$5+$U13*AY$6+$V13*AY$7+$W13*AY$8),0)</f>
        <v>1398</v>
      </c>
      <c r="AH13" s="164">
        <f t="shared" si="4"/>
        <v>213504</v>
      </c>
    </row>
    <row r="14" spans="1:52">
      <c r="A14" s="130" t="s">
        <v>234</v>
      </c>
      <c r="B14" s="125">
        <v>8486</v>
      </c>
      <c r="C14" s="125">
        <v>12204</v>
      </c>
      <c r="D14" s="125">
        <f t="shared" si="0"/>
        <v>3718</v>
      </c>
      <c r="E14" s="133">
        <f t="shared" si="1"/>
        <v>0.43813339618194674</v>
      </c>
      <c r="G14" s="139">
        <v>2030</v>
      </c>
      <c r="H14" s="140">
        <v>3879161</v>
      </c>
      <c r="I14" s="140">
        <v>681572</v>
      </c>
      <c r="J14" s="140">
        <v>-5005</v>
      </c>
      <c r="K14" s="141">
        <v>-7.0000000000000001E-3</v>
      </c>
      <c r="L14" s="141">
        <v>0.17599999999999999</v>
      </c>
      <c r="M14" s="140">
        <v>474362</v>
      </c>
      <c r="N14" s="140">
        <v>1505</v>
      </c>
      <c r="O14" s="141">
        <v>3.0000000000000001E-3</v>
      </c>
      <c r="P14" s="141">
        <v>0.122</v>
      </c>
      <c r="Q14" s="158">
        <f t="shared" si="3"/>
        <v>0.74492929702001287</v>
      </c>
      <c r="S14" s="161">
        <f t="shared" ref="S14:W23" si="7">_xlfn.XLOOKUP(S$3 &amp; " County", $A$3:$A$32,$B$3:$B$32) + (_xlfn.XLOOKUP(S$3 &amp; " County", $A$3:$A$32,$C$3:$C$32) - _xlfn.XLOOKUP(S$3 &amp; " County", $A$3:$A$32,$B$3:$B$32)) * $Q14</f>
        <v>126638.7442205798</v>
      </c>
      <c r="T14" s="161">
        <f t="shared" si="7"/>
        <v>148580.07613647869</v>
      </c>
      <c r="U14" s="161">
        <f t="shared" si="7"/>
        <v>31387.184772704262</v>
      </c>
      <c r="V14" s="161">
        <f t="shared" si="7"/>
        <v>46040.048766494554</v>
      </c>
      <c r="W14" s="161">
        <f t="shared" si="7"/>
        <v>6094.1056663629306</v>
      </c>
      <c r="Y14" s="139">
        <v>2030</v>
      </c>
      <c r="Z14" s="161">
        <f>ROUND(Z$2*($S14*AS$4+$T14*AS$5+$U14*AS$6+$V14*AS$7+$W14*AS$8),0)</f>
        <v>41799</v>
      </c>
      <c r="AA14" s="161">
        <f>ROUND(AA$2*($S14*AT$4+$T14*AT$5+$U14*AT$6+$V14*AT$7+$W14*AT$8),0)</f>
        <v>37666</v>
      </c>
      <c r="AB14" s="161">
        <f>ROUND(AB$2*($S14*AU$4+$T14*AU$5+$U14*AU$6+$V14*AU$7+$W14*AU$8),0)</f>
        <v>56029</v>
      </c>
      <c r="AC14" s="161">
        <f>ROUND(AC$2*($S14*AV$4+$T14*AV$5+$U14*AV$6+$V14*AV$7+$W14*AV$8),0)</f>
        <v>31259</v>
      </c>
      <c r="AD14" s="161">
        <f>ROUND(AD$2*($S14*AW$4+$T14*AW$5+$U14*AW$6+$V14*AW$7+$W14*AW$8),0)</f>
        <v>43814</v>
      </c>
      <c r="AE14" s="161">
        <f>ROUND(AE$2*($S14*AX$4+$T14*AX$5+$U14*AX$6+$V14*AX$7+$W14*AX$8),0)</f>
        <v>2199</v>
      </c>
      <c r="AF14" s="161">
        <f>ROUND(AF$2*($S14*AY$4+$T14*AY$5+$U14*AY$6+$V14*AY$7+$W14*AY$8),0)</f>
        <v>1402</v>
      </c>
      <c r="AH14" s="164">
        <f t="shared" si="4"/>
        <v>214168</v>
      </c>
      <c r="AJ14" t="s">
        <v>280</v>
      </c>
    </row>
    <row r="15" spans="1:52">
      <c r="A15" s="131" t="s">
        <v>235</v>
      </c>
      <c r="B15" s="124">
        <v>1007</v>
      </c>
      <c r="C15" s="124">
        <v>1909</v>
      </c>
      <c r="D15" s="124">
        <f t="shared" si="0"/>
        <v>902</v>
      </c>
      <c r="E15" s="134">
        <f t="shared" si="1"/>
        <v>0.89572989076464749</v>
      </c>
      <c r="G15" s="142">
        <v>2031</v>
      </c>
      <c r="H15" s="143">
        <v>3934602</v>
      </c>
      <c r="I15" s="143">
        <v>676240</v>
      </c>
      <c r="J15" s="143">
        <v>-5332</v>
      </c>
      <c r="K15" s="144">
        <v>-8.0000000000000002E-3</v>
      </c>
      <c r="L15" s="144">
        <v>0.17199999999999999</v>
      </c>
      <c r="M15" s="143">
        <v>474798</v>
      </c>
      <c r="N15" s="145">
        <v>436</v>
      </c>
      <c r="O15" s="144">
        <v>1E-3</v>
      </c>
      <c r="P15" s="144">
        <v>0.121</v>
      </c>
      <c r="Q15" s="158">
        <f t="shared" si="3"/>
        <v>0.74738168359713364</v>
      </c>
      <c r="S15" s="161">
        <f t="shared" si="7"/>
        <v>126722.53736514685</v>
      </c>
      <c r="T15" s="161">
        <f t="shared" si="7"/>
        <v>148734.56177651783</v>
      </c>
      <c r="U15" s="161">
        <f t="shared" si="7"/>
        <v>31414.420978029768</v>
      </c>
      <c r="V15" s="161">
        <f t="shared" si="7"/>
        <v>46087.784471218205</v>
      </c>
      <c r="W15" s="161">
        <f t="shared" si="7"/>
        <v>6099.979132215135</v>
      </c>
      <c r="Y15" s="142">
        <v>2031</v>
      </c>
      <c r="Z15" s="161">
        <f>ROUND(Z$2*($S15*AS$4+$T15*AS$5+$U15*AS$6+$V15*AS$7+$W15*AS$8),0)</f>
        <v>41831</v>
      </c>
      <c r="AA15" s="161">
        <f>ROUND(AA$2*($S15*AT$4+$T15*AT$5+$U15*AT$6+$V15*AT$7+$W15*AT$8),0)</f>
        <v>37701</v>
      </c>
      <c r="AB15" s="161">
        <f>ROUND(AB$2*($S15*AU$4+$T15*AU$5+$U15*AU$6+$V15*AU$7+$W15*AU$8),0)</f>
        <v>56085</v>
      </c>
      <c r="AC15" s="161">
        <f>ROUND(AC$2*($S15*AV$4+$T15*AV$5+$U15*AV$6+$V15*AV$7+$W15*AV$8),0)</f>
        <v>31281</v>
      </c>
      <c r="AD15" s="161">
        <f>ROUND(AD$2*($S15*AW$4+$T15*AW$5+$U15*AW$6+$V15*AW$7+$W15*AW$8),0)</f>
        <v>43857</v>
      </c>
      <c r="AE15" s="161">
        <f>ROUND(AE$2*($S15*AX$4+$T15*AX$5+$U15*AX$6+$V15*AX$7+$W15*AX$8),0)</f>
        <v>2201</v>
      </c>
      <c r="AF15" s="161">
        <f>ROUND(AF$2*($S15*AY$4+$T15*AY$5+$U15*AY$6+$V15*AY$7+$W15*AY$8),0)</f>
        <v>1403</v>
      </c>
      <c r="AH15" s="164">
        <f t="shared" si="4"/>
        <v>214359</v>
      </c>
      <c r="AJ15" s="160" t="s">
        <v>1</v>
      </c>
      <c r="AK15" s="160" t="s">
        <v>2</v>
      </c>
      <c r="AL15" s="160" t="s">
        <v>3</v>
      </c>
      <c r="AM15" s="160" t="s">
        <v>4</v>
      </c>
      <c r="AN15" s="160" t="s">
        <v>15</v>
      </c>
      <c r="AO15" s="160" t="s">
        <v>16</v>
      </c>
      <c r="AP15" s="160" t="s">
        <v>17</v>
      </c>
    </row>
    <row r="16" spans="1:52">
      <c r="A16" s="130" t="s">
        <v>236</v>
      </c>
      <c r="B16" s="123">
        <v>513</v>
      </c>
      <c r="C16" s="123">
        <v>778</v>
      </c>
      <c r="D16" s="123">
        <f t="shared" si="0"/>
        <v>265</v>
      </c>
      <c r="E16" s="133">
        <f t="shared" si="1"/>
        <v>0.51656920077972712</v>
      </c>
      <c r="G16" s="139">
        <v>2032</v>
      </c>
      <c r="H16" s="140">
        <v>3989928</v>
      </c>
      <c r="I16" s="140">
        <v>671647</v>
      </c>
      <c r="J16" s="140">
        <v>-4593</v>
      </c>
      <c r="K16" s="141">
        <v>-7.0000000000000001E-3</v>
      </c>
      <c r="L16" s="141">
        <v>0.16800000000000001</v>
      </c>
      <c r="M16" s="140">
        <v>473538</v>
      </c>
      <c r="N16" s="140">
        <v>-1260</v>
      </c>
      <c r="O16" s="141">
        <v>-3.0000000000000001E-3</v>
      </c>
      <c r="P16" s="141">
        <v>0.11899999999999999</v>
      </c>
      <c r="Q16" s="158">
        <f t="shared" si="3"/>
        <v>0.74029451137884872</v>
      </c>
      <c r="S16" s="161">
        <f t="shared" si="7"/>
        <v>126480.38286479251</v>
      </c>
      <c r="T16" s="161">
        <f t="shared" si="7"/>
        <v>148288.1124497992</v>
      </c>
      <c r="U16" s="161">
        <f t="shared" si="7"/>
        <v>31335.710843373494</v>
      </c>
      <c r="V16" s="161">
        <f t="shared" si="7"/>
        <v>45949.832663989291</v>
      </c>
      <c r="W16" s="161">
        <f t="shared" si="7"/>
        <v>6083.005354752343</v>
      </c>
      <c r="Y16" s="139">
        <v>2032</v>
      </c>
      <c r="Z16" s="161">
        <f>ROUND(Z$2*($S16*AS$4+$T16*AS$5+$U16*AS$6+$V16*AS$7+$W16*AS$8),0)</f>
        <v>41738</v>
      </c>
      <c r="AA16" s="161">
        <f>ROUND(AA$2*($S16*AT$4+$T16*AT$5+$U16*AT$6+$V16*AT$7+$W16*AT$8),0)</f>
        <v>37600</v>
      </c>
      <c r="AB16" s="161">
        <f>ROUND(AB$2*($S16*AU$4+$T16*AU$5+$U16*AU$6+$V16*AU$7+$W16*AU$8),0)</f>
        <v>55922</v>
      </c>
      <c r="AC16" s="161">
        <f>ROUND(AC$2*($S16*AV$4+$T16*AV$5+$U16*AV$6+$V16*AV$7+$W16*AV$8),0)</f>
        <v>31217</v>
      </c>
      <c r="AD16" s="161">
        <f>ROUND(AD$2*($S16*AW$4+$T16*AW$5+$U16*AW$6+$V16*AW$7+$W16*AW$8),0)</f>
        <v>43732</v>
      </c>
      <c r="AE16" s="161">
        <f>ROUND(AE$2*($S16*AX$4+$T16*AX$5+$U16*AX$6+$V16*AX$7+$W16*AX$8),0)</f>
        <v>2196</v>
      </c>
      <c r="AF16" s="161">
        <f>ROUND(AF$2*($S16*AY$4+$T16*AY$5+$U16*AY$6+$V16*AY$7+$W16*AY$8),0)</f>
        <v>1400</v>
      </c>
      <c r="AH16" s="164">
        <f t="shared" si="4"/>
        <v>213805</v>
      </c>
      <c r="AJ16" s="166">
        <f>AJ4-Z4</f>
        <v>0</v>
      </c>
      <c r="AK16" s="166">
        <f>AK4-AA4</f>
        <v>0</v>
      </c>
      <c r="AL16" s="166">
        <f>AL4-AB4</f>
        <v>0</v>
      </c>
      <c r="AM16" s="166">
        <f>AM4-AC4</f>
        <v>0</v>
      </c>
      <c r="AN16" s="166">
        <f>AN4-AD4</f>
        <v>0</v>
      </c>
      <c r="AO16" s="166">
        <f>AO4-AE4</f>
        <v>0</v>
      </c>
      <c r="AP16" s="166">
        <f>AP4-AF4</f>
        <v>0</v>
      </c>
    </row>
    <row r="17" spans="1:42">
      <c r="A17" s="131" t="s">
        <v>237</v>
      </c>
      <c r="B17" s="126">
        <v>953</v>
      </c>
      <c r="C17" s="126">
        <v>799</v>
      </c>
      <c r="D17" s="126">
        <f t="shared" si="0"/>
        <v>-154</v>
      </c>
      <c r="E17" s="134">
        <f t="shared" si="1"/>
        <v>-0.16159496327387199</v>
      </c>
      <c r="G17" s="142">
        <v>2033</v>
      </c>
      <c r="H17" s="143">
        <v>4045806</v>
      </c>
      <c r="I17" s="143">
        <v>667883</v>
      </c>
      <c r="J17" s="143">
        <v>-3764</v>
      </c>
      <c r="K17" s="144">
        <v>-6.0000000000000001E-3</v>
      </c>
      <c r="L17" s="144">
        <v>0.16500000000000001</v>
      </c>
      <c r="M17" s="143">
        <v>471616</v>
      </c>
      <c r="N17" s="143">
        <v>-1922</v>
      </c>
      <c r="O17" s="144">
        <v>-4.0000000000000001E-3</v>
      </c>
      <c r="P17" s="144">
        <v>0.11700000000000001</v>
      </c>
      <c r="Q17" s="158">
        <f t="shared" si="3"/>
        <v>0.72948376137603632</v>
      </c>
      <c r="S17" s="161">
        <f t="shared" si="7"/>
        <v>126111.00115869641</v>
      </c>
      <c r="T17" s="161">
        <f t="shared" si="7"/>
        <v>147607.10006412203</v>
      </c>
      <c r="U17" s="161">
        <f t="shared" si="7"/>
        <v>31215.646653842261</v>
      </c>
      <c r="V17" s="161">
        <f t="shared" si="7"/>
        <v>45739.401415184548</v>
      </c>
      <c r="W17" s="161">
        <f t="shared" si="7"/>
        <v>6057.113608495607</v>
      </c>
      <c r="Y17" s="142">
        <v>2033</v>
      </c>
      <c r="Z17" s="161">
        <f>ROUND(Z$2*($S17*AS$4+$T17*AS$5+$U17*AS$6+$V17*AS$7+$W17*AS$8),0)</f>
        <v>41595</v>
      </c>
      <c r="AA17" s="161">
        <f>ROUND(AA$2*($S17*AT$4+$T17*AT$5+$U17*AT$6+$V17*AT$7+$W17*AT$8),0)</f>
        <v>37444</v>
      </c>
      <c r="AB17" s="161">
        <f>ROUND(AB$2*($S17*AU$4+$T17*AU$5+$U17*AU$6+$V17*AU$7+$W17*AU$8),0)</f>
        <v>55674</v>
      </c>
      <c r="AC17" s="161">
        <f>ROUND(AC$2*($S17*AV$4+$T17*AV$5+$U17*AV$6+$V17*AV$7+$W17*AV$8),0)</f>
        <v>31119</v>
      </c>
      <c r="AD17" s="161">
        <f>ROUND(AD$2*($S17*AW$4+$T17*AW$5+$U17*AW$6+$V17*AW$7+$W17*AW$8),0)</f>
        <v>43542</v>
      </c>
      <c r="AE17" s="161">
        <f>ROUND(AE$2*($S17*AX$4+$T17*AX$5+$U17*AX$6+$V17*AX$7+$W17*AX$8),0)</f>
        <v>2188</v>
      </c>
      <c r="AF17" s="161">
        <f>ROUND(AF$2*($S17*AY$4+$T17*AY$5+$U17*AY$6+$V17*AY$7+$W17*AY$8),0)</f>
        <v>1396</v>
      </c>
      <c r="AH17" s="164">
        <f t="shared" si="4"/>
        <v>212958</v>
      </c>
      <c r="AJ17" s="166">
        <f>AJ5-Z5</f>
        <v>0</v>
      </c>
      <c r="AK17" s="166">
        <f>AK5-AA5</f>
        <v>0</v>
      </c>
      <c r="AL17" s="166">
        <f>AL5-AB5</f>
        <v>0</v>
      </c>
      <c r="AM17" s="166">
        <f>AM5-AC5</f>
        <v>0</v>
      </c>
      <c r="AN17" s="166">
        <f>AN5-AD5</f>
        <v>0</v>
      </c>
      <c r="AO17" s="166">
        <f>AO5-AE5</f>
        <v>0</v>
      </c>
      <c r="AP17" s="166">
        <f>AP5-AF5</f>
        <v>0</v>
      </c>
    </row>
    <row r="18" spans="1:42">
      <c r="A18" s="130" t="s">
        <v>238</v>
      </c>
      <c r="B18" s="125">
        <v>1002</v>
      </c>
      <c r="C18" s="125">
        <v>2007</v>
      </c>
      <c r="D18" s="125">
        <f t="shared" si="0"/>
        <v>1005</v>
      </c>
      <c r="E18" s="133">
        <f t="shared" si="1"/>
        <v>1.0029940119760479</v>
      </c>
      <c r="G18" s="139">
        <v>2034</v>
      </c>
      <c r="H18" s="140">
        <v>4101768</v>
      </c>
      <c r="I18" s="140">
        <v>665561</v>
      </c>
      <c r="J18" s="140">
        <v>-2322</v>
      </c>
      <c r="K18" s="141">
        <v>-3.0000000000000001E-3</v>
      </c>
      <c r="L18" s="141">
        <v>0.16200000000000001</v>
      </c>
      <c r="M18" s="140">
        <v>469143</v>
      </c>
      <c r="N18" s="140">
        <v>-2473</v>
      </c>
      <c r="O18" s="141">
        <v>-5.0000000000000001E-3</v>
      </c>
      <c r="P18" s="141">
        <v>0.114</v>
      </c>
      <c r="Q18" s="158">
        <f t="shared" si="3"/>
        <v>0.71557377971268832</v>
      </c>
      <c r="S18" s="161">
        <f t="shared" si="7"/>
        <v>125635.72490522313</v>
      </c>
      <c r="T18" s="161">
        <f t="shared" si="7"/>
        <v>146730.85467922108</v>
      </c>
      <c r="U18" s="161">
        <f t="shared" si="7"/>
        <v>31061.162397489115</v>
      </c>
      <c r="V18" s="161">
        <f t="shared" si="7"/>
        <v>45468.643622107476</v>
      </c>
      <c r="W18" s="161">
        <f t="shared" si="7"/>
        <v>6023.7992024118885</v>
      </c>
      <c r="Y18" s="139">
        <v>2034</v>
      </c>
      <c r="Z18" s="161">
        <f>ROUND(Z$2*($S18*AS$4+$T18*AS$5+$U18*AS$6+$V18*AS$7+$W18*AS$8),0)</f>
        <v>41412</v>
      </c>
      <c r="AA18" s="161">
        <f>ROUND(AA$2*($S18*AT$4+$T18*AT$5+$U18*AT$6+$V18*AT$7+$W18*AT$8),0)</f>
        <v>37244</v>
      </c>
      <c r="AB18" s="161">
        <f>ROUND(AB$2*($S18*AU$4+$T18*AU$5+$U18*AU$6+$V18*AU$7+$W18*AU$8),0)</f>
        <v>55355</v>
      </c>
      <c r="AC18" s="161">
        <f>ROUND(AC$2*($S18*AV$4+$T18*AV$5+$U18*AV$6+$V18*AV$7+$W18*AV$8),0)</f>
        <v>30993</v>
      </c>
      <c r="AD18" s="161">
        <f>ROUND(AD$2*($S18*AW$4+$T18*AW$5+$U18*AW$6+$V18*AW$7+$W18*AW$8),0)</f>
        <v>43297</v>
      </c>
      <c r="AE18" s="161">
        <f>ROUND(AE$2*($S18*AX$4+$T18*AX$5+$U18*AX$6+$V18*AX$7+$W18*AX$8),0)</f>
        <v>2177</v>
      </c>
      <c r="AF18" s="161">
        <f>ROUND(AF$2*($S18*AY$4+$T18*AY$5+$U18*AY$6+$V18*AY$7+$W18*AY$8),0)</f>
        <v>1391</v>
      </c>
      <c r="AH18" s="164">
        <f t="shared" si="4"/>
        <v>211869</v>
      </c>
      <c r="AJ18" s="166">
        <f>AJ6-Z6</f>
        <v>0</v>
      </c>
      <c r="AK18" s="166">
        <f>AK6-AA6</f>
        <v>0</v>
      </c>
      <c r="AL18" s="166">
        <f>AL6-AB6</f>
        <v>0</v>
      </c>
      <c r="AM18" s="166">
        <f>AM6-AC6</f>
        <v>0</v>
      </c>
      <c r="AN18" s="166">
        <f>AN6-AD6</f>
        <v>0</v>
      </c>
      <c r="AO18" s="166">
        <f>AO6-AE6</f>
        <v>0</v>
      </c>
      <c r="AP18" s="166">
        <f>AP6-AF6</f>
        <v>0</v>
      </c>
    </row>
    <row r="19" spans="1:42">
      <c r="A19" s="131" t="s">
        <v>239</v>
      </c>
      <c r="B19" s="126">
        <v>121</v>
      </c>
      <c r="C19" s="126">
        <v>128</v>
      </c>
      <c r="D19" s="126">
        <f t="shared" si="0"/>
        <v>7</v>
      </c>
      <c r="E19" s="134">
        <f t="shared" si="1"/>
        <v>5.7851239669421489E-2</v>
      </c>
      <c r="G19" s="142">
        <v>2035</v>
      </c>
      <c r="H19" s="143">
        <v>4158181</v>
      </c>
      <c r="I19" s="143">
        <v>665512</v>
      </c>
      <c r="J19" s="145">
        <v>-49</v>
      </c>
      <c r="K19" s="144">
        <v>0</v>
      </c>
      <c r="L19" s="144">
        <v>0.16</v>
      </c>
      <c r="M19" s="143">
        <v>465753</v>
      </c>
      <c r="N19" s="143">
        <v>-3390</v>
      </c>
      <c r="O19" s="144">
        <v>-7.0000000000000001E-3</v>
      </c>
      <c r="P19" s="144">
        <v>0.112</v>
      </c>
      <c r="Q19" s="158">
        <f t="shared" si="3"/>
        <v>0.69650591160158848</v>
      </c>
      <c r="S19" s="161">
        <f t="shared" si="7"/>
        <v>124984.21398760307</v>
      </c>
      <c r="T19" s="161">
        <f t="shared" si="7"/>
        <v>145529.69339543045</v>
      </c>
      <c r="U19" s="161">
        <f t="shared" si="7"/>
        <v>30849.39465424724</v>
      </c>
      <c r="V19" s="161">
        <f t="shared" si="7"/>
        <v>45097.48756932492</v>
      </c>
      <c r="W19" s="161">
        <f t="shared" si="7"/>
        <v>5978.1316582858044</v>
      </c>
      <c r="Y19" s="142">
        <v>2035</v>
      </c>
      <c r="Z19" s="161">
        <f>ROUND(Z$2*($S19*AS$4+$T19*AS$5+$U19*AS$6+$V19*AS$7+$W19*AS$8),0)</f>
        <v>41161</v>
      </c>
      <c r="AA19" s="161">
        <f>ROUND(AA$2*($S19*AT$4+$T19*AT$5+$U19*AT$6+$V19*AT$7+$W19*AT$8),0)</f>
        <v>36970</v>
      </c>
      <c r="AB19" s="161">
        <f>ROUND(AB$2*($S19*AU$4+$T19*AU$5+$U19*AU$6+$V19*AU$7+$W19*AU$8),0)</f>
        <v>54918</v>
      </c>
      <c r="AC19" s="161">
        <f>ROUND(AC$2*($S19*AV$4+$T19*AV$5+$U19*AV$6+$V19*AV$7+$W19*AV$8),0)</f>
        <v>30820</v>
      </c>
      <c r="AD19" s="161">
        <f>ROUND(AD$2*($S19*AW$4+$T19*AW$5+$U19*AW$6+$V19*AW$7+$W19*AW$8),0)</f>
        <v>42961</v>
      </c>
      <c r="AE19" s="161">
        <f>ROUND(AE$2*($S19*AX$4+$T19*AX$5+$U19*AX$6+$V19*AX$7+$W19*AX$8),0)</f>
        <v>2163</v>
      </c>
      <c r="AF19" s="161">
        <f>ROUND(AF$2*($S19*AY$4+$T19*AY$5+$U19*AY$6+$V19*AY$7+$W19*AY$8),0)</f>
        <v>1383</v>
      </c>
      <c r="AH19" s="164">
        <f t="shared" si="4"/>
        <v>210376</v>
      </c>
      <c r="AJ19" s="166">
        <f>AJ7-Z7</f>
        <v>0</v>
      </c>
      <c r="AK19" s="166">
        <f>AK7-AA7</f>
        <v>0</v>
      </c>
      <c r="AL19" s="166">
        <f>AL7-AB7</f>
        <v>0</v>
      </c>
      <c r="AM19" s="166">
        <f>AM7-AC7</f>
        <v>0</v>
      </c>
      <c r="AN19" s="166">
        <f>AN7-AD7</f>
        <v>0</v>
      </c>
      <c r="AO19" s="166">
        <f>AO7-AE7</f>
        <v>0</v>
      </c>
      <c r="AP19" s="166">
        <f>AP7-AF7</f>
        <v>0</v>
      </c>
    </row>
    <row r="20" spans="1:42">
      <c r="A20" s="130" t="s">
        <v>240</v>
      </c>
      <c r="B20" s="123">
        <v>162</v>
      </c>
      <c r="C20" s="123">
        <v>288</v>
      </c>
      <c r="D20" s="123">
        <f t="shared" si="0"/>
        <v>126</v>
      </c>
      <c r="E20" s="133">
        <f t="shared" si="1"/>
        <v>0.77777777777777779</v>
      </c>
      <c r="G20" s="139">
        <v>2036</v>
      </c>
      <c r="H20" s="140">
        <v>4214821</v>
      </c>
      <c r="I20" s="140">
        <v>668850</v>
      </c>
      <c r="J20" s="140">
        <v>3338</v>
      </c>
      <c r="K20" s="141">
        <v>5.0000000000000001E-3</v>
      </c>
      <c r="L20" s="141">
        <v>0.159</v>
      </c>
      <c r="M20" s="140">
        <v>461245</v>
      </c>
      <c r="N20" s="140">
        <v>-4508</v>
      </c>
      <c r="O20" s="141">
        <v>-0.01</v>
      </c>
      <c r="P20" s="141">
        <v>0.109</v>
      </c>
      <c r="Q20" s="158">
        <f t="shared" si="3"/>
        <v>0.67114958433172467</v>
      </c>
      <c r="S20" s="161">
        <f t="shared" si="7"/>
        <v>124117.83899744636</v>
      </c>
      <c r="T20" s="161">
        <f t="shared" si="7"/>
        <v>143932.39691539266</v>
      </c>
      <c r="U20" s="161">
        <f t="shared" si="7"/>
        <v>30567.787283588135</v>
      </c>
      <c r="V20" s="161">
        <f t="shared" si="7"/>
        <v>44603.926659017023</v>
      </c>
      <c r="W20" s="161">
        <f t="shared" si="7"/>
        <v>5917.4032544744805</v>
      </c>
      <c r="Y20" s="139">
        <v>2036</v>
      </c>
      <c r="Z20" s="161">
        <f>ROUND(Z$2*($S20*AS$4+$T20*AS$5+$U20*AS$6+$V20*AS$7+$W20*AS$8),0)</f>
        <v>40826</v>
      </c>
      <c r="AA20" s="161">
        <f>ROUND(AA$2*($S20*AT$4+$T20*AT$5+$U20*AT$6+$V20*AT$7+$W20*AT$8),0)</f>
        <v>36606</v>
      </c>
      <c r="AB20" s="161">
        <f>ROUND(AB$2*($S20*AU$4+$T20*AU$5+$U20*AU$6+$V20*AU$7+$W20*AU$8),0)</f>
        <v>54337</v>
      </c>
      <c r="AC20" s="161">
        <f>ROUND(AC$2*($S20*AV$4+$T20*AV$5+$U20*AV$6+$V20*AV$7+$W20*AV$8),0)</f>
        <v>30590</v>
      </c>
      <c r="AD20" s="161">
        <f>ROUND(AD$2*($S20*AW$4+$T20*AW$5+$U20*AW$6+$V20*AW$7+$W20*AW$8),0)</f>
        <v>42514</v>
      </c>
      <c r="AE20" s="161">
        <f>ROUND(AE$2*($S20*AX$4+$T20*AX$5+$U20*AX$6+$V20*AX$7+$W20*AX$8),0)</f>
        <v>2144</v>
      </c>
      <c r="AF20" s="161">
        <f>ROUND(AF$2*($S20*AY$4+$T20*AY$5+$U20*AY$6+$V20*AY$7+$W20*AY$8),0)</f>
        <v>1374</v>
      </c>
      <c r="AH20" s="164">
        <f t="shared" si="4"/>
        <v>208391</v>
      </c>
      <c r="AJ20" s="166">
        <f>AJ8-Z8</f>
        <v>-99</v>
      </c>
      <c r="AK20" s="166">
        <f>AK8-AA8</f>
        <v>-289</v>
      </c>
      <c r="AL20" s="166">
        <f>AL8-AB8</f>
        <v>-692</v>
      </c>
      <c r="AM20" s="166">
        <f>AM8-AC8</f>
        <v>4819</v>
      </c>
      <c r="AN20" s="166">
        <f>AN8-AD8</f>
        <v>-37</v>
      </c>
      <c r="AO20" s="166">
        <f>AO8-AE8</f>
        <v>27</v>
      </c>
      <c r="AP20" s="166">
        <f>AP8-AF8</f>
        <v>22</v>
      </c>
    </row>
    <row r="21" spans="1:42">
      <c r="A21" s="149" t="s">
        <v>241</v>
      </c>
      <c r="B21" s="150">
        <v>101186</v>
      </c>
      <c r="C21" s="150">
        <v>135354</v>
      </c>
      <c r="D21" s="150">
        <f t="shared" si="0"/>
        <v>34168</v>
      </c>
      <c r="E21" s="151">
        <f t="shared" si="1"/>
        <v>0.33767517245468742</v>
      </c>
      <c r="G21" s="142">
        <v>2037</v>
      </c>
      <c r="H21" s="143">
        <v>4271482</v>
      </c>
      <c r="I21" s="143">
        <v>674546</v>
      </c>
      <c r="J21" s="143">
        <v>5696</v>
      </c>
      <c r="K21" s="144">
        <v>8.9999999999999993E-3</v>
      </c>
      <c r="L21" s="144">
        <v>0.158</v>
      </c>
      <c r="M21" s="143">
        <v>457161</v>
      </c>
      <c r="N21" s="143">
        <v>-4084</v>
      </c>
      <c r="O21" s="144">
        <v>-8.9999999999999993E-3</v>
      </c>
      <c r="P21" s="144">
        <v>0.107</v>
      </c>
      <c r="Q21" s="158">
        <f t="shared" si="3"/>
        <v>0.64817814676071228</v>
      </c>
      <c r="S21" s="161">
        <f t="shared" si="7"/>
        <v>123332.95091852001</v>
      </c>
      <c r="T21" s="161">
        <f t="shared" si="7"/>
        <v>142485.33417704431</v>
      </c>
      <c r="U21" s="161">
        <f t="shared" si="7"/>
        <v>30312.666497924471</v>
      </c>
      <c r="V21" s="161">
        <f t="shared" si="7"/>
        <v>44156.787626697267</v>
      </c>
      <c r="W21" s="161">
        <f t="shared" si="7"/>
        <v>5862.3866614919061</v>
      </c>
      <c r="Y21" s="142">
        <v>2037</v>
      </c>
      <c r="Z21" s="161">
        <f>ROUND(Z$2*($S21*AS$4+$T21*AS$5+$U21*AS$6+$V21*AS$7+$W21*AS$8),0)</f>
        <v>40524</v>
      </c>
      <c r="AA21" s="161">
        <f>ROUND(AA$2*($S21*AT$4+$T21*AT$5+$U21*AT$6+$V21*AT$7+$W21*AT$8),0)</f>
        <v>36276</v>
      </c>
      <c r="AB21" s="161">
        <f>ROUND(AB$2*($S21*AU$4+$T21*AU$5+$U21*AU$6+$V21*AU$7+$W21*AU$8),0)</f>
        <v>53810</v>
      </c>
      <c r="AC21" s="161">
        <f>ROUND(AC$2*($S21*AV$4+$T21*AV$5+$U21*AV$6+$V21*AV$7+$W21*AV$8),0)</f>
        <v>30382</v>
      </c>
      <c r="AD21" s="161">
        <f>ROUND(AD$2*($S21*AW$4+$T21*AW$5+$U21*AW$6+$V21*AW$7+$W21*AW$8),0)</f>
        <v>42109</v>
      </c>
      <c r="AE21" s="161">
        <f>ROUND(AE$2*($S21*AX$4+$T21*AX$5+$U21*AX$6+$V21*AX$7+$W21*AX$8),0)</f>
        <v>2127</v>
      </c>
      <c r="AF21" s="161">
        <f>ROUND(AF$2*($S21*AY$4+$T21*AY$5+$U21*AY$6+$V21*AY$7+$W21*AY$8),0)</f>
        <v>1365</v>
      </c>
      <c r="AH21" s="164">
        <f t="shared" si="4"/>
        <v>206593</v>
      </c>
      <c r="AJ21" s="166">
        <f>AJ9-Z9</f>
        <v>-1132</v>
      </c>
      <c r="AK21" s="166">
        <f>AK9-AA9</f>
        <v>-1474</v>
      </c>
      <c r="AL21" s="166">
        <f>AL9-AB9</f>
        <v>-1266</v>
      </c>
      <c r="AM21" s="166">
        <f>AM9-AC9</f>
        <v>3906</v>
      </c>
      <c r="AN21" s="166">
        <f>AN9-AD9</f>
        <v>-1266</v>
      </c>
      <c r="AO21" s="166">
        <f>AO9-AE9</f>
        <v>-14</v>
      </c>
      <c r="AP21" s="166">
        <f>AP9-AF9</f>
        <v>45</v>
      </c>
    </row>
    <row r="22" spans="1:42">
      <c r="A22" s="130" t="s">
        <v>242</v>
      </c>
      <c r="B22" s="125">
        <v>1163</v>
      </c>
      <c r="C22" s="125">
        <v>1399</v>
      </c>
      <c r="D22" s="125">
        <f t="shared" si="0"/>
        <v>236</v>
      </c>
      <c r="E22" s="133">
        <f t="shared" si="1"/>
        <v>0.20292347377472056</v>
      </c>
      <c r="G22" s="139">
        <v>2038</v>
      </c>
      <c r="H22" s="140">
        <v>4327969</v>
      </c>
      <c r="I22" s="140">
        <v>682242</v>
      </c>
      <c r="J22" s="140">
        <v>7696</v>
      </c>
      <c r="K22" s="141">
        <v>1.0999999999999999E-2</v>
      </c>
      <c r="L22" s="141">
        <v>0.158</v>
      </c>
      <c r="M22" s="140">
        <v>451693</v>
      </c>
      <c r="N22" s="140">
        <v>-5468</v>
      </c>
      <c r="O22" s="141">
        <v>-1.2E-2</v>
      </c>
      <c r="P22" s="141">
        <v>0.104</v>
      </c>
      <c r="Q22" s="158">
        <f t="shared" si="3"/>
        <v>0.6174220692292981</v>
      </c>
      <c r="S22" s="161">
        <f t="shared" si="7"/>
        <v>122282.07726142666</v>
      </c>
      <c r="T22" s="161">
        <f t="shared" si="7"/>
        <v>140547.88582903042</v>
      </c>
      <c r="U22" s="161">
        <f t="shared" si="7"/>
        <v>29971.089500860584</v>
      </c>
      <c r="V22" s="161">
        <f t="shared" si="7"/>
        <v>43558.120577548289</v>
      </c>
      <c r="W22" s="161">
        <f t="shared" si="7"/>
        <v>5788.7258558041685</v>
      </c>
      <c r="Y22" s="139">
        <v>2038</v>
      </c>
      <c r="Z22" s="161">
        <f>ROUND(Z$2*($S22*AS$4+$T22*AS$5+$U22*AS$6+$V22*AS$7+$W22*AS$8),0)</f>
        <v>40118</v>
      </c>
      <c r="AA22" s="161">
        <f>ROUND(AA$2*($S22*AT$4+$T22*AT$5+$U22*AT$6+$V22*AT$7+$W22*AT$8),0)</f>
        <v>35834</v>
      </c>
      <c r="AB22" s="161">
        <f>ROUND(AB$2*($S22*AU$4+$T22*AU$5+$U22*AU$6+$V22*AU$7+$W22*AU$8),0)</f>
        <v>53105</v>
      </c>
      <c r="AC22" s="161">
        <f>ROUND(AC$2*($S22*AV$4+$T22*AV$5+$U22*AV$6+$V22*AV$7+$W22*AV$8),0)</f>
        <v>30104</v>
      </c>
      <c r="AD22" s="161">
        <f>ROUND(AD$2*($S22*AW$4+$T22*AW$5+$U22*AW$6+$V22*AW$7+$W22*AW$8),0)</f>
        <v>41568</v>
      </c>
      <c r="AE22" s="161">
        <f>ROUND(AE$2*($S22*AX$4+$T22*AX$5+$U22*AX$6+$V22*AX$7+$W22*AX$8),0)</f>
        <v>2105</v>
      </c>
      <c r="AF22" s="161">
        <f>ROUND(AF$2*($S22*AY$4+$T22*AY$5+$U22*AY$6+$V22*AY$7+$W22*AY$8),0)</f>
        <v>1353</v>
      </c>
      <c r="AH22" s="164">
        <f t="shared" si="4"/>
        <v>204187</v>
      </c>
      <c r="AJ22" s="166">
        <f>AJ10-Z10</f>
        <v>-2498</v>
      </c>
      <c r="AK22" s="166">
        <f>AK10-AA10</f>
        <v>-2872</v>
      </c>
      <c r="AL22" s="166">
        <f>AL10-AB10</f>
        <v>-2614</v>
      </c>
      <c r="AM22" s="166">
        <f>AM10-AC10</f>
        <v>2753</v>
      </c>
      <c r="AN22" s="166">
        <f>AN10-AD10</f>
        <v>-3340</v>
      </c>
      <c r="AO22" s="166">
        <f>AO10-AE10</f>
        <v>-68</v>
      </c>
      <c r="AP22" s="166">
        <f>AP10-AF10</f>
        <v>62</v>
      </c>
    </row>
    <row r="23" spans="1:42">
      <c r="A23" s="131" t="s">
        <v>243</v>
      </c>
      <c r="B23" s="124">
        <v>5072</v>
      </c>
      <c r="C23" s="124">
        <v>6915</v>
      </c>
      <c r="D23" s="124">
        <f t="shared" si="0"/>
        <v>1843</v>
      </c>
      <c r="E23" s="134">
        <f t="shared" si="1"/>
        <v>0.36336750788643535</v>
      </c>
      <c r="G23" s="142">
        <v>2039</v>
      </c>
      <c r="H23" s="143">
        <v>4384194</v>
      </c>
      <c r="I23" s="143">
        <v>691631</v>
      </c>
      <c r="J23" s="143">
        <v>9389</v>
      </c>
      <c r="K23" s="144">
        <v>1.4E-2</v>
      </c>
      <c r="L23" s="144">
        <v>0.158</v>
      </c>
      <c r="M23" s="143">
        <v>445548</v>
      </c>
      <c r="N23" s="143">
        <v>-6145</v>
      </c>
      <c r="O23" s="144">
        <v>-1.4E-2</v>
      </c>
      <c r="P23" s="144">
        <v>0.10199999999999999</v>
      </c>
      <c r="Q23" s="158">
        <f t="shared" si="3"/>
        <v>0.58285804281551978</v>
      </c>
      <c r="S23" s="161">
        <f t="shared" si="7"/>
        <v>121101.09360692068</v>
      </c>
      <c r="T23" s="161">
        <f t="shared" si="7"/>
        <v>138370.55954912084</v>
      </c>
      <c r="U23" s="161">
        <f t="shared" si="7"/>
        <v>29587.221423509163</v>
      </c>
      <c r="V23" s="161">
        <f t="shared" si="7"/>
        <v>42885.331803404093</v>
      </c>
      <c r="W23" s="161">
        <f t="shared" si="7"/>
        <v>5705.9450125431704</v>
      </c>
      <c r="Y23" s="142">
        <v>2039</v>
      </c>
      <c r="Z23" s="161">
        <f>ROUND(Z$2*($S23*AS$4+$T23*AS$5+$U23*AS$6+$V23*AS$7+$W23*AS$8),0)</f>
        <v>39663</v>
      </c>
      <c r="AA23" s="161">
        <f>ROUND(AA$2*($S23*AT$4+$T23*AT$5+$U23*AT$6+$V23*AT$7+$W23*AT$8),0)</f>
        <v>35337</v>
      </c>
      <c r="AB23" s="161">
        <f>ROUND(AB$2*($S23*AU$4+$T23*AU$5+$U23*AU$6+$V23*AU$7+$W23*AU$8),0)</f>
        <v>52312</v>
      </c>
      <c r="AC23" s="161">
        <f>ROUND(AC$2*($S23*AV$4+$T23*AV$5+$U23*AV$6+$V23*AV$7+$W23*AV$8),0)</f>
        <v>29790</v>
      </c>
      <c r="AD23" s="161">
        <f>ROUND(AD$2*($S23*AW$4+$T23*AW$5+$U23*AW$6+$V23*AW$7+$W23*AW$8),0)</f>
        <v>40959</v>
      </c>
      <c r="AE23" s="161">
        <f>ROUND(AE$2*($S23*AX$4+$T23*AX$5+$U23*AX$6+$V23*AX$7+$W23*AX$8),0)</f>
        <v>2079</v>
      </c>
      <c r="AF23" s="161">
        <f>ROUND(AF$2*($S23*AY$4+$T23*AY$5+$U23*AY$6+$V23*AY$7+$W23*AY$8),0)</f>
        <v>1340</v>
      </c>
      <c r="AH23" s="164">
        <f t="shared" si="4"/>
        <v>201480</v>
      </c>
      <c r="AJ23" s="166">
        <f>AJ11-Z11</f>
        <v>-3565</v>
      </c>
      <c r="AK23" s="166">
        <f>AK11-AA11</f>
        <v>-3902</v>
      </c>
      <c r="AL23" s="166">
        <f>AL11-AB11</f>
        <v>-3666</v>
      </c>
      <c r="AM23" s="166">
        <f>AM11-AC11</f>
        <v>1802</v>
      </c>
      <c r="AN23" s="166">
        <f>AN11-AD11</f>
        <v>-4969</v>
      </c>
      <c r="AO23" s="166">
        <f>AO11-AE11</f>
        <v>-103</v>
      </c>
      <c r="AP23" s="166">
        <f>AP11-AF11</f>
        <v>88</v>
      </c>
    </row>
    <row r="24" spans="1:42">
      <c r="A24" s="130" t="s">
        <v>244</v>
      </c>
      <c r="B24" s="125">
        <v>1562</v>
      </c>
      <c r="C24" s="125">
        <v>1612</v>
      </c>
      <c r="D24" s="125">
        <f t="shared" si="0"/>
        <v>50</v>
      </c>
      <c r="E24" s="133">
        <f t="shared" si="1"/>
        <v>3.2010243277848911E-2</v>
      </c>
      <c r="G24" s="139">
        <v>2040</v>
      </c>
      <c r="H24" s="140">
        <v>4440560</v>
      </c>
      <c r="I24" s="140">
        <v>702706</v>
      </c>
      <c r="J24" s="140">
        <v>11075</v>
      </c>
      <c r="K24" s="141">
        <v>1.6E-2</v>
      </c>
      <c r="L24" s="141">
        <v>0.158</v>
      </c>
      <c r="M24" s="140">
        <v>438677</v>
      </c>
      <c r="N24" s="140">
        <v>-6871</v>
      </c>
      <c r="O24" s="141">
        <v>-1.4999999999999999E-2</v>
      </c>
      <c r="P24" s="141">
        <v>9.9000000000000005E-2</v>
      </c>
      <c r="Q24" s="158">
        <f t="shared" si="3"/>
        <v>0.54421045526644396</v>
      </c>
      <c r="S24" s="161">
        <f t="shared" ref="S24:W33" si="8">_xlfn.XLOOKUP(S$3 &amp; " County", $A$3:$A$32,$B$3:$B$32) + (_xlfn.XLOOKUP(S$3 &amp; " County", $A$3:$A$32,$C$3:$C$32) - _xlfn.XLOOKUP(S$3 &amp; " County", $A$3:$A$32,$B$3:$B$32)) * $Q24</f>
        <v>119780.58283554386</v>
      </c>
      <c r="T24" s="161">
        <f t="shared" si="8"/>
        <v>135935.99341905437</v>
      </c>
      <c r="U24" s="161">
        <f t="shared" si="8"/>
        <v>29158.001316189126</v>
      </c>
      <c r="V24" s="161">
        <f t="shared" si="8"/>
        <v>42133.05651176133</v>
      </c>
      <c r="W24" s="161">
        <f t="shared" si="8"/>
        <v>5613.384040363133</v>
      </c>
      <c r="Y24" s="139">
        <v>2040</v>
      </c>
      <c r="Z24" s="161">
        <f>ROUND(Z$2*($S24*AS$4+$T24*AS$5+$U24*AS$6+$V24*AS$7+$W24*AS$8),0)</f>
        <v>39153</v>
      </c>
      <c r="AA24" s="161">
        <f>ROUND(AA$2*($S24*AT$4+$T24*AT$5+$U24*AT$6+$V24*AT$7+$W24*AT$8),0)</f>
        <v>34782</v>
      </c>
      <c r="AB24" s="161">
        <f>ROUND(AB$2*($S24*AU$4+$T24*AU$5+$U24*AU$6+$V24*AU$7+$W24*AU$8),0)</f>
        <v>51426</v>
      </c>
      <c r="AC24" s="161">
        <f>ROUND(AC$2*($S24*AV$4+$T24*AV$5+$U24*AV$6+$V24*AV$7+$W24*AV$8),0)</f>
        <v>29440</v>
      </c>
      <c r="AD24" s="161">
        <f>ROUND(AD$2*($S24*AW$4+$T24*AW$5+$U24*AW$6+$V24*AW$7+$W24*AW$8),0)</f>
        <v>40278</v>
      </c>
      <c r="AE24" s="161">
        <f>ROUND(AE$2*($S24*AX$4+$T24*AX$5+$U24*AX$6+$V24*AX$7+$W24*AX$8),0)</f>
        <v>2050</v>
      </c>
      <c r="AF24" s="161">
        <f>ROUND(AF$2*($S24*AY$4+$T24*AY$5+$U24*AY$6+$V24*AY$7+$W24*AY$8),0)</f>
        <v>1326</v>
      </c>
      <c r="AH24" s="164">
        <f t="shared" si="4"/>
        <v>198455</v>
      </c>
      <c r="AJ24" s="166">
        <f>AJ12-Z12</f>
        <v>-4051</v>
      </c>
      <c r="AK24" s="166">
        <f>AK12-AA12</f>
        <v>-4132</v>
      </c>
      <c r="AL24" s="166">
        <f>AL12-AB12</f>
        <v>-3627</v>
      </c>
      <c r="AM24" s="166">
        <f>AM12-AC12</f>
        <v>1251</v>
      </c>
      <c r="AN24" s="166">
        <f>AN12-AD12</f>
        <v>-5660</v>
      </c>
      <c r="AO24" s="166">
        <f>AO12-AE12</f>
        <v>-98</v>
      </c>
      <c r="AP24" s="166">
        <f>AP12-AF12</f>
        <v>135</v>
      </c>
    </row>
    <row r="25" spans="1:42">
      <c r="A25" s="131" t="s">
        <v>245</v>
      </c>
      <c r="B25" s="124">
        <v>2988</v>
      </c>
      <c r="C25" s="124">
        <v>3850</v>
      </c>
      <c r="D25" s="124">
        <f t="shared" si="0"/>
        <v>862</v>
      </c>
      <c r="E25" s="134">
        <f t="shared" si="1"/>
        <v>0.28848728246318606</v>
      </c>
      <c r="G25" s="142">
        <v>2041</v>
      </c>
      <c r="H25" s="143">
        <v>4496514</v>
      </c>
      <c r="I25" s="143">
        <v>715056</v>
      </c>
      <c r="J25" s="143">
        <v>12350</v>
      </c>
      <c r="K25" s="144">
        <v>1.7999999999999999E-2</v>
      </c>
      <c r="L25" s="144">
        <v>0.159</v>
      </c>
      <c r="M25" s="143">
        <v>431836</v>
      </c>
      <c r="N25" s="143">
        <v>-6841</v>
      </c>
      <c r="O25" s="144">
        <v>-1.6E-2</v>
      </c>
      <c r="P25" s="144">
        <v>9.6000000000000002E-2</v>
      </c>
      <c r="Q25" s="158">
        <f t="shared" si="3"/>
        <v>0.50573160991304156</v>
      </c>
      <c r="S25" s="161">
        <f t="shared" si="8"/>
        <v>118465.8376475088</v>
      </c>
      <c r="T25" s="161">
        <f t="shared" si="8"/>
        <v>133512.05703486214</v>
      </c>
      <c r="U25" s="161">
        <f t="shared" si="8"/>
        <v>28730.655259694238</v>
      </c>
      <c r="V25" s="161">
        <f t="shared" si="8"/>
        <v>41384.065786957355</v>
      </c>
      <c r="W25" s="161">
        <f t="shared" si="8"/>
        <v>5521.227205741734</v>
      </c>
      <c r="Y25" s="142">
        <v>2041</v>
      </c>
      <c r="Z25" s="161">
        <f>ROUND(Z$2*($S25*AS$4+$T25*AS$5+$U25*AS$6+$V25*AS$7+$W25*AS$8),0)</f>
        <v>38646</v>
      </c>
      <c r="AA25" s="161">
        <f>ROUND(AA$2*($S25*AT$4+$T25*AT$5+$U25*AT$6+$V25*AT$7+$W25*AT$8),0)</f>
        <v>34229</v>
      </c>
      <c r="AB25" s="161">
        <f>ROUND(AB$2*($S25*AU$4+$T25*AU$5+$U25*AU$6+$V25*AU$7+$W25*AU$8),0)</f>
        <v>50543</v>
      </c>
      <c r="AC25" s="161">
        <f>ROUND(AC$2*($S25*AV$4+$T25*AV$5+$U25*AV$6+$V25*AV$7+$W25*AV$8),0)</f>
        <v>29092</v>
      </c>
      <c r="AD25" s="161">
        <f>ROUND(AD$2*($S25*AW$4+$T25*AW$5+$U25*AW$6+$V25*AW$7+$W25*AW$8),0)</f>
        <v>39600</v>
      </c>
      <c r="AE25" s="161">
        <f>ROUND(AE$2*($S25*AX$4+$T25*AX$5+$U25*AX$6+$V25*AX$7+$W25*AX$8),0)</f>
        <v>2022</v>
      </c>
      <c r="AF25" s="161">
        <f>ROUND(AF$2*($S25*AY$4+$T25*AY$5+$U25*AY$6+$V25*AY$7+$W25*AY$8),0)</f>
        <v>1311</v>
      </c>
      <c r="AH25" s="164">
        <f t="shared" si="4"/>
        <v>195443</v>
      </c>
    </row>
    <row r="26" spans="1:42">
      <c r="A26" s="130" t="s">
        <v>246</v>
      </c>
      <c r="B26" s="125">
        <v>6124</v>
      </c>
      <c r="C26" s="125">
        <v>10685</v>
      </c>
      <c r="D26" s="125">
        <f t="shared" si="0"/>
        <v>4561</v>
      </c>
      <c r="E26" s="133">
        <f t="shared" si="1"/>
        <v>0.74477465708687129</v>
      </c>
      <c r="G26" s="139">
        <v>2042</v>
      </c>
      <c r="H26" s="140">
        <v>4551744</v>
      </c>
      <c r="I26" s="140">
        <v>728040</v>
      </c>
      <c r="J26" s="140">
        <v>12984</v>
      </c>
      <c r="K26" s="141">
        <v>1.7999999999999999E-2</v>
      </c>
      <c r="L26" s="141">
        <v>0.16</v>
      </c>
      <c r="M26" s="140">
        <v>426178</v>
      </c>
      <c r="N26" s="140">
        <v>-5658</v>
      </c>
      <c r="O26" s="141">
        <v>-1.2999999999999999E-2</v>
      </c>
      <c r="P26" s="141">
        <v>9.4E-2</v>
      </c>
      <c r="Q26" s="158">
        <f t="shared" si="3"/>
        <v>0.47390683180902882</v>
      </c>
      <c r="S26" s="161">
        <f t="shared" si="8"/>
        <v>117378.4486292509</v>
      </c>
      <c r="T26" s="161">
        <f t="shared" si="8"/>
        <v>131507.28696297796</v>
      </c>
      <c r="U26" s="161">
        <f t="shared" si="8"/>
        <v>28377.209274071072</v>
      </c>
      <c r="V26" s="161">
        <f t="shared" si="8"/>
        <v>40764.596481162749</v>
      </c>
      <c r="W26" s="161">
        <f t="shared" si="8"/>
        <v>5445.006862182624</v>
      </c>
      <c r="Y26" s="139">
        <v>2042</v>
      </c>
      <c r="Z26" s="161">
        <f>ROUND(Z$2*($S26*AS$4+$T26*AS$5+$U26*AS$6+$V26*AS$7+$W26*AS$8),0)</f>
        <v>38227</v>
      </c>
      <c r="AA26" s="161">
        <f>ROUND(AA$2*($S26*AT$4+$T26*AT$5+$U26*AT$6+$V26*AT$7+$W26*AT$8),0)</f>
        <v>33771</v>
      </c>
      <c r="AB26" s="161">
        <f>ROUND(AB$2*($S26*AU$4+$T26*AU$5+$U26*AU$6+$V26*AU$7+$W26*AU$8),0)</f>
        <v>49814</v>
      </c>
      <c r="AC26" s="161">
        <f>ROUND(AC$2*($S26*AV$4+$T26*AV$5+$U26*AV$6+$V26*AV$7+$W26*AV$8),0)</f>
        <v>28803</v>
      </c>
      <c r="AD26" s="161">
        <f>ROUND(AD$2*($S26*AW$4+$T26*AW$5+$U26*AW$6+$V26*AW$7+$W26*AW$8),0)</f>
        <v>39040</v>
      </c>
      <c r="AE26" s="161">
        <f>ROUND(AE$2*($S26*AX$4+$T26*AX$5+$U26*AX$6+$V26*AX$7+$W26*AX$8),0)</f>
        <v>1998</v>
      </c>
      <c r="AF26" s="161">
        <f>ROUND(AF$2*($S26*AY$4+$T26*AY$5+$U26*AY$6+$V26*AY$7+$W26*AY$8),0)</f>
        <v>1299</v>
      </c>
      <c r="AH26" s="164">
        <f t="shared" si="4"/>
        <v>192952</v>
      </c>
    </row>
    <row r="27" spans="1:42">
      <c r="A27" s="131" t="s">
        <v>247</v>
      </c>
      <c r="B27" s="124">
        <v>2390</v>
      </c>
      <c r="C27" s="124">
        <v>3921</v>
      </c>
      <c r="D27" s="124">
        <f t="shared" si="0"/>
        <v>1531</v>
      </c>
      <c r="E27" s="134">
        <f t="shared" si="1"/>
        <v>0.64058577405857742</v>
      </c>
      <c r="G27" s="142">
        <v>2043</v>
      </c>
      <c r="H27" s="143">
        <v>4606307</v>
      </c>
      <c r="I27" s="143">
        <v>741271</v>
      </c>
      <c r="J27" s="143">
        <v>13231</v>
      </c>
      <c r="K27" s="144">
        <v>1.7999999999999999E-2</v>
      </c>
      <c r="L27" s="144">
        <v>0.161</v>
      </c>
      <c r="M27" s="143">
        <v>423040</v>
      </c>
      <c r="N27" s="143">
        <v>-3138</v>
      </c>
      <c r="O27" s="144">
        <v>-7.0000000000000001E-3</v>
      </c>
      <c r="P27" s="144">
        <v>9.1999999999999998E-2</v>
      </c>
      <c r="Q27" s="158">
        <f t="shared" si="3"/>
        <v>0.45625639814158597</v>
      </c>
      <c r="S27" s="161">
        <f t="shared" si="8"/>
        <v>116775.36861170171</v>
      </c>
      <c r="T27" s="161">
        <f t="shared" si="8"/>
        <v>130395.41554453108</v>
      </c>
      <c r="U27" s="161">
        <f t="shared" si="8"/>
        <v>28181.183557760454</v>
      </c>
      <c r="V27" s="161">
        <f t="shared" si="8"/>
        <v>40421.030789825971</v>
      </c>
      <c r="W27" s="161">
        <f t="shared" si="8"/>
        <v>5402.734073549098</v>
      </c>
      <c r="Y27" s="142">
        <v>2043</v>
      </c>
      <c r="Z27" s="161">
        <f>ROUND(Z$2*($S27*AS$4+$T27*AS$5+$U27*AS$6+$V27*AS$7+$W27*AS$8),0)</f>
        <v>37994</v>
      </c>
      <c r="AA27" s="161">
        <f>ROUND(AA$2*($S27*AT$4+$T27*AT$5+$U27*AT$6+$V27*AT$7+$W27*AT$8),0)</f>
        <v>33518</v>
      </c>
      <c r="AB27" s="161">
        <f>ROUND(AB$2*($S27*AU$4+$T27*AU$5+$U27*AU$6+$V27*AU$7+$W27*AU$8),0)</f>
        <v>49409</v>
      </c>
      <c r="AC27" s="161">
        <f>ROUND(AC$2*($S27*AV$4+$T27*AV$5+$U27*AV$6+$V27*AV$7+$W27*AV$8),0)</f>
        <v>28644</v>
      </c>
      <c r="AD27" s="161">
        <f>ROUND(AD$2*($S27*AW$4+$T27*AW$5+$U27*AW$6+$V27*AW$7+$W27*AW$8),0)</f>
        <v>38729</v>
      </c>
      <c r="AE27" s="161">
        <f>ROUND(AE$2*($S27*AX$4+$T27*AX$5+$U27*AX$6+$V27*AX$7+$W27*AX$8),0)</f>
        <v>1985</v>
      </c>
      <c r="AF27" s="161">
        <f>ROUND(AF$2*($S27*AY$4+$T27*AY$5+$U27*AY$6+$V27*AY$7+$W27*AY$8),0)</f>
        <v>1292</v>
      </c>
      <c r="AH27" s="164">
        <f t="shared" si="4"/>
        <v>191571</v>
      </c>
    </row>
    <row r="28" spans="1:42">
      <c r="A28" s="149" t="s">
        <v>248</v>
      </c>
      <c r="B28" s="150">
        <v>101654</v>
      </c>
      <c r="C28" s="150">
        <v>164648</v>
      </c>
      <c r="D28" s="150">
        <f t="shared" si="0"/>
        <v>62994</v>
      </c>
      <c r="E28" s="151">
        <f t="shared" si="1"/>
        <v>0.61969032207291397</v>
      </c>
      <c r="G28" s="139">
        <v>2044</v>
      </c>
      <c r="H28" s="140">
        <v>4659824</v>
      </c>
      <c r="I28" s="140">
        <v>754297</v>
      </c>
      <c r="J28" s="140">
        <v>13026</v>
      </c>
      <c r="K28" s="141">
        <v>1.7999999999999999E-2</v>
      </c>
      <c r="L28" s="141">
        <v>0.16200000000000001</v>
      </c>
      <c r="M28" s="140">
        <v>421771</v>
      </c>
      <c r="N28" s="140">
        <v>-1269</v>
      </c>
      <c r="O28" s="141">
        <v>-3.0000000000000001E-3</v>
      </c>
      <c r="P28" s="141">
        <v>9.0999999999999998E-2</v>
      </c>
      <c r="Q28" s="158">
        <f t="shared" si="3"/>
        <v>0.44911860326459901</v>
      </c>
      <c r="S28" s="161">
        <f t="shared" si="8"/>
        <v>116531.48443634482</v>
      </c>
      <c r="T28" s="161">
        <f t="shared" si="8"/>
        <v>129945.77729405015</v>
      </c>
      <c r="U28" s="161">
        <f t="shared" si="8"/>
        <v>28101.911207856636</v>
      </c>
      <c r="V28" s="161">
        <f t="shared" si="8"/>
        <v>40282.093612545417</v>
      </c>
      <c r="W28" s="161">
        <f t="shared" si="8"/>
        <v>5385.6390548187146</v>
      </c>
      <c r="Y28" s="139">
        <v>2044</v>
      </c>
      <c r="Z28" s="161">
        <f>ROUND(Z$2*($S28*AS$4+$T28*AS$5+$U28*AS$6+$V28*AS$7+$W28*AS$8),0)</f>
        <v>37900</v>
      </c>
      <c r="AA28" s="161">
        <f>ROUND(AA$2*($S28*AT$4+$T28*AT$5+$U28*AT$6+$V28*AT$7+$W28*AT$8),0)</f>
        <v>33415</v>
      </c>
      <c r="AB28" s="161">
        <f>ROUND(AB$2*($S28*AU$4+$T28*AU$5+$U28*AU$6+$V28*AU$7+$W28*AU$8),0)</f>
        <v>49245</v>
      </c>
      <c r="AC28" s="161">
        <f>ROUND(AC$2*($S28*AV$4+$T28*AV$5+$U28*AV$6+$V28*AV$7+$W28*AV$8),0)</f>
        <v>28579</v>
      </c>
      <c r="AD28" s="161">
        <f>ROUND(AD$2*($S28*AW$4+$T28*AW$5+$U28*AW$6+$V28*AW$7+$W28*AW$8),0)</f>
        <v>38603</v>
      </c>
      <c r="AE28" s="161">
        <f>ROUND(AE$2*($S28*AX$4+$T28*AX$5+$U28*AX$6+$V28*AX$7+$W28*AX$8),0)</f>
        <v>1980</v>
      </c>
      <c r="AF28" s="161">
        <f>ROUND(AF$2*($S28*AY$4+$T28*AY$5+$U28*AY$6+$V28*AY$7+$W28*AY$8),0)</f>
        <v>1290</v>
      </c>
      <c r="AH28" s="164">
        <f t="shared" si="4"/>
        <v>191012</v>
      </c>
    </row>
    <row r="29" spans="1:42">
      <c r="A29" s="131" t="s">
        <v>249</v>
      </c>
      <c r="B29" s="124">
        <v>2719</v>
      </c>
      <c r="C29" s="124">
        <v>6292</v>
      </c>
      <c r="D29" s="124">
        <f t="shared" si="0"/>
        <v>3573</v>
      </c>
      <c r="E29" s="134">
        <f t="shared" si="1"/>
        <v>1.3140860610518572</v>
      </c>
      <c r="G29" s="142">
        <v>2045</v>
      </c>
      <c r="H29" s="143">
        <v>4712762</v>
      </c>
      <c r="I29" s="143">
        <v>766978</v>
      </c>
      <c r="J29" s="143">
        <v>12681</v>
      </c>
      <c r="K29" s="144">
        <v>1.7000000000000001E-2</v>
      </c>
      <c r="L29" s="144">
        <v>0.16300000000000001</v>
      </c>
      <c r="M29" s="143">
        <v>422193</v>
      </c>
      <c r="N29" s="145">
        <v>422</v>
      </c>
      <c r="O29" s="144">
        <v>1E-3</v>
      </c>
      <c r="P29" s="144">
        <v>0.09</v>
      </c>
      <c r="Q29" s="158">
        <f t="shared" si="3"/>
        <v>0.4514922434837389</v>
      </c>
      <c r="S29" s="161">
        <f t="shared" si="8"/>
        <v>116612.58697535239</v>
      </c>
      <c r="T29" s="161">
        <f t="shared" si="8"/>
        <v>130095.30238601465</v>
      </c>
      <c r="U29" s="161">
        <f t="shared" si="8"/>
        <v>28128.272856130403</v>
      </c>
      <c r="V29" s="161">
        <f t="shared" si="8"/>
        <v>40328.296519410978</v>
      </c>
      <c r="W29" s="161">
        <f t="shared" si="8"/>
        <v>5391.3239231435546</v>
      </c>
      <c r="Y29" s="142">
        <v>2045</v>
      </c>
      <c r="Z29" s="161">
        <f>ROUND(Z$2*($S29*AS$4+$T29*AS$5+$U29*AS$6+$V29*AS$7+$W29*AS$8),0)</f>
        <v>37932</v>
      </c>
      <c r="AA29" s="161">
        <f>ROUND(AA$2*($S29*AT$4+$T29*AT$5+$U29*AT$6+$V29*AT$7+$W29*AT$8),0)</f>
        <v>33449</v>
      </c>
      <c r="AB29" s="161">
        <f>ROUND(AB$2*($S29*AU$4+$T29*AU$5+$U29*AU$6+$V29*AU$7+$W29*AU$8),0)</f>
        <v>49300</v>
      </c>
      <c r="AC29" s="161">
        <f>ROUND(AC$2*($S29*AV$4+$T29*AV$5+$U29*AV$6+$V29*AV$7+$W29*AV$8),0)</f>
        <v>28600</v>
      </c>
      <c r="AD29" s="161">
        <f>ROUND(AD$2*($S29*AW$4+$T29*AW$5+$U29*AW$6+$V29*AW$7+$W29*AW$8),0)</f>
        <v>38645</v>
      </c>
      <c r="AE29" s="161">
        <f>ROUND(AE$2*($S29*AX$4+$T29*AX$5+$U29*AX$6+$V29*AX$7+$W29*AX$8),0)</f>
        <v>1981</v>
      </c>
      <c r="AF29" s="161">
        <f>ROUND(AF$2*($S29*AY$4+$T29*AY$5+$U29*AY$6+$V29*AY$7+$W29*AY$8),0)</f>
        <v>1291</v>
      </c>
      <c r="AH29" s="164">
        <f t="shared" si="4"/>
        <v>191198</v>
      </c>
    </row>
    <row r="30" spans="1:42">
      <c r="A30" s="130" t="s">
        <v>250</v>
      </c>
      <c r="B30" s="125">
        <v>15549</v>
      </c>
      <c r="C30" s="125">
        <v>32579</v>
      </c>
      <c r="D30" s="125">
        <f t="shared" si="0"/>
        <v>17030</v>
      </c>
      <c r="E30" s="133">
        <f t="shared" si="1"/>
        <v>1.0952472827834587</v>
      </c>
      <c r="G30" s="139">
        <v>2046</v>
      </c>
      <c r="H30" s="140">
        <v>4765572</v>
      </c>
      <c r="I30" s="140">
        <v>778942</v>
      </c>
      <c r="J30" s="140">
        <v>11964</v>
      </c>
      <c r="K30" s="141">
        <v>1.6E-2</v>
      </c>
      <c r="L30" s="141">
        <v>0.16300000000000001</v>
      </c>
      <c r="M30" s="140">
        <v>424270</v>
      </c>
      <c r="N30" s="140">
        <v>2077</v>
      </c>
      <c r="O30" s="141">
        <v>5.0000000000000001E-3</v>
      </c>
      <c r="P30" s="141">
        <v>8.8999999999999996E-2</v>
      </c>
      <c r="Q30" s="158">
        <f t="shared" si="3"/>
        <v>0.46317482816419742</v>
      </c>
      <c r="S30" s="161">
        <f t="shared" si="8"/>
        <v>117011.7575287143</v>
      </c>
      <c r="T30" s="161">
        <f t="shared" si="8"/>
        <v>130831.23512537545</v>
      </c>
      <c r="U30" s="161">
        <f t="shared" si="8"/>
        <v>28258.019641591578</v>
      </c>
      <c r="V30" s="161">
        <f t="shared" si="8"/>
        <v>40555.698030216103</v>
      </c>
      <c r="W30" s="161">
        <f t="shared" si="8"/>
        <v>5419.3037134532533</v>
      </c>
      <c r="Y30" s="139">
        <v>2046</v>
      </c>
      <c r="Z30" s="161">
        <f>ROUND(Z$2*($S30*AS$4+$T30*AS$5+$U30*AS$6+$V30*AS$7+$W30*AS$8),0)</f>
        <v>38085</v>
      </c>
      <c r="AA30" s="161">
        <f>ROUND(AA$2*($S30*AT$4+$T30*AT$5+$U30*AT$6+$V30*AT$7+$W30*AT$8),0)</f>
        <v>33617</v>
      </c>
      <c r="AB30" s="161">
        <f>ROUND(AB$2*($S30*AU$4+$T30*AU$5+$U30*AU$6+$V30*AU$7+$W30*AU$8),0)</f>
        <v>49567</v>
      </c>
      <c r="AC30" s="161">
        <f>ROUND(AC$2*($S30*AV$4+$T30*AV$5+$U30*AV$6+$V30*AV$7+$W30*AV$8),0)</f>
        <v>28706</v>
      </c>
      <c r="AD30" s="161">
        <f>ROUND(AD$2*($S30*AW$4+$T30*AW$5+$U30*AW$6+$V30*AW$7+$W30*AW$8),0)</f>
        <v>38851</v>
      </c>
      <c r="AE30" s="161">
        <f>ROUND(AE$2*($S30*AX$4+$T30*AX$5+$U30*AX$6+$V30*AX$7+$W30*AX$8),0)</f>
        <v>1990</v>
      </c>
      <c r="AF30" s="161">
        <f>ROUND(AF$2*($S30*AY$4+$T30*AY$5+$U30*AY$6+$V30*AY$7+$W30*AY$8),0)</f>
        <v>1295</v>
      </c>
      <c r="AH30" s="164">
        <f t="shared" si="4"/>
        <v>192111</v>
      </c>
    </row>
    <row r="31" spans="1:42">
      <c r="A31" s="131" t="s">
        <v>251</v>
      </c>
      <c r="B31" s="126">
        <v>199</v>
      </c>
      <c r="C31" s="126">
        <v>240</v>
      </c>
      <c r="D31" s="126">
        <f t="shared" si="0"/>
        <v>41</v>
      </c>
      <c r="E31" s="134">
        <f t="shared" si="1"/>
        <v>0.20603015075376885</v>
      </c>
      <c r="G31" s="142">
        <v>2047</v>
      </c>
      <c r="H31" s="143">
        <v>4817728</v>
      </c>
      <c r="I31" s="143">
        <v>789884</v>
      </c>
      <c r="J31" s="143">
        <v>10942</v>
      </c>
      <c r="K31" s="144">
        <v>1.4E-2</v>
      </c>
      <c r="L31" s="144">
        <v>0.16400000000000001</v>
      </c>
      <c r="M31" s="143">
        <v>428103</v>
      </c>
      <c r="N31" s="143">
        <v>3833</v>
      </c>
      <c r="O31" s="144">
        <v>8.9999999999999993E-3</v>
      </c>
      <c r="P31" s="144">
        <v>8.8999999999999996E-2</v>
      </c>
      <c r="Q31" s="158">
        <f t="shared" si="3"/>
        <v>0.48473445603140852</v>
      </c>
      <c r="S31" s="161">
        <f t="shared" si="8"/>
        <v>117748.40689368117</v>
      </c>
      <c r="T31" s="161">
        <f t="shared" si="8"/>
        <v>132189.36232324256</v>
      </c>
      <c r="U31" s="161">
        <f t="shared" si="8"/>
        <v>28497.460868684822</v>
      </c>
      <c r="V31" s="161">
        <f t="shared" si="8"/>
        <v>40975.356186651363</v>
      </c>
      <c r="W31" s="161">
        <f t="shared" si="8"/>
        <v>5470.9390221952235</v>
      </c>
      <c r="Y31" s="142">
        <v>2047</v>
      </c>
      <c r="Z31" s="161">
        <f>ROUND(Z$2*($S31*AS$4+$T31*AS$5+$U31*AS$6+$V31*AS$7+$W31*AS$8),0)</f>
        <v>38370</v>
      </c>
      <c r="AA31" s="161">
        <f>ROUND(AA$2*($S31*AT$4+$T31*AT$5+$U31*AT$6+$V31*AT$7+$W31*AT$8),0)</f>
        <v>33927</v>
      </c>
      <c r="AB31" s="161">
        <f>ROUND(AB$2*($S31*AU$4+$T31*AU$5+$U31*AU$6+$V31*AU$7+$W31*AU$8),0)</f>
        <v>50062</v>
      </c>
      <c r="AC31" s="161">
        <f>ROUND(AC$2*($S31*AV$4+$T31*AV$5+$U31*AV$6+$V31*AV$7+$W31*AV$8),0)</f>
        <v>28902</v>
      </c>
      <c r="AD31" s="161">
        <f>ROUND(AD$2*($S31*AW$4+$T31*AW$5+$U31*AW$6+$V31*AW$7+$W31*AW$8),0)</f>
        <v>39230</v>
      </c>
      <c r="AE31" s="161">
        <f>ROUND(AE$2*($S31*AX$4+$T31*AX$5+$U31*AX$6+$V31*AX$7+$W31*AX$8),0)</f>
        <v>2006</v>
      </c>
      <c r="AF31" s="161">
        <f>ROUND(AF$2*($S31*AY$4+$T31*AY$5+$U31*AY$6+$V31*AY$7+$W31*AY$8),0)</f>
        <v>1303</v>
      </c>
      <c r="AH31" s="164">
        <f t="shared" si="4"/>
        <v>193800</v>
      </c>
    </row>
    <row r="32" spans="1:42">
      <c r="A32" s="152" t="s">
        <v>252</v>
      </c>
      <c r="B32" s="153">
        <v>23114</v>
      </c>
      <c r="C32" s="153">
        <v>34220</v>
      </c>
      <c r="D32" s="153">
        <f t="shared" si="0"/>
        <v>11106</v>
      </c>
      <c r="E32" s="154">
        <f t="shared" si="1"/>
        <v>0.48048801592108681</v>
      </c>
      <c r="G32" s="139">
        <v>2048</v>
      </c>
      <c r="H32" s="140">
        <v>4869323</v>
      </c>
      <c r="I32" s="140">
        <v>799488</v>
      </c>
      <c r="J32" s="140">
        <v>9604</v>
      </c>
      <c r="K32" s="141">
        <v>1.2E-2</v>
      </c>
      <c r="L32" s="141">
        <v>0.16400000000000001</v>
      </c>
      <c r="M32" s="140">
        <v>433670</v>
      </c>
      <c r="N32" s="140">
        <v>5567</v>
      </c>
      <c r="O32" s="141">
        <v>1.2999999999999999E-2</v>
      </c>
      <c r="P32" s="141">
        <v>8.8999999999999996E-2</v>
      </c>
      <c r="Q32" s="158">
        <f t="shared" si="3"/>
        <v>0.51604738280854512</v>
      </c>
      <c r="S32" s="161">
        <f t="shared" si="8"/>
        <v>118818.30697580238</v>
      </c>
      <c r="T32" s="161">
        <f t="shared" si="8"/>
        <v>134161.8888326415</v>
      </c>
      <c r="U32" s="161">
        <f t="shared" si="8"/>
        <v>28845.222233471701</v>
      </c>
      <c r="V32" s="161">
        <f t="shared" si="8"/>
        <v>41584.862306368334</v>
      </c>
      <c r="W32" s="161">
        <f t="shared" si="8"/>
        <v>5545.9334818264651</v>
      </c>
      <c r="Y32" s="139">
        <v>2048</v>
      </c>
      <c r="Z32" s="161">
        <f>ROUND(Z$2*($S32*AS$4+$T32*AS$5+$U32*AS$6+$V32*AS$7+$W32*AS$8),0)</f>
        <v>38782</v>
      </c>
      <c r="AA32" s="161">
        <f>ROUND(AA$2*($S32*AT$4+$T32*AT$5+$U32*AT$6+$V32*AT$7+$W32*AT$8),0)</f>
        <v>34377</v>
      </c>
      <c r="AB32" s="161">
        <f>ROUND(AB$2*($S32*AU$4+$T32*AU$5+$U32*AU$6+$V32*AU$7+$W32*AU$8),0)</f>
        <v>50780</v>
      </c>
      <c r="AC32" s="161">
        <f>ROUND(AC$2*($S32*AV$4+$T32*AV$5+$U32*AV$6+$V32*AV$7+$W32*AV$8),0)</f>
        <v>29185</v>
      </c>
      <c r="AD32" s="161">
        <f>ROUND(AD$2*($S32*AW$4+$T32*AW$5+$U32*AW$6+$V32*AW$7+$W32*AW$8),0)</f>
        <v>39782</v>
      </c>
      <c r="AE32" s="161">
        <f>ROUND(AE$2*($S32*AX$4+$T32*AX$5+$U32*AX$6+$V32*AX$7+$W32*AX$8),0)</f>
        <v>2029</v>
      </c>
      <c r="AF32" s="161">
        <f>ROUND(AF$2*($S32*AY$4+$T32*AY$5+$U32*AY$6+$V32*AY$7+$W32*AY$8),0)</f>
        <v>1315</v>
      </c>
      <c r="AH32" s="164">
        <f t="shared" si="4"/>
        <v>196250</v>
      </c>
    </row>
    <row r="33" spans="1:35">
      <c r="A33" s="167" t="s">
        <v>264</v>
      </c>
      <c r="B33" s="167"/>
      <c r="C33" s="167"/>
      <c r="D33" s="167"/>
      <c r="E33" s="167"/>
      <c r="G33" s="142">
        <v>2049</v>
      </c>
      <c r="H33" s="143">
        <v>4920070</v>
      </c>
      <c r="I33" s="143">
        <v>807575</v>
      </c>
      <c r="J33" s="143">
        <v>8087</v>
      </c>
      <c r="K33" s="144">
        <v>0.01</v>
      </c>
      <c r="L33" s="144">
        <v>0.16400000000000001</v>
      </c>
      <c r="M33" s="143">
        <v>440464</v>
      </c>
      <c r="N33" s="143">
        <v>6794</v>
      </c>
      <c r="O33" s="144">
        <v>1.6E-2</v>
      </c>
      <c r="P33" s="144">
        <v>0.09</v>
      </c>
      <c r="Q33" s="158">
        <f t="shared" si="3"/>
        <v>0.55426186538872579</v>
      </c>
      <c r="S33" s="161">
        <f t="shared" si="8"/>
        <v>120124.01941660198</v>
      </c>
      <c r="T33" s="161">
        <f t="shared" si="8"/>
        <v>136569.17194829739</v>
      </c>
      <c r="U33" s="161">
        <f t="shared" si="8"/>
        <v>29269.632277007189</v>
      </c>
      <c r="V33" s="161">
        <f t="shared" si="8"/>
        <v>42328.707209791552</v>
      </c>
      <c r="W33" s="161">
        <f t="shared" si="8"/>
        <v>5637.4571676059986</v>
      </c>
      <c r="Y33" s="142">
        <v>2049</v>
      </c>
      <c r="Z33" s="161">
        <f>ROUND(Z$2*($S33*AS$4+$T33*AS$5+$U33*AS$6+$V33*AS$7+$W33*AS$8),0)</f>
        <v>39286</v>
      </c>
      <c r="AA33" s="161">
        <f>ROUND(AA$2*($S33*AT$4+$T33*AT$5+$U33*AT$6+$V33*AT$7+$W33*AT$8),0)</f>
        <v>34926</v>
      </c>
      <c r="AB33" s="161">
        <f>ROUND(AB$2*($S33*AU$4+$T33*AU$5+$U33*AU$6+$V33*AU$7+$W33*AU$8),0)</f>
        <v>51656</v>
      </c>
      <c r="AC33" s="161">
        <f>ROUND(AC$2*($S33*AV$4+$T33*AV$5+$U33*AV$6+$V33*AV$7+$W33*AV$8),0)</f>
        <v>29531</v>
      </c>
      <c r="AD33" s="161">
        <f>ROUND(AD$2*($S33*AW$4+$T33*AW$5+$U33*AW$6+$V33*AW$7+$W33*AW$8),0)</f>
        <v>40455</v>
      </c>
      <c r="AE33" s="161">
        <f>ROUND(AE$2*($S33*AX$4+$T33*AX$5+$U33*AX$6+$V33*AX$7+$W33*AX$8),0)</f>
        <v>2058</v>
      </c>
      <c r="AF33" s="161">
        <f>ROUND(AF$2*($S33*AY$4+$T33*AY$5+$U33*AY$6+$V33*AY$7+$W33*AY$8),0)</f>
        <v>1330</v>
      </c>
      <c r="AH33" s="164">
        <f t="shared" si="4"/>
        <v>199242</v>
      </c>
    </row>
    <row r="34" spans="1:35">
      <c r="A34" t="s">
        <v>265</v>
      </c>
      <c r="G34" s="139">
        <v>2050</v>
      </c>
      <c r="H34" s="140">
        <v>4969929</v>
      </c>
      <c r="I34" s="140">
        <v>814074</v>
      </c>
      <c r="J34" s="140">
        <v>6499</v>
      </c>
      <c r="K34" s="141">
        <v>8.0000000000000002E-3</v>
      </c>
      <c r="L34" s="141">
        <v>0.16400000000000001</v>
      </c>
      <c r="M34" s="140">
        <v>448177</v>
      </c>
      <c r="N34" s="140">
        <v>7713</v>
      </c>
      <c r="O34" s="141">
        <v>1.7999999999999999E-2</v>
      </c>
      <c r="P34" s="141">
        <v>0.09</v>
      </c>
      <c r="Q34" s="158">
        <f t="shared" si="3"/>
        <v>0.59764548389636984</v>
      </c>
      <c r="S34" s="161">
        <f t="shared" ref="S34:W44" si="9">_xlfn.XLOOKUP(S$3 &amp; " County", $A$3:$A$32,$B$3:$B$32) + (_xlfn.XLOOKUP(S$3 &amp; " County", $A$3:$A$32,$C$3:$C$32) - _xlfn.XLOOKUP(S$3 &amp; " County", $A$3:$A$32,$B$3:$B$32)) * $Q34</f>
        <v>121606.35089377116</v>
      </c>
      <c r="T34" s="161">
        <f t="shared" si="9"/>
        <v>139302.0796125679</v>
      </c>
      <c r="U34" s="161">
        <f t="shared" si="9"/>
        <v>29751.450744153084</v>
      </c>
      <c r="V34" s="161">
        <f t="shared" si="9"/>
        <v>43173.169344042835</v>
      </c>
      <c r="W34" s="161">
        <f t="shared" si="9"/>
        <v>5741.3609339318054</v>
      </c>
      <c r="Y34" s="139">
        <v>2050</v>
      </c>
      <c r="Z34" s="161">
        <f>ROUND(Z$2*($S34*AS$4+$T34*AS$5+$U34*AS$6+$V34*AS$7+$W34*AS$8),0)</f>
        <v>39858</v>
      </c>
      <c r="AA34" s="161">
        <f>ROUND(AA$2*($S34*AT$4+$T34*AT$5+$U34*AT$6+$V34*AT$7+$W34*AT$8),0)</f>
        <v>35550</v>
      </c>
      <c r="AB34" s="161">
        <f>ROUND(AB$2*($S34*AU$4+$T34*AU$5+$U34*AU$6+$V34*AU$7+$W34*AU$8),0)</f>
        <v>52651</v>
      </c>
      <c r="AC34" s="161">
        <f>ROUND(AC$2*($S34*AV$4+$T34*AV$5+$U34*AV$6+$V34*AV$7+$W34*AV$8),0)</f>
        <v>29924</v>
      </c>
      <c r="AD34" s="161">
        <f>ROUND(AD$2*($S34*AW$4+$T34*AW$5+$U34*AW$6+$V34*AW$7+$W34*AW$8),0)</f>
        <v>41219</v>
      </c>
      <c r="AE34" s="161">
        <f>ROUND(AE$2*($S34*AX$4+$T34*AX$5+$U34*AX$6+$V34*AX$7+$W34*AX$8),0)</f>
        <v>2090</v>
      </c>
      <c r="AF34" s="161">
        <f>ROUND(AF$2*($S34*AY$4+$T34*AY$5+$U34*AY$6+$V34*AY$7+$W34*AY$8),0)</f>
        <v>1346</v>
      </c>
      <c r="AH34" s="164">
        <f t="shared" si="4"/>
        <v>202638</v>
      </c>
    </row>
    <row r="35" spans="1:35">
      <c r="A35" s="136" t="s">
        <v>253</v>
      </c>
      <c r="G35" s="142">
        <v>2051</v>
      </c>
      <c r="H35" s="143">
        <v>5019857</v>
      </c>
      <c r="I35" s="143">
        <v>819056</v>
      </c>
      <c r="J35" s="143">
        <v>4982</v>
      </c>
      <c r="K35" s="144">
        <v>6.0000000000000001E-3</v>
      </c>
      <c r="L35" s="144">
        <v>0.16300000000000001</v>
      </c>
      <c r="M35" s="143">
        <v>456612</v>
      </c>
      <c r="N35" s="143">
        <v>8435</v>
      </c>
      <c r="O35" s="144">
        <v>1.9E-2</v>
      </c>
      <c r="P35" s="144">
        <v>9.0999999999999998E-2</v>
      </c>
      <c r="Q35" s="158">
        <f t="shared" si="3"/>
        <v>0.64509016457988821</v>
      </c>
      <c r="S35" s="161">
        <f t="shared" si="9"/>
        <v>123227.44074336562</v>
      </c>
      <c r="T35" s="161">
        <f t="shared" si="9"/>
        <v>142290.80982754548</v>
      </c>
      <c r="U35" s="161">
        <f t="shared" si="9"/>
        <v>30278.371367824238</v>
      </c>
      <c r="V35" s="161">
        <f t="shared" si="9"/>
        <v>44096.680053547527</v>
      </c>
      <c r="W35" s="161">
        <f t="shared" si="9"/>
        <v>5854.9909441688324</v>
      </c>
      <c r="Y35" s="142">
        <v>2051</v>
      </c>
      <c r="Z35" s="161">
        <f>ROUND(Z$2*($S35*AS$4+$T35*AS$5+$U35*AS$6+$V35*AS$7+$W35*AS$8),0)</f>
        <v>40483</v>
      </c>
      <c r="AA35" s="161">
        <f>ROUND(AA$2*($S35*AT$4+$T35*AT$5+$U35*AT$6+$V35*AT$7+$W35*AT$8),0)</f>
        <v>36231</v>
      </c>
      <c r="AB35" s="161">
        <f>ROUND(AB$2*($S35*AU$4+$T35*AU$5+$U35*AU$6+$V35*AU$7+$W35*AU$8),0)</f>
        <v>53739</v>
      </c>
      <c r="AC35" s="161">
        <f>ROUND(AC$2*($S35*AV$4+$T35*AV$5+$U35*AV$6+$V35*AV$7+$W35*AV$8),0)</f>
        <v>30354</v>
      </c>
      <c r="AD35" s="161">
        <f>ROUND(AD$2*($S35*AW$4+$T35*AW$5+$U35*AW$6+$V35*AW$7+$W35*AW$8),0)</f>
        <v>42055</v>
      </c>
      <c r="AE35" s="161">
        <f>ROUND(AE$2*($S35*AX$4+$T35*AX$5+$U35*AX$6+$V35*AX$7+$W35*AX$8),0)</f>
        <v>2125</v>
      </c>
      <c r="AF35" s="161">
        <f>ROUND(AF$2*($S35*AY$4+$T35*AY$5+$U35*AY$6+$V35*AY$7+$W35*AY$8),0)</f>
        <v>1364</v>
      </c>
      <c r="AH35" s="164">
        <f t="shared" si="4"/>
        <v>206351</v>
      </c>
    </row>
    <row r="36" spans="1:35">
      <c r="G36" s="139">
        <v>2052</v>
      </c>
      <c r="H36" s="140">
        <v>5069569</v>
      </c>
      <c r="I36" s="140">
        <v>822540</v>
      </c>
      <c r="J36" s="140">
        <v>3484</v>
      </c>
      <c r="K36" s="141">
        <v>4.0000000000000001E-3</v>
      </c>
      <c r="L36" s="141">
        <v>0.16200000000000001</v>
      </c>
      <c r="M36" s="140">
        <v>465441</v>
      </c>
      <c r="N36" s="140">
        <v>8829</v>
      </c>
      <c r="O36" s="141">
        <v>1.9E-2</v>
      </c>
      <c r="P36" s="141">
        <v>9.1999999999999998E-2</v>
      </c>
      <c r="Q36" s="158">
        <f t="shared" si="3"/>
        <v>0.69475099276658459</v>
      </c>
      <c r="S36" s="161">
        <f t="shared" si="9"/>
        <v>124924.25192084866</v>
      </c>
      <c r="T36" s="161">
        <f t="shared" si="9"/>
        <v>145419.14403833821</v>
      </c>
      <c r="U36" s="161">
        <f t="shared" si="9"/>
        <v>30829.90452566569</v>
      </c>
      <c r="V36" s="161">
        <f t="shared" si="9"/>
        <v>45063.32807420157</v>
      </c>
      <c r="W36" s="161">
        <f t="shared" si="9"/>
        <v>5973.9286276759703</v>
      </c>
      <c r="Y36" s="139">
        <v>2052</v>
      </c>
      <c r="Z36" s="161">
        <f>ROUND(Z$2*($S36*AS$4+$T36*AS$5+$U36*AS$6+$V36*AS$7+$W36*AS$8),0)</f>
        <v>41137</v>
      </c>
      <c r="AA36" s="161">
        <f>ROUND(AA$2*($S36*AT$4+$T36*AT$5+$U36*AT$6+$V36*AT$7+$W36*AT$8),0)</f>
        <v>36945</v>
      </c>
      <c r="AB36" s="161">
        <f>ROUND(AB$2*($S36*AU$4+$T36*AU$5+$U36*AU$6+$V36*AU$7+$W36*AU$8),0)</f>
        <v>54878</v>
      </c>
      <c r="AC36" s="161">
        <f>ROUND(AC$2*($S36*AV$4+$T36*AV$5+$U36*AV$6+$V36*AV$7+$W36*AV$8),0)</f>
        <v>30804</v>
      </c>
      <c r="AD36" s="161">
        <f>ROUND(AD$2*($S36*AW$4+$T36*AW$5+$U36*AW$6+$V36*AW$7+$W36*AW$8),0)</f>
        <v>42930</v>
      </c>
      <c r="AE36" s="161">
        <f>ROUND(AE$2*($S36*AX$4+$T36*AX$5+$U36*AX$6+$V36*AX$7+$W36*AX$8),0)</f>
        <v>2162</v>
      </c>
      <c r="AF36" s="161">
        <f>ROUND(AF$2*($S36*AY$4+$T36*AY$5+$U36*AY$6+$V36*AY$7+$W36*AY$8),0)</f>
        <v>1383</v>
      </c>
      <c r="AH36" s="164">
        <f t="shared" si="4"/>
        <v>210239</v>
      </c>
    </row>
    <row r="37" spans="1:35">
      <c r="A37" s="155" t="s">
        <v>267</v>
      </c>
      <c r="B37" s="156">
        <f>SUM(B5,B9,B21,B28,B32)</f>
        <v>261804</v>
      </c>
      <c r="C37" s="156">
        <f>SUM(C5,C9,C21,C28,C32)</f>
        <v>391932</v>
      </c>
      <c r="D37" s="156">
        <f>C37-B37</f>
        <v>130128</v>
      </c>
      <c r="E37" s="157">
        <f>D37/B37</f>
        <v>0.49704358986111746</v>
      </c>
      <c r="G37" s="142">
        <v>2053</v>
      </c>
      <c r="H37" s="143">
        <v>5119019</v>
      </c>
      <c r="I37" s="143">
        <v>824546</v>
      </c>
      <c r="J37" s="143">
        <v>2006</v>
      </c>
      <c r="K37" s="144">
        <v>2E-3</v>
      </c>
      <c r="L37" s="144">
        <v>0.161</v>
      </c>
      <c r="M37" s="143">
        <v>474359</v>
      </c>
      <c r="N37" s="143">
        <v>8918</v>
      </c>
      <c r="O37" s="144">
        <v>1.9E-2</v>
      </c>
      <c r="P37" s="144">
        <v>9.2999999999999999E-2</v>
      </c>
      <c r="Q37" s="158">
        <f t="shared" si="3"/>
        <v>0.74491242280044545</v>
      </c>
      <c r="S37" s="161">
        <f t="shared" si="9"/>
        <v>126638.16766224563</v>
      </c>
      <c r="T37" s="161">
        <f t="shared" si="9"/>
        <v>148579.01316189126</v>
      </c>
      <c r="U37" s="161">
        <f t="shared" si="9"/>
        <v>31386.997367621749</v>
      </c>
      <c r="V37" s="161">
        <f t="shared" si="9"/>
        <v>46039.720309810669</v>
      </c>
      <c r="W37" s="161">
        <f t="shared" si="9"/>
        <v>6094.0652526070671</v>
      </c>
      <c r="Y37" s="142">
        <v>2053</v>
      </c>
      <c r="Z37" s="161">
        <f>ROUND(Z$2*($S37*AS$4+$T37*AS$5+$U37*AS$6+$V37*AS$7+$W37*AS$8),0)</f>
        <v>41798</v>
      </c>
      <c r="AA37" s="161">
        <f>ROUND(AA$2*($S37*AT$4+$T37*AT$5+$U37*AT$6+$V37*AT$7+$W37*AT$8),0)</f>
        <v>37666</v>
      </c>
      <c r="AB37" s="161">
        <f>ROUND(AB$2*($S37*AU$4+$T37*AU$5+$U37*AU$6+$V37*AU$7+$W37*AU$8),0)</f>
        <v>56028</v>
      </c>
      <c r="AC37" s="161">
        <f>ROUND(AC$2*($S37*AV$4+$T37*AV$5+$U37*AV$6+$V37*AV$7+$W37*AV$8),0)</f>
        <v>31258</v>
      </c>
      <c r="AD37" s="161">
        <f>ROUND(AD$2*($S37*AW$4+$T37*AW$5+$U37*AW$6+$V37*AW$7+$W37*AW$8),0)</f>
        <v>43813</v>
      </c>
      <c r="AE37" s="161">
        <f>ROUND(AE$2*($S37*AX$4+$T37*AX$5+$U37*AX$6+$V37*AX$7+$W37*AX$8),0)</f>
        <v>2199</v>
      </c>
      <c r="AF37" s="161">
        <f>ROUND(AF$2*($S37*AY$4+$T37*AY$5+$U37*AY$6+$V37*AY$7+$W37*AY$8),0)</f>
        <v>1402</v>
      </c>
      <c r="AH37" s="164">
        <f t="shared" si="4"/>
        <v>214164</v>
      </c>
    </row>
    <row r="38" spans="1:35">
      <c r="G38" s="139">
        <v>2054</v>
      </c>
      <c r="H38" s="140">
        <v>5167718</v>
      </c>
      <c r="I38" s="140">
        <v>825157</v>
      </c>
      <c r="J38" s="146">
        <v>611</v>
      </c>
      <c r="K38" s="141">
        <v>1E-3</v>
      </c>
      <c r="L38" s="141">
        <v>0.16</v>
      </c>
      <c r="M38" s="140">
        <v>483045</v>
      </c>
      <c r="N38" s="140">
        <v>8686</v>
      </c>
      <c r="O38" s="141">
        <v>1.7999999999999999E-2</v>
      </c>
      <c r="P38" s="141">
        <v>9.2999999999999999E-2</v>
      </c>
      <c r="Q38" s="158">
        <f t="shared" si="3"/>
        <v>0.7937689131877651</v>
      </c>
      <c r="S38" s="161">
        <f t="shared" si="9"/>
        <v>128307.49622579955</v>
      </c>
      <c r="T38" s="161">
        <f t="shared" si="9"/>
        <v>151656.67891735007</v>
      </c>
      <c r="U38" s="161">
        <f t="shared" si="9"/>
        <v>31929.59754986332</v>
      </c>
      <c r="V38" s="161">
        <f t="shared" si="9"/>
        <v>46990.711895199849</v>
      </c>
      <c r="W38" s="161">
        <f t="shared" si="9"/>
        <v>6211.0765470846973</v>
      </c>
      <c r="Y38" s="139">
        <v>2054</v>
      </c>
      <c r="Z38" s="161">
        <f>ROUND(Z$2*($S38*AS$4+$T38*AS$5+$U38*AS$6+$V38*AS$7+$W38*AS$8),0)</f>
        <v>42442</v>
      </c>
      <c r="AA38" s="161">
        <f>ROUND(AA$2*($S38*AT$4+$T38*AT$5+$U38*AT$6+$V38*AT$7+$W38*AT$8),0)</f>
        <v>38368</v>
      </c>
      <c r="AB38" s="161">
        <f>ROUND(AB$2*($S38*AU$4+$T38*AU$5+$U38*AU$6+$V38*AU$7+$W38*AU$8),0)</f>
        <v>57149</v>
      </c>
      <c r="AC38" s="161">
        <f>ROUND(AC$2*($S38*AV$4+$T38*AV$5+$U38*AV$6+$V38*AV$7+$W38*AV$8),0)</f>
        <v>31701</v>
      </c>
      <c r="AD38" s="161">
        <f>ROUND(AD$2*($S38*AW$4+$T38*AW$5+$U38*AW$6+$V38*AW$7+$W38*AW$8),0)</f>
        <v>44674</v>
      </c>
      <c r="AE38" s="161">
        <f>ROUND(AE$2*($S38*AX$4+$T38*AX$5+$U38*AX$6+$V38*AX$7+$W38*AX$8),0)</f>
        <v>2235</v>
      </c>
      <c r="AF38" s="161">
        <f>ROUND(AF$2*($S38*AY$4+$T38*AY$5+$U38*AY$6+$V38*AY$7+$W38*AY$8),0)</f>
        <v>1420</v>
      </c>
      <c r="AH38" s="164">
        <f t="shared" si="4"/>
        <v>217989</v>
      </c>
    </row>
    <row r="39" spans="1:35">
      <c r="G39" s="142">
        <v>2055</v>
      </c>
      <c r="H39" s="143">
        <v>5215630</v>
      </c>
      <c r="I39" s="143">
        <v>824578</v>
      </c>
      <c r="J39" s="145">
        <v>-579</v>
      </c>
      <c r="K39" s="144">
        <v>-1E-3</v>
      </c>
      <c r="L39" s="144">
        <v>0.158</v>
      </c>
      <c r="M39" s="143">
        <v>491238</v>
      </c>
      <c r="N39" s="143">
        <v>8193</v>
      </c>
      <c r="O39" s="144">
        <v>1.7000000000000001E-2</v>
      </c>
      <c r="P39" s="144">
        <v>9.4E-2</v>
      </c>
      <c r="Q39" s="158">
        <f t="shared" si="3"/>
        <v>0.83985240682618434</v>
      </c>
      <c r="S39" s="161">
        <f t="shared" si="9"/>
        <v>129882.07703643707</v>
      </c>
      <c r="T39" s="161">
        <f t="shared" si="9"/>
        <v>154559.66251560865</v>
      </c>
      <c r="U39" s="161">
        <f t="shared" si="9"/>
        <v>32441.400830211605</v>
      </c>
      <c r="V39" s="161">
        <f t="shared" si="9"/>
        <v>47887.727098871677</v>
      </c>
      <c r="W39" s="161">
        <f t="shared" si="9"/>
        <v>6321.4465143487114</v>
      </c>
      <c r="Y39" s="142">
        <v>2055</v>
      </c>
      <c r="Z39" s="161">
        <f>ROUND(Z$2*($S39*AS$4+$T39*AS$5+$U39*AS$6+$V39*AS$7+$W39*AS$8),0)</f>
        <v>43050</v>
      </c>
      <c r="AA39" s="161">
        <f>ROUND(AA$2*($S39*AT$4+$T39*AT$5+$U39*AT$6+$V39*AT$7+$W39*AT$8),0)</f>
        <v>39030</v>
      </c>
      <c r="AB39" s="161">
        <f>ROUND(AB$2*($S39*AU$4+$T39*AU$5+$U39*AU$6+$V39*AU$7+$W39*AU$8),0)</f>
        <v>58205</v>
      </c>
      <c r="AC39" s="161">
        <f>ROUND(AC$2*($S39*AV$4+$T39*AV$5+$U39*AV$6+$V39*AV$7+$W39*AV$8),0)</f>
        <v>32119</v>
      </c>
      <c r="AD39" s="161">
        <f>ROUND(AD$2*($S39*AW$4+$T39*AW$5+$U39*AW$6+$V39*AW$7+$W39*AW$8),0)</f>
        <v>45486</v>
      </c>
      <c r="AE39" s="161">
        <f>ROUND(AE$2*($S39*AX$4+$T39*AX$5+$U39*AX$6+$V39*AX$7+$W39*AX$8),0)</f>
        <v>2270</v>
      </c>
      <c r="AF39" s="161">
        <f>ROUND(AF$2*($S39*AY$4+$T39*AY$5+$U39*AY$6+$V39*AY$7+$W39*AY$8),0)</f>
        <v>1438</v>
      </c>
      <c r="AH39" s="164">
        <f t="shared" si="4"/>
        <v>221598</v>
      </c>
    </row>
    <row r="40" spans="1:35">
      <c r="G40" s="139">
        <v>2056</v>
      </c>
      <c r="H40" s="140">
        <v>5263304</v>
      </c>
      <c r="I40" s="140">
        <v>823082</v>
      </c>
      <c r="J40" s="140">
        <v>-1496</v>
      </c>
      <c r="K40" s="141">
        <v>-2E-3</v>
      </c>
      <c r="L40" s="141">
        <v>0.156</v>
      </c>
      <c r="M40" s="140">
        <v>498774</v>
      </c>
      <c r="N40" s="140">
        <v>7536</v>
      </c>
      <c r="O40" s="141">
        <v>1.4999999999999999E-2</v>
      </c>
      <c r="P40" s="141">
        <v>9.5000000000000001E-2</v>
      </c>
      <c r="Q40" s="158">
        <f t="shared" si="3"/>
        <v>0.88224044637935495</v>
      </c>
      <c r="S40" s="161">
        <f t="shared" si="9"/>
        <v>131330.39157188981</v>
      </c>
      <c r="T40" s="161">
        <f t="shared" si="9"/>
        <v>157229.85467922108</v>
      </c>
      <c r="U40" s="161">
        <f t="shared" si="9"/>
        <v>32912.162397489112</v>
      </c>
      <c r="V40" s="161">
        <f t="shared" si="9"/>
        <v>48712.810288774141</v>
      </c>
      <c r="W40" s="161">
        <f t="shared" si="9"/>
        <v>6422.9658690785545</v>
      </c>
      <c r="Y40" s="139">
        <v>2056</v>
      </c>
      <c r="Z40" s="161">
        <f>ROUND(Z$2*($S40*AS$4+$T40*AS$5+$U40*AS$6+$V40*AS$7+$W40*AS$8),0)</f>
        <v>43608</v>
      </c>
      <c r="AA40" s="161">
        <f>ROUND(AA$2*($S40*AT$4+$T40*AT$5+$U40*AT$6+$V40*AT$7+$W40*AT$8),0)</f>
        <v>39640</v>
      </c>
      <c r="AB40" s="161">
        <f>ROUND(AB$2*($S40*AU$4+$T40*AU$5+$U40*AU$6+$V40*AU$7+$W40*AU$8),0)</f>
        <v>59177</v>
      </c>
      <c r="AC40" s="161">
        <f>ROUND(AC$2*($S40*AV$4+$T40*AV$5+$U40*AV$6+$V40*AV$7+$W40*AV$8),0)</f>
        <v>32502</v>
      </c>
      <c r="AD40" s="161">
        <f>ROUND(AD$2*($S40*AW$4+$T40*AW$5+$U40*AW$6+$V40*AW$7+$W40*AW$8),0)</f>
        <v>46232</v>
      </c>
      <c r="AE40" s="161">
        <f>ROUND(AE$2*($S40*AX$4+$T40*AX$5+$U40*AX$6+$V40*AX$7+$W40*AX$8),0)</f>
        <v>2301</v>
      </c>
      <c r="AF40" s="161">
        <f>ROUND(AF$2*($S40*AY$4+$T40*AY$5+$U40*AY$6+$V40*AY$7+$W40*AY$8),0)</f>
        <v>1454</v>
      </c>
      <c r="AH40" s="164">
        <f t="shared" si="4"/>
        <v>224914</v>
      </c>
    </row>
    <row r="41" spans="1:35">
      <c r="G41" s="142">
        <v>2057</v>
      </c>
      <c r="H41" s="143">
        <v>5310621</v>
      </c>
      <c r="I41" s="143">
        <v>820890</v>
      </c>
      <c r="J41" s="143">
        <v>-2192</v>
      </c>
      <c r="K41" s="144">
        <v>-3.0000000000000001E-3</v>
      </c>
      <c r="L41" s="144">
        <v>0.155</v>
      </c>
      <c r="M41" s="143">
        <v>505447</v>
      </c>
      <c r="N41" s="143">
        <v>6673</v>
      </c>
      <c r="O41" s="144">
        <v>1.2999999999999999E-2</v>
      </c>
      <c r="P41" s="144">
        <v>9.5000000000000001E-2</v>
      </c>
      <c r="Q41" s="158">
        <f t="shared" si="3"/>
        <v>0.91977433543698606</v>
      </c>
      <c r="S41" s="161">
        <f t="shared" si="9"/>
        <v>132612.84949321093</v>
      </c>
      <c r="T41" s="161">
        <f t="shared" si="9"/>
        <v>159594.2644865175</v>
      </c>
      <c r="U41" s="161">
        <f t="shared" si="9"/>
        <v>33329.01376936317</v>
      </c>
      <c r="V41" s="161">
        <f t="shared" si="9"/>
        <v>49443.407439280934</v>
      </c>
      <c r="W41" s="161">
        <f t="shared" si="9"/>
        <v>6512.8595333715821</v>
      </c>
      <c r="Y41" s="142">
        <v>2057</v>
      </c>
      <c r="Z41" s="161">
        <f>ROUND(Z$2*($S41*AS$4+$T41*AS$5+$U41*AS$6+$V41*AS$7+$W41*AS$8),0)</f>
        <v>44103</v>
      </c>
      <c r="AA41" s="161">
        <f>ROUND(AA$2*($S41*AT$4+$T41*AT$5+$U41*AT$6+$V41*AT$7+$W41*AT$8),0)</f>
        <v>40179</v>
      </c>
      <c r="AB41" s="161">
        <f>ROUND(AB$2*($S41*AU$4+$T41*AU$5+$U41*AU$6+$V41*AU$7+$W41*AU$8),0)</f>
        <v>60038</v>
      </c>
      <c r="AC41" s="161">
        <f>ROUND(AC$2*($S41*AV$4+$T41*AV$5+$U41*AV$6+$V41*AV$7+$W41*AV$8),0)</f>
        <v>32843</v>
      </c>
      <c r="AD41" s="161">
        <f>ROUND(AD$2*($S41*AW$4+$T41*AW$5+$U41*AW$6+$V41*AW$7+$W41*AW$8),0)</f>
        <v>46894</v>
      </c>
      <c r="AE41" s="161">
        <f>ROUND(AE$2*($S41*AX$4+$T41*AX$5+$U41*AX$6+$V41*AX$7+$W41*AX$8),0)</f>
        <v>2329</v>
      </c>
      <c r="AF41" s="161">
        <f>ROUND(AF$2*($S41*AY$4+$T41*AY$5+$U41*AY$6+$V41*AY$7+$W41*AY$8),0)</f>
        <v>1468</v>
      </c>
      <c r="AH41" s="164">
        <f t="shared" si="4"/>
        <v>227854</v>
      </c>
    </row>
    <row r="42" spans="1:35">
      <c r="G42" s="139">
        <v>2058</v>
      </c>
      <c r="H42" s="140">
        <v>5357795</v>
      </c>
      <c r="I42" s="140">
        <v>818072</v>
      </c>
      <c r="J42" s="140">
        <v>-2818</v>
      </c>
      <c r="K42" s="141">
        <v>-3.0000000000000001E-3</v>
      </c>
      <c r="L42" s="141">
        <v>0.153</v>
      </c>
      <c r="M42" s="140">
        <v>511250</v>
      </c>
      <c r="N42" s="140">
        <v>5803</v>
      </c>
      <c r="O42" s="141">
        <v>1.0999999999999999E-2</v>
      </c>
      <c r="P42" s="141">
        <v>9.5000000000000001E-2</v>
      </c>
      <c r="Q42" s="158">
        <f t="shared" si="3"/>
        <v>0.95241470082008706</v>
      </c>
      <c r="S42" s="161">
        <f t="shared" si="9"/>
        <v>133728.10549762074</v>
      </c>
      <c r="T42" s="161">
        <f t="shared" si="9"/>
        <v>161650.41166346057</v>
      </c>
      <c r="U42" s="161">
        <f t="shared" si="9"/>
        <v>33691.517667307889</v>
      </c>
      <c r="V42" s="161">
        <f t="shared" si="9"/>
        <v>50078.752151462992</v>
      </c>
      <c r="W42" s="161">
        <f t="shared" si="9"/>
        <v>6591.0332084641086</v>
      </c>
      <c r="Y42" s="139">
        <v>2058</v>
      </c>
      <c r="Z42" s="161">
        <f>ROUND(Z$2*($S42*AS$4+$T42*AS$5+$U42*AS$6+$V42*AS$7+$W42*AS$8),0)</f>
        <v>44533</v>
      </c>
      <c r="AA42" s="161">
        <f>ROUND(AA$2*($S42*AT$4+$T42*AT$5+$U42*AT$6+$V42*AT$7+$W42*AT$8),0)</f>
        <v>40648</v>
      </c>
      <c r="AB42" s="161">
        <f>ROUND(AB$2*($S42*AU$4+$T42*AU$5+$U42*AU$6+$V42*AU$7+$W42*AU$8),0)</f>
        <v>60786</v>
      </c>
      <c r="AC42" s="161">
        <f>ROUND(AC$2*($S42*AV$4+$T42*AV$5+$U42*AV$6+$V42*AV$7+$W42*AV$8),0)</f>
        <v>33138</v>
      </c>
      <c r="AD42" s="161">
        <f>ROUND(AD$2*($S42*AW$4+$T42*AW$5+$U42*AW$6+$V42*AW$7+$W42*AW$8),0)</f>
        <v>47469</v>
      </c>
      <c r="AE42" s="161">
        <f>ROUND(AE$2*($S42*AX$4+$T42*AX$5+$U42*AX$6+$V42*AX$7+$W42*AX$8),0)</f>
        <v>2353</v>
      </c>
      <c r="AF42" s="161">
        <f>ROUND(AF$2*($S42*AY$4+$T42*AY$5+$U42*AY$6+$V42*AY$7+$W42*AY$8),0)</f>
        <v>1480</v>
      </c>
      <c r="AH42" s="164">
        <f t="shared" si="4"/>
        <v>230407</v>
      </c>
    </row>
    <row r="43" spans="1:35">
      <c r="G43" s="142">
        <v>2059</v>
      </c>
      <c r="H43" s="143">
        <v>5404637</v>
      </c>
      <c r="I43" s="143">
        <v>814909</v>
      </c>
      <c r="J43" s="143">
        <v>-3163</v>
      </c>
      <c r="K43" s="144">
        <v>-4.0000000000000001E-3</v>
      </c>
      <c r="L43" s="144">
        <v>0.151</v>
      </c>
      <c r="M43" s="143">
        <v>516051</v>
      </c>
      <c r="N43" s="143">
        <v>4801</v>
      </c>
      <c r="O43" s="144">
        <v>8.9999999999999993E-3</v>
      </c>
      <c r="P43" s="144">
        <v>9.5000000000000001E-2</v>
      </c>
      <c r="Q43" s="158">
        <f t="shared" si="3"/>
        <v>0.97941907686769492</v>
      </c>
      <c r="S43" s="161">
        <f t="shared" si="9"/>
        <v>134650.79101841542</v>
      </c>
      <c r="T43" s="161">
        <f t="shared" si="9"/>
        <v>163351.52532820357</v>
      </c>
      <c r="U43" s="161">
        <f t="shared" si="9"/>
        <v>33991.428267692623</v>
      </c>
      <c r="V43" s="161">
        <f t="shared" si="9"/>
        <v>50604.392331229683</v>
      </c>
      <c r="W43" s="161">
        <f t="shared" si="9"/>
        <v>6655.70868909813</v>
      </c>
      <c r="Y43" s="142">
        <v>2059</v>
      </c>
      <c r="Z43" s="161">
        <f>ROUND(Z$2*($S43*AS$4+$T43*AS$5+$U43*AS$6+$V43*AS$7+$W43*AS$8),0)</f>
        <v>44889</v>
      </c>
      <c r="AA43" s="161">
        <f>ROUND(AA$2*($S43*AT$4+$T43*AT$5+$U43*AT$6+$V43*AT$7+$W43*AT$8),0)</f>
        <v>41036</v>
      </c>
      <c r="AB43" s="161">
        <f>ROUND(AB$2*($S43*AU$4+$T43*AU$5+$U43*AU$6+$V43*AU$7+$W43*AU$8),0)</f>
        <v>61406</v>
      </c>
      <c r="AC43" s="161">
        <f>ROUND(AC$2*($S43*AV$4+$T43*AV$5+$U43*AV$6+$V43*AV$7+$W43*AV$8),0)</f>
        <v>33383</v>
      </c>
      <c r="AD43" s="161">
        <f>ROUND(AD$2*($S43*AW$4+$T43*AW$5+$U43*AW$6+$V43*AW$7+$W43*AW$8),0)</f>
        <v>47944</v>
      </c>
      <c r="AE43" s="161">
        <f>ROUND(AE$2*($S43*AX$4+$T43*AX$5+$U43*AX$6+$V43*AX$7+$W43*AX$8),0)</f>
        <v>2373</v>
      </c>
      <c r="AF43" s="161">
        <f>ROUND(AF$2*($S43*AY$4+$T43*AY$5+$U43*AY$6+$V43*AY$7+$W43*AY$8),0)</f>
        <v>1490</v>
      </c>
      <c r="AH43" s="164">
        <f t="shared" si="4"/>
        <v>232521</v>
      </c>
    </row>
    <row r="44" spans="1:35">
      <c r="G44" s="139">
        <v>2060</v>
      </c>
      <c r="H44" s="140">
        <v>5450598</v>
      </c>
      <c r="I44" s="140">
        <v>811572</v>
      </c>
      <c r="J44" s="140">
        <v>-3337</v>
      </c>
      <c r="K44" s="141">
        <v>-4.0000000000000001E-3</v>
      </c>
      <c r="L44" s="141">
        <v>0.14899999999999999</v>
      </c>
      <c r="M44" s="140">
        <v>519710</v>
      </c>
      <c r="N44" s="140">
        <v>3659</v>
      </c>
      <c r="O44" s="141">
        <v>7.0000000000000001E-3</v>
      </c>
      <c r="P44" s="141">
        <v>9.5000000000000001E-2</v>
      </c>
      <c r="Q44" s="158">
        <f t="shared" si="3"/>
        <v>1</v>
      </c>
      <c r="S44" s="161">
        <f t="shared" si="9"/>
        <v>135354</v>
      </c>
      <c r="T44" s="161">
        <f t="shared" si="9"/>
        <v>164648</v>
      </c>
      <c r="U44" s="161">
        <f t="shared" si="9"/>
        <v>34220</v>
      </c>
      <c r="V44" s="161">
        <f t="shared" si="9"/>
        <v>51005</v>
      </c>
      <c r="W44" s="161">
        <f t="shared" si="9"/>
        <v>6705</v>
      </c>
      <c r="Y44" s="139">
        <v>2060</v>
      </c>
      <c r="Z44" s="161">
        <f>ROUND(Z$2*($S44*AS$4+$T44*AS$5+$U44*AS$6+$V44*AS$7+$W44*AS$8),0)</f>
        <v>45160</v>
      </c>
      <c r="AA44" s="161">
        <f>ROUND(AA$2*($S44*AT$4+$T44*AT$5+$U44*AT$6+$V44*AT$7+$W44*AT$8),0)</f>
        <v>41332</v>
      </c>
      <c r="AB44" s="161">
        <f>ROUND(AB$2*($S44*AU$4+$T44*AU$5+$U44*AU$6+$V44*AU$7+$W44*AU$8),0)</f>
        <v>61878</v>
      </c>
      <c r="AC44" s="161">
        <f>ROUND(AC$2*($S44*AV$4+$T44*AV$5+$U44*AV$6+$V44*AV$7+$W44*AV$8),0)</f>
        <v>33569</v>
      </c>
      <c r="AD44" s="161">
        <f>ROUND(AD$2*($S44*AW$4+$T44*AW$5+$U44*AW$6+$V44*AW$7+$W44*AW$8),0)</f>
        <v>48307</v>
      </c>
      <c r="AE44" s="161">
        <f>ROUND(AE$2*($S44*AX$4+$T44*AX$5+$U44*AX$6+$V44*AX$7+$W44*AX$8),0)</f>
        <v>2388</v>
      </c>
      <c r="AF44" s="161">
        <f>ROUND(AF$2*($S44*AY$4+$T44*AY$5+$U44*AY$6+$V44*AY$7+$W44*AY$8),0)</f>
        <v>1498</v>
      </c>
      <c r="AH44" s="164">
        <f t="shared" si="4"/>
        <v>234132</v>
      </c>
    </row>
    <row r="45" spans="1:35">
      <c r="G45" t="s">
        <v>266</v>
      </c>
      <c r="Z45" t="s">
        <v>1</v>
      </c>
      <c r="AA45" t="s">
        <v>2</v>
      </c>
      <c r="AB45" t="s">
        <v>3</v>
      </c>
      <c r="AC45" t="s">
        <v>4</v>
      </c>
      <c r="AD45" t="s">
        <v>15</v>
      </c>
      <c r="AE45" t="s">
        <v>16</v>
      </c>
      <c r="AF45" t="s">
        <v>17</v>
      </c>
    </row>
    <row r="46" spans="1:35">
      <c r="G46" t="s">
        <v>265</v>
      </c>
      <c r="AH46" s="164">
        <f>AH44-AH4</f>
        <v>63087</v>
      </c>
      <c r="AI46" t="s">
        <v>277</v>
      </c>
    </row>
    <row r="47" spans="1:35">
      <c r="AH47" s="165">
        <f>AH46/AH4</f>
        <v>0.36883276330790143</v>
      </c>
      <c r="AI47" t="s">
        <v>278</v>
      </c>
    </row>
  </sheetData>
  <mergeCells count="5">
    <mergeCell ref="A33:E33"/>
    <mergeCell ref="G2:G3"/>
    <mergeCell ref="H2:H3"/>
    <mergeCell ref="I2:L2"/>
    <mergeCell ref="M2:P2"/>
  </mergeCells>
  <hyperlinks>
    <hyperlink ref="A35" r:id="rId1" xr:uid="{B2E65570-319D-44A6-9FE0-C280F8A5C15C}"/>
  </hyperlinks>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5"/>
  <sheetViews>
    <sheetView zoomScale="98" zoomScaleNormal="98" workbookViewId="0">
      <selection activeCell="B22" sqref="B22"/>
    </sheetView>
  </sheetViews>
  <sheetFormatPr defaultColWidth="9" defaultRowHeight="15"/>
  <cols>
    <col min="1" max="1" width="12.140625" style="2" bestFit="1" customWidth="1"/>
    <col min="2" max="2" width="9.85546875" style="2" bestFit="1" customWidth="1"/>
    <col min="3" max="3" width="10.28515625" style="2" customWidth="1"/>
    <col min="4" max="16384" width="9" style="2"/>
  </cols>
  <sheetData>
    <row r="1" spans="1:38">
      <c r="A1" s="54" t="s">
        <v>48</v>
      </c>
      <c r="B1" s="55" t="s">
        <v>168</v>
      </c>
      <c r="C1" s="103" t="s">
        <v>200</v>
      </c>
      <c r="D1" s="5" t="s">
        <v>124</v>
      </c>
      <c r="E1" s="5"/>
      <c r="F1" s="5"/>
      <c r="M1" s="5" t="s">
        <v>198</v>
      </c>
      <c r="N1" s="5"/>
      <c r="O1" s="5"/>
      <c r="V1" s="5" t="s">
        <v>197</v>
      </c>
      <c r="W1" s="5"/>
      <c r="X1" s="5"/>
    </row>
    <row r="2" spans="1:38">
      <c r="A2" s="17" t="s">
        <v>15</v>
      </c>
      <c r="B2" s="47">
        <f>AVERAGE($E$9:$E$23)</f>
        <v>1.1631452329815202</v>
      </c>
      <c r="C2" s="103">
        <v>1.0249999999999999</v>
      </c>
      <c r="D2" s="3" t="s">
        <v>5</v>
      </c>
      <c r="E2" s="3" t="s">
        <v>15</v>
      </c>
      <c r="F2" s="3" t="s">
        <v>16</v>
      </c>
      <c r="G2" s="3" t="s">
        <v>4</v>
      </c>
      <c r="H2" s="3" t="s">
        <v>1</v>
      </c>
      <c r="I2" s="3" t="s">
        <v>3</v>
      </c>
      <c r="J2" s="3" t="s">
        <v>2</v>
      </c>
      <c r="K2" s="3" t="s">
        <v>17</v>
      </c>
      <c r="M2" s="3" t="s">
        <v>5</v>
      </c>
      <c r="N2" s="3" t="s">
        <v>15</v>
      </c>
      <c r="O2" s="3" t="s">
        <v>16</v>
      </c>
      <c r="P2" s="3" t="s">
        <v>4</v>
      </c>
      <c r="Q2" s="3" t="s">
        <v>1</v>
      </c>
      <c r="R2" s="3" t="s">
        <v>3</v>
      </c>
      <c r="S2" s="3" t="s">
        <v>2</v>
      </c>
      <c r="T2" s="3" t="s">
        <v>17</v>
      </c>
      <c r="V2" s="3" t="s">
        <v>5</v>
      </c>
      <c r="W2" s="3" t="s">
        <v>15</v>
      </c>
      <c r="X2" s="3" t="s">
        <v>16</v>
      </c>
      <c r="Y2" s="3" t="s">
        <v>4</v>
      </c>
      <c r="Z2" s="3" t="s">
        <v>1</v>
      </c>
      <c r="AA2" s="3" t="s">
        <v>3</v>
      </c>
      <c r="AB2" s="3" t="s">
        <v>2</v>
      </c>
      <c r="AC2" s="3" t="s">
        <v>17</v>
      </c>
      <c r="AF2" s="102" t="s">
        <v>15</v>
      </c>
      <c r="AG2" s="102" t="s">
        <v>16</v>
      </c>
      <c r="AH2" s="102" t="s">
        <v>4</v>
      </c>
      <c r="AI2" s="102" t="s">
        <v>190</v>
      </c>
      <c r="AJ2" s="102" t="s">
        <v>3</v>
      </c>
      <c r="AK2" s="102" t="s">
        <v>2</v>
      </c>
      <c r="AL2" s="102" t="s">
        <v>17</v>
      </c>
    </row>
    <row r="3" spans="1:38">
      <c r="A3" s="17" t="s">
        <v>16</v>
      </c>
      <c r="B3" s="47">
        <f>AVERAGE($F$9:$F$23)</f>
        <v>1.4528829469810678</v>
      </c>
      <c r="C3" s="103">
        <v>1.179</v>
      </c>
      <c r="D3" s="3">
        <f t="shared" ref="D3:D23" si="0">V3</f>
        <v>2002</v>
      </c>
      <c r="E3" s="3"/>
      <c r="F3" s="3"/>
      <c r="G3" s="3"/>
      <c r="H3" s="3"/>
      <c r="I3" s="3"/>
      <c r="J3" s="3"/>
      <c r="K3" s="3"/>
      <c r="M3" s="3">
        <v>2002</v>
      </c>
      <c r="N3">
        <v>18280</v>
      </c>
      <c r="O3">
        <v>939</v>
      </c>
      <c r="P3">
        <v>15324</v>
      </c>
      <c r="Q3">
        <v>23687</v>
      </c>
      <c r="R3">
        <v>16755</v>
      </c>
      <c r="S3">
        <v>14003</v>
      </c>
      <c r="T3">
        <v>965</v>
      </c>
      <c r="V3" s="3">
        <v>2002</v>
      </c>
      <c r="W3" s="3"/>
      <c r="X3" s="3"/>
      <c r="Y3" s="3"/>
      <c r="Z3" s="3"/>
      <c r="AA3" s="3"/>
      <c r="AB3" s="3"/>
      <c r="AC3" s="3"/>
    </row>
    <row r="4" spans="1:38">
      <c r="A4" s="17" t="s">
        <v>52</v>
      </c>
      <c r="B4" s="47">
        <f>AVERAGE($G$9:$G$23)</f>
        <v>2.4944485097171891</v>
      </c>
      <c r="C4" s="103">
        <v>1.208</v>
      </c>
      <c r="D4" s="3">
        <f t="shared" si="0"/>
        <v>2003</v>
      </c>
      <c r="E4" s="3"/>
      <c r="F4" s="3"/>
      <c r="G4" s="3"/>
      <c r="H4" s="3"/>
      <c r="I4" s="3"/>
      <c r="J4" s="3"/>
      <c r="K4" s="3"/>
      <c r="M4" s="3">
        <v>2003</v>
      </c>
      <c r="N4">
        <v>33220</v>
      </c>
      <c r="O4">
        <v>1078</v>
      </c>
      <c r="P4">
        <v>16219</v>
      </c>
      <c r="Q4">
        <v>23549</v>
      </c>
      <c r="R4">
        <v>17986</v>
      </c>
      <c r="S4">
        <v>15369</v>
      </c>
      <c r="T4">
        <v>2087</v>
      </c>
      <c r="V4" s="3">
        <v>2003</v>
      </c>
      <c r="W4" s="3"/>
      <c r="X4" s="3"/>
      <c r="Y4" s="3"/>
      <c r="Z4" s="3"/>
      <c r="AA4" s="3"/>
      <c r="AB4" s="3"/>
      <c r="AC4" s="3"/>
    </row>
    <row r="5" spans="1:38">
      <c r="A5" s="17" t="s">
        <v>53</v>
      </c>
      <c r="B5" s="47">
        <f t="shared" ref="B5:B7" si="1">AVERAGE($G$9:$G$23)</f>
        <v>2.4944485097171891</v>
      </c>
      <c r="C5" s="103">
        <v>1.208</v>
      </c>
      <c r="D5" s="3">
        <f t="shared" si="0"/>
        <v>2004</v>
      </c>
      <c r="E5" s="3"/>
      <c r="F5" s="3"/>
      <c r="G5" s="3"/>
      <c r="H5" s="3"/>
      <c r="I5" s="3"/>
      <c r="J5" s="3"/>
      <c r="K5" s="3"/>
      <c r="M5" s="3">
        <v>2004</v>
      </c>
      <c r="N5">
        <v>33495</v>
      </c>
      <c r="O5">
        <v>1141</v>
      </c>
      <c r="P5">
        <v>16571</v>
      </c>
      <c r="Q5">
        <v>25736</v>
      </c>
      <c r="R5">
        <v>17713</v>
      </c>
      <c r="S5">
        <v>15886</v>
      </c>
      <c r="T5">
        <v>2223</v>
      </c>
      <c r="V5" s="3">
        <v>2004</v>
      </c>
      <c r="W5" s="3"/>
      <c r="X5" s="3"/>
      <c r="Y5" s="3"/>
      <c r="Z5" s="3"/>
      <c r="AA5" s="3"/>
      <c r="AB5" s="3"/>
      <c r="AC5" s="3"/>
    </row>
    <row r="6" spans="1:38">
      <c r="A6" s="17" t="s">
        <v>54</v>
      </c>
      <c r="B6" s="47">
        <f t="shared" si="1"/>
        <v>2.4944485097171891</v>
      </c>
      <c r="C6" s="103">
        <v>1.208</v>
      </c>
      <c r="D6" s="3">
        <f t="shared" si="0"/>
        <v>2005</v>
      </c>
      <c r="E6" s="3"/>
      <c r="F6" s="3"/>
      <c r="G6" s="3"/>
      <c r="H6" s="3"/>
      <c r="I6" s="3"/>
      <c r="J6" s="3"/>
      <c r="K6" s="3"/>
      <c r="M6" s="3">
        <v>2005</v>
      </c>
      <c r="N6">
        <v>36473</v>
      </c>
      <c r="O6">
        <v>1158</v>
      </c>
      <c r="P6">
        <v>16701</v>
      </c>
      <c r="Q6">
        <v>25801</v>
      </c>
      <c r="R6">
        <v>17112</v>
      </c>
      <c r="S6">
        <v>15562</v>
      </c>
      <c r="T6">
        <v>2167</v>
      </c>
      <c r="V6" s="3">
        <v>2005</v>
      </c>
      <c r="W6" s="3"/>
      <c r="X6" s="3"/>
      <c r="Y6" s="3"/>
      <c r="Z6" s="3"/>
      <c r="AA6" s="3"/>
      <c r="AB6" s="3"/>
      <c r="AC6" s="3"/>
    </row>
    <row r="7" spans="1:38">
      <c r="A7" s="17" t="s">
        <v>55</v>
      </c>
      <c r="B7" s="47">
        <f t="shared" si="1"/>
        <v>2.4944485097171891</v>
      </c>
      <c r="C7" s="103">
        <v>1.208</v>
      </c>
      <c r="D7" s="3">
        <f t="shared" si="0"/>
        <v>2006</v>
      </c>
      <c r="E7" s="3"/>
      <c r="F7" s="3"/>
      <c r="G7" s="3"/>
      <c r="H7" s="3"/>
      <c r="I7" s="3"/>
      <c r="J7" s="3"/>
      <c r="K7" s="3"/>
      <c r="M7" s="3">
        <v>2006</v>
      </c>
      <c r="N7">
        <v>32725</v>
      </c>
      <c r="O7">
        <v>1153</v>
      </c>
      <c r="P7">
        <v>15819</v>
      </c>
      <c r="Q7">
        <v>25968</v>
      </c>
      <c r="R7">
        <v>16508</v>
      </c>
      <c r="S7">
        <v>14318</v>
      </c>
      <c r="T7">
        <v>2111</v>
      </c>
      <c r="V7" s="3">
        <v>2006</v>
      </c>
      <c r="W7" s="3"/>
      <c r="X7" s="3"/>
      <c r="Y7" s="3"/>
      <c r="Z7" s="3"/>
      <c r="AA7" s="3"/>
      <c r="AB7" s="3"/>
      <c r="AC7" s="3"/>
    </row>
    <row r="8" spans="1:38">
      <c r="A8" s="17" t="s">
        <v>99</v>
      </c>
      <c r="B8" s="47">
        <f>AVERAGE($H$9:$H$23)</f>
        <v>1.3199787491847266</v>
      </c>
      <c r="C8" s="103">
        <v>1.0249999999999999</v>
      </c>
      <c r="D8" s="3">
        <f t="shared" si="0"/>
        <v>2007</v>
      </c>
      <c r="E8" s="3"/>
      <c r="F8" s="3"/>
      <c r="G8" s="3"/>
      <c r="H8" s="3"/>
      <c r="I8" s="3"/>
      <c r="J8" s="3"/>
      <c r="K8" s="3"/>
      <c r="M8" s="3">
        <v>2007</v>
      </c>
      <c r="N8">
        <v>32811</v>
      </c>
      <c r="O8">
        <v>1307</v>
      </c>
      <c r="P8">
        <v>15830</v>
      </c>
      <c r="Q8">
        <v>25784</v>
      </c>
      <c r="R8">
        <v>16572</v>
      </c>
      <c r="S8">
        <v>18972</v>
      </c>
      <c r="T8">
        <v>2223</v>
      </c>
      <c r="V8" s="3">
        <v>2007</v>
      </c>
      <c r="W8" s="3"/>
      <c r="X8" s="3"/>
      <c r="Y8" s="3"/>
      <c r="Z8" s="3"/>
      <c r="AA8" s="3"/>
      <c r="AB8" s="3"/>
      <c r="AC8" s="3"/>
    </row>
    <row r="9" spans="1:38">
      <c r="A9" s="17" t="s">
        <v>100</v>
      </c>
      <c r="B9" s="47">
        <f>AVERAGE($I$9:$I$23)</f>
        <v>1.6817348527651581</v>
      </c>
      <c r="C9" s="103">
        <v>1.097</v>
      </c>
      <c r="D9" s="3">
        <f t="shared" si="0"/>
        <v>2008</v>
      </c>
      <c r="E9" s="43">
        <f>W9/N9</f>
        <v>1.1376363270121723</v>
      </c>
      <c r="F9" s="43">
        <f t="shared" ref="F9:K9" si="2">X9/O9</f>
        <v>1.3876755070202809</v>
      </c>
      <c r="G9" s="43">
        <f t="shared" si="2"/>
        <v>2.9850249584026622</v>
      </c>
      <c r="H9" s="43">
        <f t="shared" si="2"/>
        <v>1.384923495954498</v>
      </c>
      <c r="I9" s="43">
        <f t="shared" si="2"/>
        <v>1.7918011992619927</v>
      </c>
      <c r="J9" s="43">
        <f t="shared" si="2"/>
        <v>1.4993340343498072</v>
      </c>
      <c r="K9" s="43">
        <f t="shared" si="2"/>
        <v>1.24947501049979</v>
      </c>
      <c r="M9" s="3">
        <v>2008</v>
      </c>
      <c r="N9">
        <v>34751</v>
      </c>
      <c r="O9">
        <v>1282</v>
      </c>
      <c r="P9">
        <v>15626</v>
      </c>
      <c r="Q9">
        <v>24966</v>
      </c>
      <c r="R9">
        <v>17344</v>
      </c>
      <c r="S9">
        <v>14265</v>
      </c>
      <c r="T9">
        <v>2381</v>
      </c>
      <c r="V9" s="3">
        <v>2008</v>
      </c>
      <c r="W9">
        <v>39534</v>
      </c>
      <c r="X9">
        <v>1779</v>
      </c>
      <c r="Y9">
        <v>46644</v>
      </c>
      <c r="Z9">
        <v>34576</v>
      </c>
      <c r="AA9">
        <v>31077</v>
      </c>
      <c r="AB9">
        <v>21388</v>
      </c>
      <c r="AC9">
        <v>2975</v>
      </c>
    </row>
    <row r="10" spans="1:38">
      <c r="A10" s="17" t="s">
        <v>119</v>
      </c>
      <c r="B10" s="47">
        <f t="shared" ref="B10:B12" si="3">AVERAGE($I$9:$I$23)</f>
        <v>1.6817348527651581</v>
      </c>
      <c r="C10" s="103">
        <v>1.097</v>
      </c>
      <c r="D10" s="3">
        <f t="shared" si="0"/>
        <v>2009</v>
      </c>
      <c r="E10" s="43">
        <f t="shared" ref="E10:E22" si="4">W10/N10</f>
        <v>1.2265873129417151</v>
      </c>
      <c r="F10" s="43">
        <f t="shared" ref="F10:F23" si="5">X10/O10</f>
        <v>1.2588797814207651</v>
      </c>
      <c r="G10" s="43">
        <f t="shared" ref="G10:G23" si="6">Y10/P10</f>
        <v>2.8967671498756595</v>
      </c>
      <c r="H10" s="43">
        <f t="shared" ref="H10:H23" si="7">Z10/Q10</f>
        <v>1.3564526855220436</v>
      </c>
      <c r="I10" s="43">
        <f t="shared" ref="I10:I23" si="8">AA10/R10</f>
        <v>1.7775990034774485</v>
      </c>
      <c r="J10" s="43">
        <f t="shared" ref="J10:J23" si="9">AB10/S10</f>
        <v>1.9136675964351317</v>
      </c>
      <c r="K10" s="43">
        <f t="shared" ref="K10:K23" si="10">AC10/T10</f>
        <v>1.2381329113924051</v>
      </c>
      <c r="M10" s="3">
        <v>2009</v>
      </c>
      <c r="N10">
        <v>34949</v>
      </c>
      <c r="O10">
        <v>1464</v>
      </c>
      <c r="P10">
        <v>16487</v>
      </c>
      <c r="Q10">
        <v>25563</v>
      </c>
      <c r="R10">
        <v>19267</v>
      </c>
      <c r="S10">
        <v>14699</v>
      </c>
      <c r="T10">
        <v>2528</v>
      </c>
      <c r="V10" s="3">
        <v>2009</v>
      </c>
      <c r="W10">
        <v>42868</v>
      </c>
      <c r="X10">
        <v>1843</v>
      </c>
      <c r="Y10">
        <v>47759</v>
      </c>
      <c r="Z10">
        <v>34675</v>
      </c>
      <c r="AA10">
        <v>34249</v>
      </c>
      <c r="AB10">
        <v>28129</v>
      </c>
      <c r="AC10">
        <v>3130</v>
      </c>
    </row>
    <row r="11" spans="1:38">
      <c r="A11" s="17" t="s">
        <v>120</v>
      </c>
      <c r="B11" s="47">
        <f t="shared" si="3"/>
        <v>1.6817348527651581</v>
      </c>
      <c r="C11" s="103">
        <v>1.097</v>
      </c>
      <c r="D11" s="3">
        <f t="shared" si="0"/>
        <v>2010</v>
      </c>
      <c r="E11" s="43">
        <f t="shared" si="4"/>
        <v>1.1242677943823756</v>
      </c>
      <c r="F11" s="43">
        <f t="shared" si="5"/>
        <v>1.3232077764277035</v>
      </c>
      <c r="G11" s="43">
        <f t="shared" si="6"/>
        <v>2.657093653446791</v>
      </c>
      <c r="H11" s="43">
        <f t="shared" si="7"/>
        <v>1.3293523025084237</v>
      </c>
      <c r="I11" s="43">
        <f t="shared" si="8"/>
        <v>1.7051044083526683</v>
      </c>
      <c r="J11" s="43">
        <f t="shared" si="9"/>
        <v>1.9291648447748142</v>
      </c>
      <c r="K11" s="43">
        <f t="shared" si="10"/>
        <v>1.3535727508330249</v>
      </c>
      <c r="M11" s="3">
        <v>2010</v>
      </c>
      <c r="N11">
        <v>34997</v>
      </c>
      <c r="O11">
        <v>1646</v>
      </c>
      <c r="P11">
        <v>19743</v>
      </c>
      <c r="Q11">
        <v>26710</v>
      </c>
      <c r="R11">
        <v>21550</v>
      </c>
      <c r="S11">
        <v>16009</v>
      </c>
      <c r="T11">
        <v>2701</v>
      </c>
      <c r="V11" s="3">
        <v>2010</v>
      </c>
      <c r="W11">
        <v>39346</v>
      </c>
      <c r="X11">
        <v>2178</v>
      </c>
      <c r="Y11">
        <v>52459</v>
      </c>
      <c r="Z11">
        <v>35507</v>
      </c>
      <c r="AA11">
        <v>36745</v>
      </c>
      <c r="AB11">
        <v>30884</v>
      </c>
      <c r="AC11">
        <v>3656</v>
      </c>
    </row>
    <row r="12" spans="1:38">
      <c r="A12" s="17" t="s">
        <v>121</v>
      </c>
      <c r="B12" s="47">
        <f t="shared" si="3"/>
        <v>1.6817348527651581</v>
      </c>
      <c r="C12" s="103">
        <v>1.097</v>
      </c>
      <c r="D12" s="3">
        <f t="shared" si="0"/>
        <v>2011</v>
      </c>
      <c r="E12" s="43">
        <f t="shared" si="4"/>
        <v>1.1498069498069499</v>
      </c>
      <c r="F12" s="43">
        <f t="shared" si="5"/>
        <v>1.3630326508024351</v>
      </c>
      <c r="G12" s="43">
        <f t="shared" si="6"/>
        <v>2.2779327096077724</v>
      </c>
      <c r="H12" s="43">
        <f t="shared" si="7"/>
        <v>1.3121524457195481</v>
      </c>
      <c r="I12" s="43">
        <f t="shared" si="8"/>
        <v>1.7044436068182771</v>
      </c>
      <c r="J12" s="43">
        <f t="shared" si="9"/>
        <v>1.8614504042013336</v>
      </c>
      <c r="K12" s="43">
        <f t="shared" si="10"/>
        <v>1.3406862745098038</v>
      </c>
      <c r="M12" s="3">
        <v>2011</v>
      </c>
      <c r="N12">
        <v>34965</v>
      </c>
      <c r="O12">
        <v>1807</v>
      </c>
      <c r="P12">
        <v>22232</v>
      </c>
      <c r="Q12">
        <v>28233</v>
      </c>
      <c r="R12">
        <v>23877</v>
      </c>
      <c r="S12">
        <v>16947</v>
      </c>
      <c r="T12">
        <v>2856</v>
      </c>
      <c r="V12" s="3">
        <v>2011</v>
      </c>
      <c r="W12">
        <v>40203</v>
      </c>
      <c r="X12">
        <v>2463</v>
      </c>
      <c r="Y12">
        <v>50643</v>
      </c>
      <c r="Z12">
        <v>37046</v>
      </c>
      <c r="AA12">
        <v>40697</v>
      </c>
      <c r="AB12">
        <v>31546</v>
      </c>
      <c r="AC12">
        <v>3829</v>
      </c>
    </row>
    <row r="13" spans="1:38">
      <c r="A13" s="17" t="s">
        <v>105</v>
      </c>
      <c r="B13" s="47">
        <f>AVERAGE($J$9:$J$23)</f>
        <v>1.9089033842911585</v>
      </c>
      <c r="C13" s="103">
        <v>1.038</v>
      </c>
      <c r="D13" s="3">
        <f t="shared" si="0"/>
        <v>2012</v>
      </c>
      <c r="E13" s="43">
        <f t="shared" si="4"/>
        <v>1.1541191747222623</v>
      </c>
      <c r="F13" s="43">
        <f t="shared" si="5"/>
        <v>1.3779443254817987</v>
      </c>
      <c r="G13" s="43">
        <f t="shared" si="6"/>
        <v>2.259221595636498</v>
      </c>
      <c r="H13" s="43">
        <f t="shared" si="7"/>
        <v>1.4064457747459278</v>
      </c>
      <c r="I13" s="43">
        <f t="shared" si="8"/>
        <v>1.701041028781384</v>
      </c>
      <c r="J13" s="43">
        <f t="shared" si="9"/>
        <v>1.8549458033028772</v>
      </c>
      <c r="K13" s="43">
        <f t="shared" si="10"/>
        <v>1.37029501525941</v>
      </c>
      <c r="M13" s="3">
        <v>2012</v>
      </c>
      <c r="N13">
        <v>34655</v>
      </c>
      <c r="O13">
        <v>1868</v>
      </c>
      <c r="P13">
        <v>21634</v>
      </c>
      <c r="Q13">
        <v>28732</v>
      </c>
      <c r="R13">
        <v>24495</v>
      </c>
      <c r="S13">
        <v>17621</v>
      </c>
      <c r="T13">
        <v>2949</v>
      </c>
      <c r="V13" s="3">
        <v>2012</v>
      </c>
      <c r="W13">
        <v>39996</v>
      </c>
      <c r="X13">
        <v>2574</v>
      </c>
      <c r="Y13">
        <v>48876</v>
      </c>
      <c r="Z13">
        <v>40410</v>
      </c>
      <c r="AA13">
        <v>41667</v>
      </c>
      <c r="AB13">
        <v>32686</v>
      </c>
      <c r="AC13">
        <v>4041</v>
      </c>
    </row>
    <row r="14" spans="1:38">
      <c r="A14" s="17" t="s">
        <v>104</v>
      </c>
      <c r="B14" s="47">
        <f>AVERAGE($J$9:$J$23)</f>
        <v>1.9089033842911585</v>
      </c>
      <c r="C14" s="103">
        <v>1.038</v>
      </c>
      <c r="D14" s="3">
        <f t="shared" si="0"/>
        <v>2014</v>
      </c>
      <c r="E14" s="43">
        <f t="shared" si="4"/>
        <v>1.2232998295421149</v>
      </c>
      <c r="F14" s="43">
        <f t="shared" si="5"/>
        <v>1.4089363768819816</v>
      </c>
      <c r="G14" s="43">
        <f t="shared" si="6"/>
        <v>2.2887435687839592</v>
      </c>
      <c r="H14" s="43">
        <f t="shared" si="7"/>
        <v>1.3151234777876046</v>
      </c>
      <c r="I14" s="43">
        <f t="shared" si="8"/>
        <v>1.6703787103377687</v>
      </c>
      <c r="J14" s="43">
        <f t="shared" si="9"/>
        <v>1.9287242427654543</v>
      </c>
      <c r="K14" s="43">
        <f t="shared" si="10"/>
        <v>1.3306620209059234</v>
      </c>
      <c r="M14" s="3">
        <v>2014</v>
      </c>
      <c r="N14">
        <v>34026</v>
      </c>
      <c r="O14">
        <v>2059</v>
      </c>
      <c r="P14">
        <v>20797</v>
      </c>
      <c r="Q14">
        <v>29398</v>
      </c>
      <c r="R14">
        <v>24425</v>
      </c>
      <c r="S14">
        <v>17762</v>
      </c>
      <c r="T14">
        <v>2870</v>
      </c>
      <c r="V14" s="3">
        <v>2014</v>
      </c>
      <c r="W14">
        <v>41624</v>
      </c>
      <c r="X14">
        <v>2901</v>
      </c>
      <c r="Y14">
        <v>47599</v>
      </c>
      <c r="Z14">
        <v>38662</v>
      </c>
      <c r="AA14">
        <v>40799</v>
      </c>
      <c r="AB14">
        <v>34258</v>
      </c>
      <c r="AC14">
        <v>3819</v>
      </c>
    </row>
    <row r="15" spans="1:38">
      <c r="A15" s="17" t="s">
        <v>17</v>
      </c>
      <c r="B15" s="47">
        <f>AVERAGE($K$9:$K$23)</f>
        <v>1.2591684358269457</v>
      </c>
      <c r="C15" s="103">
        <v>1.0980000000000001</v>
      </c>
      <c r="D15" s="3">
        <f t="shared" si="0"/>
        <v>2015</v>
      </c>
      <c r="E15" s="43">
        <f t="shared" si="4"/>
        <v>1.1808754643837829</v>
      </c>
      <c r="F15" s="43">
        <f t="shared" si="5"/>
        <v>1.4359110169491525</v>
      </c>
      <c r="G15" s="43">
        <f t="shared" si="6"/>
        <v>2.3420302893987106</v>
      </c>
      <c r="H15" s="43">
        <f t="shared" si="7"/>
        <v>1.3020822506322973</v>
      </c>
      <c r="I15" s="43">
        <f t="shared" si="8"/>
        <v>1.6799642750818695</v>
      </c>
      <c r="J15" s="43">
        <f t="shared" si="9"/>
        <v>1.9344583754233764</v>
      </c>
      <c r="K15" s="43">
        <f t="shared" si="10"/>
        <v>1.2941176470588236</v>
      </c>
      <c r="M15" s="3">
        <v>2015</v>
      </c>
      <c r="N15">
        <v>30955</v>
      </c>
      <c r="O15">
        <v>1888</v>
      </c>
      <c r="P15">
        <v>20007</v>
      </c>
      <c r="Q15">
        <v>28863</v>
      </c>
      <c r="R15">
        <v>23513</v>
      </c>
      <c r="S15">
        <v>16829</v>
      </c>
      <c r="T15">
        <v>2754</v>
      </c>
      <c r="V15" s="3">
        <v>2015</v>
      </c>
      <c r="W15">
        <v>36554</v>
      </c>
      <c r="X15">
        <v>2711</v>
      </c>
      <c r="Y15">
        <v>46857</v>
      </c>
      <c r="Z15">
        <v>37582</v>
      </c>
      <c r="AA15">
        <v>39501</v>
      </c>
      <c r="AB15">
        <v>32555</v>
      </c>
      <c r="AC15">
        <v>3564</v>
      </c>
    </row>
    <row r="16" spans="1:38">
      <c r="D16" s="3">
        <f t="shared" si="0"/>
        <v>2016</v>
      </c>
      <c r="E16" s="43">
        <f t="shared" si="4"/>
        <v>1.2050937049495436</v>
      </c>
      <c r="F16" s="43">
        <f t="shared" si="5"/>
        <v>1.4893062076160668</v>
      </c>
      <c r="G16" s="43">
        <f t="shared" si="6"/>
        <v>2.4036828698790065</v>
      </c>
      <c r="H16" s="43">
        <f t="shared" si="7"/>
        <v>1.2783430732210381</v>
      </c>
      <c r="I16" s="43">
        <f t="shared" si="8"/>
        <v>1.589301692277767</v>
      </c>
      <c r="J16" s="43">
        <f t="shared" si="9"/>
        <v>1.967741935483871</v>
      </c>
      <c r="K16" s="43">
        <f t="shared" si="10"/>
        <v>1.3047404063205417</v>
      </c>
      <c r="M16" s="3">
        <v>2016</v>
      </c>
      <c r="N16">
        <v>31215</v>
      </c>
      <c r="O16">
        <v>1917</v>
      </c>
      <c r="P16">
        <v>18844</v>
      </c>
      <c r="Q16">
        <v>29090</v>
      </c>
      <c r="R16">
        <v>25705</v>
      </c>
      <c r="S16">
        <v>16988</v>
      </c>
      <c r="T16">
        <v>2658</v>
      </c>
      <c r="V16" s="3">
        <v>2016</v>
      </c>
      <c r="W16">
        <v>37617</v>
      </c>
      <c r="X16">
        <v>2855</v>
      </c>
      <c r="Y16">
        <v>45295</v>
      </c>
      <c r="Z16">
        <v>37187</v>
      </c>
      <c r="AA16">
        <v>40853</v>
      </c>
      <c r="AB16">
        <v>33428</v>
      </c>
      <c r="AC16">
        <v>3468</v>
      </c>
    </row>
    <row r="17" spans="4:29">
      <c r="D17" s="3">
        <f t="shared" si="0"/>
        <v>2017</v>
      </c>
      <c r="E17" s="43">
        <f t="shared" si="4"/>
        <v>1.1748100213725956</v>
      </c>
      <c r="F17" s="43">
        <f t="shared" si="5"/>
        <v>1.4544568923526546</v>
      </c>
      <c r="G17" s="43">
        <f t="shared" si="6"/>
        <v>2.4315789473684211</v>
      </c>
      <c r="H17" s="43">
        <f t="shared" si="7"/>
        <v>1.3045120745657393</v>
      </c>
      <c r="I17" s="43">
        <f t="shared" si="8"/>
        <v>1.6871351856175578</v>
      </c>
      <c r="J17" s="43">
        <f t="shared" si="9"/>
        <v>1.9193812983360674</v>
      </c>
      <c r="K17" s="43">
        <f t="shared" si="10"/>
        <v>1.2417168674698795</v>
      </c>
      <c r="M17" s="3">
        <v>2017</v>
      </c>
      <c r="N17">
        <v>33688</v>
      </c>
      <c r="O17">
        <v>2053</v>
      </c>
      <c r="P17">
        <v>17765</v>
      </c>
      <c r="Q17">
        <v>28324</v>
      </c>
      <c r="R17">
        <v>25698</v>
      </c>
      <c r="S17">
        <v>17068</v>
      </c>
      <c r="T17">
        <v>2656</v>
      </c>
      <c r="V17" s="3">
        <f t="shared" ref="V17:V24" si="11">M17</f>
        <v>2017</v>
      </c>
      <c r="W17">
        <v>39577</v>
      </c>
      <c r="X17">
        <v>2986</v>
      </c>
      <c r="Y17">
        <v>43197</v>
      </c>
      <c r="Z17">
        <v>36949</v>
      </c>
      <c r="AA17">
        <v>43356</v>
      </c>
      <c r="AB17">
        <v>32760</v>
      </c>
      <c r="AC17">
        <v>3298</v>
      </c>
    </row>
    <row r="18" spans="4:29">
      <c r="D18" s="3">
        <f t="shared" si="0"/>
        <v>2018</v>
      </c>
      <c r="E18" s="43">
        <f t="shared" si="4"/>
        <v>1.1425684842536732</v>
      </c>
      <c r="F18" s="43">
        <f t="shared" si="5"/>
        <v>1.4874569601574028</v>
      </c>
      <c r="G18" s="43">
        <f t="shared" si="6"/>
        <v>2.463401821153397</v>
      </c>
      <c r="H18" s="43">
        <f t="shared" si="7"/>
        <v>1.3176623194502874</v>
      </c>
      <c r="I18" s="43">
        <f t="shared" si="8"/>
        <v>1.6994498708880657</v>
      </c>
      <c r="J18" s="43">
        <f t="shared" si="9"/>
        <v>1.9365125464684014</v>
      </c>
      <c r="K18" s="43">
        <f t="shared" si="10"/>
        <v>1.2380576391630478</v>
      </c>
      <c r="M18" s="3">
        <v>2018</v>
      </c>
      <c r="N18">
        <v>34643</v>
      </c>
      <c r="O18">
        <v>2033</v>
      </c>
      <c r="P18">
        <v>17132</v>
      </c>
      <c r="Q18">
        <v>28524</v>
      </c>
      <c r="R18">
        <v>26721</v>
      </c>
      <c r="S18">
        <v>17216</v>
      </c>
      <c r="T18">
        <v>2533</v>
      </c>
      <c r="V18" s="3">
        <f t="shared" si="11"/>
        <v>2018</v>
      </c>
      <c r="W18">
        <v>39582</v>
      </c>
      <c r="X18">
        <v>3024</v>
      </c>
      <c r="Y18">
        <v>42203</v>
      </c>
      <c r="Z18">
        <v>37585</v>
      </c>
      <c r="AA18">
        <v>45411</v>
      </c>
      <c r="AB18">
        <v>33339</v>
      </c>
      <c r="AC18">
        <v>3136</v>
      </c>
    </row>
    <row r="19" spans="4:29">
      <c r="D19" s="3">
        <f t="shared" si="0"/>
        <v>2019</v>
      </c>
      <c r="E19" s="43">
        <f t="shared" si="4"/>
        <v>1.159103575723798</v>
      </c>
      <c r="F19" s="43">
        <f t="shared" si="5"/>
        <v>1.4476334340382679</v>
      </c>
      <c r="G19" s="43">
        <f t="shared" si="6"/>
        <v>2.4449628477622256</v>
      </c>
      <c r="H19" s="43">
        <f t="shared" si="7"/>
        <v>1.3190601062728591</v>
      </c>
      <c r="I19" s="43">
        <f t="shared" si="8"/>
        <v>1.7257189173949816</v>
      </c>
      <c r="J19" s="43">
        <f t="shared" si="9"/>
        <v>1.983936866849499</v>
      </c>
      <c r="K19" s="43">
        <f t="shared" si="10"/>
        <v>1.1908027430415491</v>
      </c>
      <c r="M19" s="3">
        <v>2019</v>
      </c>
      <c r="N19">
        <v>34091</v>
      </c>
      <c r="O19">
        <v>1986</v>
      </c>
      <c r="P19">
        <v>17361</v>
      </c>
      <c r="Q19">
        <v>28982</v>
      </c>
      <c r="R19">
        <v>28376</v>
      </c>
      <c r="S19">
        <v>17867</v>
      </c>
      <c r="T19">
        <v>2479</v>
      </c>
      <c r="V19" s="3">
        <f t="shared" si="11"/>
        <v>2019</v>
      </c>
      <c r="W19">
        <v>39515</v>
      </c>
      <c r="X19">
        <v>2875</v>
      </c>
      <c r="Y19">
        <v>42447</v>
      </c>
      <c r="Z19">
        <v>38229</v>
      </c>
      <c r="AA19">
        <v>48969</v>
      </c>
      <c r="AB19">
        <v>35447</v>
      </c>
      <c r="AC19">
        <v>2952</v>
      </c>
    </row>
    <row r="20" spans="4:29">
      <c r="D20" s="3">
        <f t="shared" si="0"/>
        <v>2020</v>
      </c>
      <c r="E20" s="43">
        <f t="shared" si="4"/>
        <v>1.1570425858204554</v>
      </c>
      <c r="F20" s="43">
        <f t="shared" si="5"/>
        <v>1.4526315789473685</v>
      </c>
      <c r="G20" s="43">
        <f t="shared" si="6"/>
        <v>2.4458427770487892</v>
      </c>
      <c r="H20" s="43">
        <f t="shared" si="7"/>
        <v>1.3113930922168691</v>
      </c>
      <c r="I20" s="43">
        <f t="shared" si="8"/>
        <v>1.5093581544848831</v>
      </c>
      <c r="J20" s="43">
        <f t="shared" si="9"/>
        <v>1.9747424939732632</v>
      </c>
      <c r="K20" s="43">
        <f t="shared" si="10"/>
        <v>1.1743892165122156</v>
      </c>
      <c r="M20" s="3">
        <v>2020</v>
      </c>
      <c r="N20">
        <v>33908</v>
      </c>
      <c r="O20">
        <v>1900</v>
      </c>
      <c r="P20">
        <v>16766</v>
      </c>
      <c r="Q20">
        <v>29474</v>
      </c>
      <c r="R20">
        <v>29867</v>
      </c>
      <c r="S20">
        <v>18252</v>
      </c>
      <c r="T20">
        <v>2374</v>
      </c>
      <c r="V20" s="3">
        <f t="shared" si="11"/>
        <v>2020</v>
      </c>
      <c r="W20">
        <v>39233</v>
      </c>
      <c r="X20">
        <v>2760</v>
      </c>
      <c r="Y20">
        <v>41007</v>
      </c>
      <c r="Z20">
        <v>38652</v>
      </c>
      <c r="AA20">
        <v>45080</v>
      </c>
      <c r="AB20">
        <v>36043</v>
      </c>
      <c r="AC20">
        <v>2788</v>
      </c>
    </row>
    <row r="21" spans="4:29">
      <c r="D21" s="3">
        <f t="shared" si="0"/>
        <v>2021</v>
      </c>
      <c r="E21" s="43">
        <f t="shared" si="4"/>
        <v>1.1181485295800435</v>
      </c>
      <c r="F21" s="43">
        <f t="shared" si="5"/>
        <v>1.4377142857142857</v>
      </c>
      <c r="G21" s="43">
        <f t="shared" si="6"/>
        <v>2.4956873475700436</v>
      </c>
      <c r="H21" s="43">
        <f t="shared" si="7"/>
        <v>1.2787284432436039</v>
      </c>
      <c r="I21" s="43">
        <f t="shared" si="8"/>
        <v>1.5841580695925861</v>
      </c>
      <c r="J21" s="43">
        <f t="shared" si="9"/>
        <v>1.9782058871011139</v>
      </c>
      <c r="K21" s="43">
        <f t="shared" si="10"/>
        <v>1.133552014995314</v>
      </c>
      <c r="M21" s="3">
        <v>2021</v>
      </c>
      <c r="N21">
        <v>34956</v>
      </c>
      <c r="O21">
        <v>1750</v>
      </c>
      <c r="P21">
        <v>16811</v>
      </c>
      <c r="Q21">
        <v>29979</v>
      </c>
      <c r="R21">
        <v>28595</v>
      </c>
      <c r="S21">
        <v>18583</v>
      </c>
      <c r="T21">
        <v>2134</v>
      </c>
      <c r="V21" s="3">
        <f t="shared" si="11"/>
        <v>2021</v>
      </c>
      <c r="W21">
        <v>39086</v>
      </c>
      <c r="X21">
        <v>2516</v>
      </c>
      <c r="Y21">
        <v>41955</v>
      </c>
      <c r="Z21">
        <v>38335</v>
      </c>
      <c r="AA21">
        <v>45299</v>
      </c>
      <c r="AB21">
        <v>36761</v>
      </c>
      <c r="AC21">
        <v>2419</v>
      </c>
    </row>
    <row r="22" spans="4:29">
      <c r="D22" s="3">
        <f t="shared" si="0"/>
        <v>2022</v>
      </c>
      <c r="E22" s="43">
        <f t="shared" si="4"/>
        <v>1.1385080306676367</v>
      </c>
      <c r="F22" s="43">
        <f t="shared" si="5"/>
        <v>1.4944512946979038</v>
      </c>
      <c r="G22" s="43">
        <f t="shared" si="6"/>
        <v>2.4698267775623788</v>
      </c>
      <c r="H22" s="43">
        <f t="shared" si="7"/>
        <v>1.299531145344943</v>
      </c>
      <c r="I22" s="43">
        <f t="shared" si="8"/>
        <v>1.5820706614110585</v>
      </c>
      <c r="J22" s="43">
        <f t="shared" si="9"/>
        <v>1.9558494187906581</v>
      </c>
      <c r="K22" s="43">
        <f t="shared" si="10"/>
        <v>1.2335115864527628</v>
      </c>
      <c r="M22" s="3">
        <v>2022</v>
      </c>
      <c r="N22">
        <v>35738</v>
      </c>
      <c r="O22">
        <v>1622</v>
      </c>
      <c r="P22">
        <v>15991</v>
      </c>
      <c r="Q22">
        <v>29860</v>
      </c>
      <c r="R22">
        <v>27653</v>
      </c>
      <c r="S22">
        <v>18754</v>
      </c>
      <c r="T22">
        <v>1683</v>
      </c>
      <c r="V22" s="3">
        <f t="shared" si="11"/>
        <v>2022</v>
      </c>
      <c r="W22">
        <v>40688</v>
      </c>
      <c r="X22">
        <v>2424</v>
      </c>
      <c r="Y22">
        <v>39495</v>
      </c>
      <c r="Z22">
        <v>38804</v>
      </c>
      <c r="AA22">
        <v>43749</v>
      </c>
      <c r="AB22">
        <v>36680</v>
      </c>
      <c r="AC22">
        <v>2076</v>
      </c>
    </row>
    <row r="23" spans="4:29">
      <c r="D23" s="3">
        <f t="shared" si="0"/>
        <v>2023</v>
      </c>
      <c r="E23" s="56">
        <f>W23/N23</f>
        <v>1.1553107095636845</v>
      </c>
      <c r="F23" s="56">
        <f t="shared" si="5"/>
        <v>1.974006116207951</v>
      </c>
      <c r="G23" s="56">
        <f t="shared" si="6"/>
        <v>2.554930332261522</v>
      </c>
      <c r="H23" s="56">
        <f t="shared" si="7"/>
        <v>1.2839185505852173</v>
      </c>
      <c r="I23" s="56">
        <f t="shared" si="8"/>
        <v>1.8184980076990613</v>
      </c>
      <c r="J23" s="56">
        <f t="shared" si="9"/>
        <v>1.9954350161117078</v>
      </c>
      <c r="K23" s="56">
        <f t="shared" si="10"/>
        <v>1.1938144329896907</v>
      </c>
      <c r="M23" s="3">
        <v>2023</v>
      </c>
      <c r="N23">
        <v>34035</v>
      </c>
      <c r="O23">
        <v>2616</v>
      </c>
      <c r="P23">
        <v>14928</v>
      </c>
      <c r="Q23">
        <v>31185</v>
      </c>
      <c r="R23">
        <v>29614</v>
      </c>
      <c r="S23">
        <v>18620</v>
      </c>
      <c r="T23">
        <v>1455</v>
      </c>
      <c r="V23" s="3">
        <f t="shared" si="11"/>
        <v>2023</v>
      </c>
      <c r="W23">
        <v>39321</v>
      </c>
      <c r="X23">
        <v>5164</v>
      </c>
      <c r="Y23">
        <v>38140</v>
      </c>
      <c r="Z23">
        <v>40039</v>
      </c>
      <c r="AA23">
        <v>53853</v>
      </c>
      <c r="AB23">
        <v>37155</v>
      </c>
      <c r="AC23">
        <v>1737</v>
      </c>
    </row>
    <row r="24" spans="4:29">
      <c r="D24" s="3">
        <f t="shared" ref="D24" si="12">V24</f>
        <v>2024</v>
      </c>
      <c r="E24" s="3"/>
      <c r="F24" s="3"/>
      <c r="G24" s="3"/>
      <c r="H24" s="3"/>
      <c r="I24" s="3"/>
      <c r="J24" s="3"/>
      <c r="K24" s="3"/>
      <c r="M24" s="3">
        <v>2024</v>
      </c>
      <c r="N24" s="3"/>
      <c r="O24" s="3"/>
      <c r="P24" s="3"/>
      <c r="Q24" s="3"/>
      <c r="R24" s="3"/>
      <c r="S24" s="3"/>
      <c r="T24" s="3"/>
      <c r="V24" s="3">
        <f t="shared" si="11"/>
        <v>2024</v>
      </c>
      <c r="W24" s="3"/>
      <c r="X24" s="3"/>
      <c r="Y24" s="3"/>
      <c r="Z24" s="3"/>
      <c r="AA24" s="3"/>
      <c r="AB24" s="3"/>
      <c r="AC24" s="3"/>
    </row>
    <row r="25" spans="4:29">
      <c r="Q25" s="40"/>
      <c r="Z25" s="40"/>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AC15"/>
  <sheetViews>
    <sheetView workbookViewId="0">
      <selection activeCell="G23" sqref="G23"/>
    </sheetView>
  </sheetViews>
  <sheetFormatPr defaultColWidth="9" defaultRowHeight="15"/>
  <cols>
    <col min="1" max="1" width="12.140625" style="2" bestFit="1" customWidth="1"/>
    <col min="2" max="2" width="10.28515625" style="2" customWidth="1"/>
    <col min="3" max="3" width="9" style="2"/>
    <col min="4" max="4" width="20.7109375" style="2" bestFit="1" customWidth="1"/>
    <col min="5" max="5" width="6.5703125" style="2" bestFit="1" customWidth="1"/>
    <col min="6" max="6" width="6.42578125" style="2" bestFit="1" customWidth="1"/>
    <col min="7" max="7" width="9" style="2"/>
    <col min="8" max="8" width="10.85546875" style="2" bestFit="1" customWidth="1"/>
    <col min="9" max="9" width="10.42578125" style="2" bestFit="1" customWidth="1"/>
    <col min="10" max="10" width="12" style="2" bestFit="1" customWidth="1"/>
    <col min="11" max="11" width="10.85546875" style="2" bestFit="1" customWidth="1"/>
    <col min="12" max="12" width="10.7109375" style="2" bestFit="1" customWidth="1"/>
    <col min="13" max="13" width="9.42578125" style="2" customWidth="1"/>
    <col min="14" max="14" width="8.28515625" style="2" bestFit="1" customWidth="1"/>
    <col min="15" max="15" width="8.140625" style="2" bestFit="1" customWidth="1"/>
    <col min="16" max="16" width="11.140625" style="2" bestFit="1" customWidth="1"/>
    <col min="17" max="17" width="8.7109375" style="2" bestFit="1" customWidth="1"/>
    <col min="18" max="18" width="8.140625" style="2" bestFit="1" customWidth="1"/>
    <col min="19" max="19" width="8.28515625" style="2" bestFit="1" customWidth="1"/>
    <col min="20" max="20" width="9.85546875" style="2" bestFit="1" customWidth="1"/>
    <col min="21" max="21" width="10.7109375" style="2" bestFit="1" customWidth="1"/>
    <col min="22" max="22" width="9.140625" style="2" bestFit="1" customWidth="1"/>
    <col min="23" max="23" width="5.5703125" style="2" bestFit="1" customWidth="1"/>
    <col min="24" max="24" width="10.28515625" style="2" bestFit="1" customWidth="1"/>
    <col min="25" max="25" width="12.5703125" style="2" bestFit="1" customWidth="1"/>
    <col min="26" max="26" width="12.28515625" style="2" bestFit="1" customWidth="1"/>
    <col min="27" max="27" width="10.140625" style="2" bestFit="1" customWidth="1"/>
    <col min="28" max="28" width="13.28515625" style="2" bestFit="1" customWidth="1"/>
    <col min="29" max="29" width="10.28515625" style="2" bestFit="1" customWidth="1"/>
    <col min="30" max="16384" width="9" style="2"/>
  </cols>
  <sheetData>
    <row r="1" spans="1:29">
      <c r="A1" s="54" t="s">
        <v>48</v>
      </c>
      <c r="B1" s="55" t="s">
        <v>171</v>
      </c>
      <c r="D1" s="37"/>
      <c r="E1" s="37" t="s">
        <v>146</v>
      </c>
      <c r="F1" s="74" t="s">
        <v>147</v>
      </c>
      <c r="G1" s="74" t="s">
        <v>148</v>
      </c>
      <c r="H1" s="74" t="s">
        <v>149</v>
      </c>
      <c r="I1" s="37" t="s">
        <v>150</v>
      </c>
      <c r="J1" s="74" t="s">
        <v>106</v>
      </c>
      <c r="K1" s="37" t="s">
        <v>104</v>
      </c>
      <c r="L1" s="37" t="s">
        <v>151</v>
      </c>
      <c r="M1" s="74" t="s">
        <v>152</v>
      </c>
      <c r="N1" s="37" t="s">
        <v>55</v>
      </c>
      <c r="O1" s="37" t="s">
        <v>53</v>
      </c>
      <c r="P1" s="37" t="s">
        <v>153</v>
      </c>
      <c r="Q1" s="37" t="s">
        <v>54</v>
      </c>
      <c r="R1" s="37" t="s">
        <v>154</v>
      </c>
      <c r="S1" s="37" t="s">
        <v>155</v>
      </c>
      <c r="T1" s="37" t="s">
        <v>156</v>
      </c>
      <c r="U1" s="37" t="s">
        <v>157</v>
      </c>
      <c r="V1" s="37" t="s">
        <v>158</v>
      </c>
      <c r="W1" s="74" t="s">
        <v>15</v>
      </c>
      <c r="X1" s="74" t="s">
        <v>159</v>
      </c>
      <c r="Y1" s="37" t="s">
        <v>160</v>
      </c>
      <c r="Z1" s="37" t="s">
        <v>161</v>
      </c>
      <c r="AA1" s="37" t="s">
        <v>162</v>
      </c>
      <c r="AB1" s="37" t="s">
        <v>163</v>
      </c>
      <c r="AC1" s="37" t="s">
        <v>164</v>
      </c>
    </row>
    <row r="2" spans="1:29">
      <c r="A2" s="17" t="s">
        <v>15</v>
      </c>
      <c r="B2" s="47">
        <f>_xlfn.XLOOKUP($A2,$D$1:$AC$1,$D$2:$AC$2)</f>
        <v>0.93010000000000004</v>
      </c>
      <c r="D2" s="75" t="s">
        <v>167</v>
      </c>
      <c r="E2" s="37">
        <v>3</v>
      </c>
      <c r="F2" s="49">
        <v>0.93010000000000004</v>
      </c>
      <c r="G2" s="49">
        <v>0.93010000000000004</v>
      </c>
      <c r="H2" s="49">
        <v>0.93010000000000004</v>
      </c>
      <c r="I2" s="50">
        <f>$H2</f>
        <v>0.93010000000000004</v>
      </c>
      <c r="J2" s="49">
        <v>0.83</v>
      </c>
      <c r="K2" s="50">
        <v>0.67700000000000005</v>
      </c>
      <c r="L2" s="50">
        <f>K2</f>
        <v>0.67700000000000005</v>
      </c>
      <c r="M2" s="49">
        <v>0.62190000000000001</v>
      </c>
      <c r="N2" s="50">
        <v>0.64219999999999999</v>
      </c>
      <c r="O2" s="50">
        <v>0.56869999999999998</v>
      </c>
      <c r="P2" s="50">
        <f>O2</f>
        <v>0.56869999999999998</v>
      </c>
      <c r="Q2" s="50">
        <v>0.61580000000000001</v>
      </c>
      <c r="R2" s="50">
        <f>Q2</f>
        <v>0.61580000000000001</v>
      </c>
      <c r="S2" s="50">
        <f t="shared" ref="S2:U2" si="0">R2</f>
        <v>0.61580000000000001</v>
      </c>
      <c r="T2" s="50">
        <f t="shared" si="0"/>
        <v>0.61580000000000001</v>
      </c>
      <c r="U2" s="50">
        <f t="shared" si="0"/>
        <v>0.61580000000000001</v>
      </c>
      <c r="V2" s="50">
        <f>U2</f>
        <v>0.61580000000000001</v>
      </c>
      <c r="W2" s="49">
        <v>0.93010000000000004</v>
      </c>
      <c r="X2" s="49">
        <v>0.94520000000000004</v>
      </c>
      <c r="Y2" s="50">
        <f>$X2</f>
        <v>0.94520000000000004</v>
      </c>
      <c r="Z2" s="50">
        <f>$X2</f>
        <v>0.94520000000000004</v>
      </c>
      <c r="AA2" s="50">
        <f>$X2</f>
        <v>0.94520000000000004</v>
      </c>
      <c r="AB2" s="50">
        <f>$X2</f>
        <v>0.94520000000000004</v>
      </c>
      <c r="AC2" s="21" t="s">
        <v>167</v>
      </c>
    </row>
    <row r="3" spans="1:29">
      <c r="A3" s="17" t="s">
        <v>16</v>
      </c>
      <c r="B3" s="47">
        <f>$F$2</f>
        <v>0.93010000000000004</v>
      </c>
      <c r="D3" s="5" t="s">
        <v>145</v>
      </c>
    </row>
    <row r="4" spans="1:29">
      <c r="A4" s="17" t="s">
        <v>52</v>
      </c>
      <c r="B4" s="47">
        <f>$M$2</f>
        <v>0.62190000000000001</v>
      </c>
      <c r="D4" s="100" t="s">
        <v>188</v>
      </c>
    </row>
    <row r="5" spans="1:29">
      <c r="A5" s="17" t="s">
        <v>53</v>
      </c>
      <c r="B5" s="47">
        <f>$O$2</f>
        <v>0.56869999999999998</v>
      </c>
    </row>
    <row r="6" spans="1:29">
      <c r="A6" s="17" t="s">
        <v>54</v>
      </c>
      <c r="B6" s="47">
        <f>$Q$2</f>
        <v>0.61580000000000001</v>
      </c>
    </row>
    <row r="7" spans="1:29">
      <c r="A7" s="17" t="s">
        <v>55</v>
      </c>
      <c r="B7" s="47">
        <f>$N$2</f>
        <v>0.64219999999999999</v>
      </c>
    </row>
    <row r="8" spans="1:29">
      <c r="A8" s="17" t="s">
        <v>99</v>
      </c>
      <c r="B8" s="47">
        <f>$H$2</f>
        <v>0.93010000000000004</v>
      </c>
    </row>
    <row r="9" spans="1:29">
      <c r="A9" s="17" t="s">
        <v>100</v>
      </c>
      <c r="B9" s="47">
        <f>$X$2</f>
        <v>0.94520000000000004</v>
      </c>
    </row>
    <row r="10" spans="1:29">
      <c r="A10" s="17" t="s">
        <v>119</v>
      </c>
      <c r="B10" s="47">
        <f>$Z$2</f>
        <v>0.94520000000000004</v>
      </c>
    </row>
    <row r="11" spans="1:29">
      <c r="A11" s="17" t="s">
        <v>120</v>
      </c>
      <c r="B11" s="47">
        <f>$AB$2</f>
        <v>0.94520000000000004</v>
      </c>
    </row>
    <row r="12" spans="1:29">
      <c r="A12" s="17" t="s">
        <v>121</v>
      </c>
      <c r="B12" s="47">
        <f>$AA$2</f>
        <v>0.94520000000000004</v>
      </c>
    </row>
    <row r="13" spans="1:29">
      <c r="A13" s="17" t="s">
        <v>105</v>
      </c>
      <c r="B13" s="47">
        <f>$J$2</f>
        <v>0.83</v>
      </c>
    </row>
    <row r="14" spans="1:29">
      <c r="A14" s="17" t="s">
        <v>104</v>
      </c>
      <c r="B14" s="47">
        <f>$K$2</f>
        <v>0.67700000000000005</v>
      </c>
    </row>
    <row r="15" spans="1:29">
      <c r="A15" s="17" t="s">
        <v>17</v>
      </c>
      <c r="B15" s="47">
        <f>$G$2</f>
        <v>0.93010000000000004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G8"/>
  <sheetViews>
    <sheetView workbookViewId="0">
      <selection activeCell="J16" sqref="J16"/>
    </sheetView>
  </sheetViews>
  <sheetFormatPr defaultColWidth="9" defaultRowHeight="15"/>
  <cols>
    <col min="1" max="1" width="9" style="2"/>
    <col min="2" max="2" width="10.7109375" style="2" customWidth="1"/>
    <col min="3" max="5" width="9" style="2"/>
    <col min="6" max="6" width="10.42578125" style="7" customWidth="1"/>
    <col min="7" max="7" width="9" style="2"/>
    <col min="8" max="8" width="9.85546875" style="2" bestFit="1" customWidth="1"/>
    <col min="9" max="16" width="9" style="2"/>
    <col min="17" max="17" width="9.85546875" style="2" bestFit="1" customWidth="1"/>
    <col min="18" max="16384" width="9" style="2"/>
  </cols>
  <sheetData>
    <row r="1" spans="1:7" ht="16.5">
      <c r="A1" s="59" t="s">
        <v>16</v>
      </c>
      <c r="B1" s="60"/>
      <c r="C1" s="60"/>
      <c r="D1" s="60"/>
      <c r="E1" s="60"/>
      <c r="F1" s="61"/>
      <c r="G1" s="5" t="s">
        <v>199</v>
      </c>
    </row>
    <row r="2" spans="1:7" ht="30.75">
      <c r="A2" s="62" t="s">
        <v>5</v>
      </c>
      <c r="B2" s="63" t="s">
        <v>50</v>
      </c>
      <c r="C2" s="63" t="s">
        <v>123</v>
      </c>
      <c r="D2" s="64" t="s">
        <v>169</v>
      </c>
      <c r="E2" s="64" t="s">
        <v>170</v>
      </c>
      <c r="F2" s="65" t="s">
        <v>124</v>
      </c>
      <c r="G2" s="40"/>
    </row>
    <row r="3" spans="1:7" ht="15.75" thickBot="1">
      <c r="A3" s="66">
        <v>2008</v>
      </c>
      <c r="B3" s="67">
        <v>1383</v>
      </c>
      <c r="C3" s="67">
        <v>1173</v>
      </c>
      <c r="D3" s="68">
        <v>3895.7674418325337</v>
      </c>
      <c r="E3" s="69">
        <v>1173</v>
      </c>
      <c r="F3" s="70">
        <f>B3/C3</f>
        <v>1.1790281329923273</v>
      </c>
    </row>
    <row r="4" spans="1:7" ht="16.5">
      <c r="A4" s="60"/>
      <c r="B4" s="60"/>
      <c r="C4" s="60"/>
      <c r="D4" s="60"/>
      <c r="E4" s="60"/>
      <c r="F4" s="61"/>
    </row>
    <row r="5" spans="1:7" ht="16.5">
      <c r="A5" s="59" t="s">
        <v>17</v>
      </c>
      <c r="B5" s="60"/>
      <c r="C5" s="60"/>
      <c r="D5" s="60"/>
      <c r="E5" s="60"/>
      <c r="F5" s="61"/>
    </row>
    <row r="6" spans="1:7" ht="30.75">
      <c r="A6" s="62" t="s">
        <v>5</v>
      </c>
      <c r="B6" s="63" t="s">
        <v>50</v>
      </c>
      <c r="C6" s="63" t="s">
        <v>123</v>
      </c>
      <c r="D6" s="64" t="s">
        <v>169</v>
      </c>
      <c r="E6" s="64" t="s">
        <v>170</v>
      </c>
      <c r="F6" s="61"/>
    </row>
    <row r="7" spans="1:7">
      <c r="A7" s="71">
        <v>2008</v>
      </c>
      <c r="B7" s="72">
        <v>2857</v>
      </c>
      <c r="C7" s="72">
        <v>2601</v>
      </c>
      <c r="D7" s="69">
        <v>2654.0817854944244</v>
      </c>
      <c r="E7" s="73">
        <v>2601</v>
      </c>
      <c r="F7" s="70">
        <f>B7/C7</f>
        <v>1.0984236831987697</v>
      </c>
    </row>
    <row r="8" spans="1:7">
      <c r="A8" s="57"/>
      <c r="B8" s="57"/>
      <c r="C8" s="57"/>
      <c r="D8" s="57"/>
      <c r="E8" s="57"/>
      <c r="F8" s="5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J15"/>
  <sheetViews>
    <sheetView workbookViewId="0">
      <selection activeCell="F20" sqref="F20"/>
    </sheetView>
  </sheetViews>
  <sheetFormatPr defaultColWidth="9" defaultRowHeight="15"/>
  <cols>
    <col min="1" max="1" width="13.85546875" style="11" customWidth="1"/>
    <col min="2" max="2" width="13.85546875" style="7" customWidth="1"/>
    <col min="3" max="4" width="9" style="2"/>
    <col min="5" max="5" width="21.85546875" style="2" bestFit="1" customWidth="1"/>
    <col min="6" max="6" width="10.140625" style="2" bestFit="1" customWidth="1"/>
    <col min="7" max="7" width="12" style="2" bestFit="1" customWidth="1"/>
    <col min="8" max="8" width="10.5703125" style="2" bestFit="1" customWidth="1"/>
    <col min="9" max="16384" width="9" style="2"/>
  </cols>
  <sheetData>
    <row r="1" spans="1:10">
      <c r="A1" s="54" t="s">
        <v>48</v>
      </c>
      <c r="B1" s="55" t="s">
        <v>168</v>
      </c>
      <c r="D1" s="21"/>
      <c r="E1" s="21"/>
      <c r="F1" s="21"/>
      <c r="G1" s="21" t="s">
        <v>125</v>
      </c>
      <c r="H1" s="21"/>
      <c r="I1" s="21"/>
      <c r="J1" s="5" t="s">
        <v>145</v>
      </c>
    </row>
    <row r="2" spans="1:10">
      <c r="A2" s="17" t="s">
        <v>15</v>
      </c>
      <c r="B2" s="48">
        <f>$I$9</f>
        <v>2.6040514489776623E-2</v>
      </c>
      <c r="D2" s="21" t="s">
        <v>20</v>
      </c>
      <c r="E2" s="21"/>
      <c r="F2" s="21"/>
      <c r="G2" s="21" t="s">
        <v>103</v>
      </c>
      <c r="H2" s="21"/>
      <c r="I2" s="21"/>
    </row>
    <row r="3" spans="1:10">
      <c r="A3" s="17" t="s">
        <v>16</v>
      </c>
      <c r="B3" s="47">
        <f>$I$5</f>
        <v>0.10050000000000003</v>
      </c>
      <c r="D3" s="21" t="s">
        <v>126</v>
      </c>
      <c r="E3" s="21" t="s">
        <v>127</v>
      </c>
      <c r="F3" s="21" t="s">
        <v>48</v>
      </c>
      <c r="G3" s="21" t="s">
        <v>128</v>
      </c>
      <c r="H3" s="21" t="s">
        <v>129</v>
      </c>
      <c r="I3" s="21"/>
    </row>
    <row r="4" spans="1:10">
      <c r="A4" s="17" t="s">
        <v>52</v>
      </c>
      <c r="B4" s="47">
        <f>$I$6</f>
        <v>0.34092450566077115</v>
      </c>
      <c r="D4" s="21">
        <v>2.0099999999999998</v>
      </c>
      <c r="E4" s="21" t="s">
        <v>130</v>
      </c>
      <c r="F4" s="21" t="s">
        <v>131</v>
      </c>
      <c r="G4" s="22">
        <v>8082</v>
      </c>
      <c r="H4" s="21"/>
      <c r="I4" s="21"/>
    </row>
    <row r="5" spans="1:10">
      <c r="A5" s="17" t="s">
        <v>53</v>
      </c>
      <c r="B5" s="47">
        <f>$I$6</f>
        <v>0.34092450566077115</v>
      </c>
      <c r="D5" s="21">
        <v>3</v>
      </c>
      <c r="E5" s="21" t="s">
        <v>132</v>
      </c>
      <c r="F5" s="21"/>
      <c r="G5" s="22">
        <v>1799</v>
      </c>
      <c r="H5" s="44">
        <v>2000</v>
      </c>
      <c r="I5" s="45">
        <f>1-G5/H5</f>
        <v>0.10050000000000003</v>
      </c>
    </row>
    <row r="6" spans="1:10">
      <c r="A6" s="17" t="s">
        <v>54</v>
      </c>
      <c r="B6" s="47">
        <f>$I$6</f>
        <v>0.34092450566077115</v>
      </c>
      <c r="D6" s="21"/>
      <c r="E6" s="21" t="s">
        <v>133</v>
      </c>
      <c r="F6" s="21" t="s">
        <v>134</v>
      </c>
      <c r="G6" s="22">
        <v>25265</v>
      </c>
      <c r="H6" s="44">
        <v>38334</v>
      </c>
      <c r="I6" s="45">
        <f>1-G6/H6</f>
        <v>0.34092450566077115</v>
      </c>
    </row>
    <row r="7" spans="1:10">
      <c r="A7" s="17" t="s">
        <v>55</v>
      </c>
      <c r="B7" s="47">
        <f>$I$6</f>
        <v>0.34092450566077115</v>
      </c>
      <c r="D7" s="21">
        <v>6.01</v>
      </c>
      <c r="E7" s="21" t="s">
        <v>135</v>
      </c>
      <c r="F7" s="21" t="s">
        <v>136</v>
      </c>
      <c r="G7" s="22">
        <v>16472</v>
      </c>
      <c r="H7" s="44"/>
      <c r="I7" s="21"/>
    </row>
    <row r="8" spans="1:10">
      <c r="A8" s="17" t="s">
        <v>99</v>
      </c>
      <c r="B8" s="47">
        <f>$I$9</f>
        <v>2.6040514489776623E-2</v>
      </c>
      <c r="D8" s="21">
        <v>7.01</v>
      </c>
      <c r="E8" s="21" t="s">
        <v>137</v>
      </c>
      <c r="F8" s="21" t="s">
        <v>138</v>
      </c>
      <c r="G8" s="22">
        <v>23172</v>
      </c>
      <c r="H8" s="44">
        <v>31739</v>
      </c>
      <c r="I8" s="45">
        <f>1-G8/H8</f>
        <v>0.26992028734364659</v>
      </c>
    </row>
    <row r="9" spans="1:10">
      <c r="A9" s="17" t="s">
        <v>100</v>
      </c>
      <c r="B9" s="47">
        <f>$I$8</f>
        <v>0.26992028734364659</v>
      </c>
      <c r="D9" s="21">
        <v>8</v>
      </c>
      <c r="E9" s="21" t="s">
        <v>139</v>
      </c>
      <c r="F9" s="21"/>
      <c r="G9" s="22">
        <v>30819</v>
      </c>
      <c r="H9" s="44">
        <v>31643</v>
      </c>
      <c r="I9" s="46">
        <f>1-G9/H9</f>
        <v>2.6040514489776623E-2</v>
      </c>
    </row>
    <row r="10" spans="1:10">
      <c r="A10" s="17" t="s">
        <v>119</v>
      </c>
      <c r="B10" s="47">
        <f>$I$8</f>
        <v>0.26992028734364659</v>
      </c>
      <c r="D10" s="21">
        <v>9.01</v>
      </c>
      <c r="E10" s="21" t="s">
        <v>140</v>
      </c>
      <c r="F10" s="21" t="s">
        <v>141</v>
      </c>
      <c r="G10" s="22">
        <v>15191</v>
      </c>
      <c r="H10" s="44">
        <v>19352</v>
      </c>
      <c r="I10" s="45">
        <f>1-G10/H10</f>
        <v>0.21501653575857793</v>
      </c>
    </row>
    <row r="11" spans="1:10">
      <c r="A11" s="17" t="s">
        <v>120</v>
      </c>
      <c r="B11" s="47">
        <f>$I$8</f>
        <v>0.26992028734364659</v>
      </c>
      <c r="D11" s="21">
        <v>9.02</v>
      </c>
      <c r="E11" s="21" t="s">
        <v>140</v>
      </c>
      <c r="F11" s="21" t="s">
        <v>142</v>
      </c>
      <c r="G11" s="22">
        <v>3557</v>
      </c>
      <c r="H11" s="44">
        <v>5144</v>
      </c>
      <c r="I11" s="45">
        <f>1-G11/H11</f>
        <v>0.30851477449455678</v>
      </c>
    </row>
    <row r="12" spans="1:10">
      <c r="A12" s="17" t="s">
        <v>121</v>
      </c>
      <c r="B12" s="47">
        <f>$I$8</f>
        <v>0.26992028734364659</v>
      </c>
      <c r="D12" s="21">
        <v>10</v>
      </c>
      <c r="E12" s="21" t="s">
        <v>143</v>
      </c>
      <c r="F12" s="21"/>
      <c r="G12" s="22">
        <v>3163</v>
      </c>
      <c r="H12" s="44">
        <v>3200</v>
      </c>
      <c r="I12" s="46">
        <f>1-G12/H12</f>
        <v>1.1562500000000031E-2</v>
      </c>
    </row>
    <row r="13" spans="1:10">
      <c r="A13" s="17" t="s">
        <v>105</v>
      </c>
      <c r="B13" s="47">
        <f>$I$10</f>
        <v>0.21501653575857793</v>
      </c>
      <c r="D13" s="21" t="s">
        <v>144</v>
      </c>
      <c r="E13" s="21"/>
      <c r="F13" s="21"/>
      <c r="G13" s="21"/>
      <c r="H13" s="21"/>
      <c r="I13" s="21"/>
    </row>
    <row r="14" spans="1:10">
      <c r="A14" s="17" t="s">
        <v>104</v>
      </c>
      <c r="B14" s="47">
        <f>$I$11</f>
        <v>0.30851477449455678</v>
      </c>
    </row>
    <row r="15" spans="1:10">
      <c r="A15" s="17" t="s">
        <v>17</v>
      </c>
      <c r="B15" s="47">
        <f>$I$12</f>
        <v>1.1562500000000031E-2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M14"/>
  <sheetViews>
    <sheetView workbookViewId="0">
      <selection activeCell="U14" sqref="U14"/>
    </sheetView>
  </sheetViews>
  <sheetFormatPr defaultColWidth="9.140625" defaultRowHeight="15"/>
  <cols>
    <col min="1" max="1" width="10.7109375" style="2" bestFit="1" customWidth="1"/>
    <col min="2" max="16384" width="9.140625" style="2"/>
  </cols>
  <sheetData>
    <row r="1" spans="1:13">
      <c r="A1" s="3" t="s">
        <v>5</v>
      </c>
      <c r="B1" s="3" t="s">
        <v>1</v>
      </c>
      <c r="C1" s="3" t="s">
        <v>2</v>
      </c>
      <c r="D1" s="3" t="s">
        <v>3</v>
      </c>
      <c r="E1" s="3" t="s">
        <v>4</v>
      </c>
      <c r="G1" s="5" t="s">
        <v>93</v>
      </c>
      <c r="J1" s="1" t="s">
        <v>58</v>
      </c>
      <c r="M1" s="1" t="s">
        <v>94</v>
      </c>
    </row>
    <row r="2" spans="1:13">
      <c r="A2" s="3">
        <v>2019</v>
      </c>
      <c r="B2" s="4">
        <v>33750</v>
      </c>
      <c r="C2" s="4">
        <v>28999</v>
      </c>
      <c r="D2" s="4">
        <v>42678</v>
      </c>
      <c r="E2" s="4">
        <v>31527</v>
      </c>
    </row>
    <row r="3" spans="1:13">
      <c r="A3" s="3">
        <v>2020</v>
      </c>
      <c r="B3" s="4">
        <v>34342</v>
      </c>
      <c r="C3" s="4">
        <v>29674</v>
      </c>
      <c r="D3" s="4">
        <v>44152</v>
      </c>
      <c r="E3" s="4">
        <v>31419</v>
      </c>
    </row>
    <row r="4" spans="1:13">
      <c r="A4" s="3">
        <v>2021</v>
      </c>
      <c r="B4" s="4">
        <v>34997</v>
      </c>
      <c r="C4" s="4">
        <v>30333</v>
      </c>
      <c r="D4" s="4">
        <v>45682</v>
      </c>
      <c r="E4" s="4">
        <v>31469</v>
      </c>
    </row>
    <row r="5" spans="1:13">
      <c r="A5" s="3">
        <v>2022</v>
      </c>
      <c r="B5" s="4">
        <v>35610</v>
      </c>
      <c r="C5" s="4">
        <v>31003</v>
      </c>
      <c r="D5" s="4">
        <v>47270</v>
      </c>
      <c r="E5" s="4">
        <v>31832</v>
      </c>
    </row>
    <row r="6" spans="1:13">
      <c r="A6" s="3">
        <v>2023</v>
      </c>
      <c r="B6" s="4">
        <v>36050</v>
      </c>
      <c r="C6" s="4">
        <v>31443</v>
      </c>
      <c r="D6" s="4">
        <v>48920</v>
      </c>
      <c r="E6" s="4">
        <v>32462</v>
      </c>
    </row>
    <row r="7" spans="1:13">
      <c r="A7" s="3">
        <v>2024</v>
      </c>
      <c r="B7" s="4">
        <v>36571</v>
      </c>
      <c r="C7" s="4">
        <v>31784</v>
      </c>
      <c r="D7" s="4">
        <v>50583</v>
      </c>
      <c r="E7" s="4">
        <v>32552</v>
      </c>
    </row>
    <row r="8" spans="1:13">
      <c r="A8" s="3">
        <v>2025</v>
      </c>
      <c r="B8" s="4">
        <v>36873</v>
      </c>
      <c r="C8" s="4">
        <v>32055</v>
      </c>
      <c r="D8" s="4">
        <v>52332</v>
      </c>
      <c r="E8" s="4">
        <v>32557</v>
      </c>
    </row>
    <row r="9" spans="1:13">
      <c r="A9" s="3">
        <v>2026</v>
      </c>
      <c r="B9" s="4">
        <v>37086</v>
      </c>
      <c r="C9" s="4">
        <v>32380</v>
      </c>
      <c r="D9" s="4">
        <v>53733</v>
      </c>
      <c r="E9" s="4">
        <v>32490</v>
      </c>
    </row>
    <row r="10" spans="1:13">
      <c r="A10" s="3">
        <v>2027</v>
      </c>
      <c r="B10" s="4">
        <v>37266</v>
      </c>
      <c r="C10" s="4">
        <v>32709</v>
      </c>
      <c r="D10" s="4">
        <v>54849</v>
      </c>
      <c r="E10" s="4">
        <v>32395</v>
      </c>
    </row>
    <row r="11" spans="1:13">
      <c r="A11" s="3">
        <v>2028</v>
      </c>
      <c r="B11" s="4">
        <v>37324</v>
      </c>
      <c r="C11" s="4">
        <v>33073</v>
      </c>
      <c r="D11" s="4">
        <v>55836</v>
      </c>
      <c r="E11" s="4">
        <v>32219</v>
      </c>
    </row>
    <row r="13" spans="1:13">
      <c r="A13" s="98">
        <v>46006</v>
      </c>
    </row>
    <row r="14" spans="1:13">
      <c r="A14" s="2" t="s">
        <v>187</v>
      </c>
    </row>
  </sheetData>
  <hyperlinks>
    <hyperlink ref="J1" r:id="rId1" xr:uid="{00000000-0004-0000-0800-000000000000}"/>
    <hyperlink ref="M1" r:id="rId2" xr:uid="{00000000-0004-0000-0800-000001000000}"/>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AF19"/>
  <sheetViews>
    <sheetView zoomScaleNormal="100" workbookViewId="0">
      <selection activeCell="S31" sqref="S31"/>
    </sheetView>
  </sheetViews>
  <sheetFormatPr defaultColWidth="9" defaultRowHeight="15"/>
  <cols>
    <col min="1" max="26" width="9" style="2"/>
    <col min="27" max="27" width="9" style="2" customWidth="1"/>
    <col min="28" max="16384" width="9" style="2"/>
  </cols>
  <sheetData>
    <row r="1" spans="1:32">
      <c r="A1" s="5" t="s">
        <v>7</v>
      </c>
      <c r="J1" s="5" t="s">
        <v>123</v>
      </c>
      <c r="P1" s="5" t="s">
        <v>122</v>
      </c>
    </row>
    <row r="2" spans="1:32">
      <c r="A2" s="5"/>
      <c r="J2" s="5"/>
      <c r="Q2" s="172" t="s">
        <v>1</v>
      </c>
      <c r="R2" s="173"/>
      <c r="S2" s="173"/>
      <c r="T2" s="173"/>
      <c r="U2" s="172" t="s">
        <v>2</v>
      </c>
      <c r="V2" s="173"/>
      <c r="W2" s="173"/>
      <c r="X2" s="173"/>
      <c r="Y2" s="172" t="s">
        <v>3</v>
      </c>
      <c r="Z2" s="173"/>
      <c r="AA2" s="173"/>
      <c r="AB2" s="173"/>
      <c r="AC2" s="172" t="s">
        <v>4</v>
      </c>
      <c r="AD2" s="173"/>
      <c r="AE2" s="173"/>
      <c r="AF2" s="173"/>
    </row>
    <row r="3" spans="1:32" ht="60">
      <c r="A3" s="3" t="s">
        <v>5</v>
      </c>
      <c r="B3" s="3" t="s">
        <v>1</v>
      </c>
      <c r="C3" s="3" t="s">
        <v>2</v>
      </c>
      <c r="D3" s="3" t="s">
        <v>3</v>
      </c>
      <c r="E3" s="3" t="s">
        <v>4</v>
      </c>
      <c r="F3" s="6" t="s">
        <v>10</v>
      </c>
      <c r="G3" s="6" t="s">
        <v>8</v>
      </c>
      <c r="H3" s="6" t="s">
        <v>9</v>
      </c>
      <c r="J3" s="3" t="s">
        <v>5</v>
      </c>
      <c r="K3" s="3" t="s">
        <v>1</v>
      </c>
      <c r="L3" s="3" t="s">
        <v>2</v>
      </c>
      <c r="M3" s="3" t="s">
        <v>3</v>
      </c>
      <c r="N3" s="3" t="s">
        <v>4</v>
      </c>
      <c r="P3" s="3" t="s">
        <v>5</v>
      </c>
      <c r="Q3" s="8" t="s">
        <v>11</v>
      </c>
      <c r="R3" s="6" t="s">
        <v>12</v>
      </c>
      <c r="S3" s="6" t="s">
        <v>13</v>
      </c>
      <c r="T3" s="6" t="s">
        <v>14</v>
      </c>
      <c r="U3" s="8" t="s">
        <v>11</v>
      </c>
      <c r="V3" s="6" t="s">
        <v>12</v>
      </c>
      <c r="W3" s="6" t="s">
        <v>13</v>
      </c>
      <c r="X3" s="6" t="s">
        <v>14</v>
      </c>
      <c r="Y3" s="8" t="s">
        <v>11</v>
      </c>
      <c r="Z3" s="6" t="s">
        <v>12</v>
      </c>
      <c r="AA3" s="6" t="s">
        <v>13</v>
      </c>
      <c r="AB3" s="6" t="s">
        <v>14</v>
      </c>
      <c r="AC3" s="8" t="s">
        <v>11</v>
      </c>
      <c r="AD3" s="6" t="s">
        <v>12</v>
      </c>
      <c r="AE3" s="6" t="s">
        <v>13</v>
      </c>
      <c r="AF3" s="6" t="s">
        <v>14</v>
      </c>
    </row>
    <row r="4" spans="1:32">
      <c r="A4" s="3">
        <v>2016</v>
      </c>
      <c r="B4" s="40"/>
      <c r="C4" s="40"/>
      <c r="D4" s="40"/>
      <c r="E4" s="40"/>
      <c r="F4" s="18">
        <v>5500</v>
      </c>
      <c r="G4" s="18">
        <v>6039</v>
      </c>
      <c r="H4" s="18">
        <v>4293</v>
      </c>
      <c r="J4" s="3">
        <v>2016</v>
      </c>
      <c r="K4" s="40"/>
      <c r="L4" s="40"/>
      <c r="M4" s="40"/>
      <c r="N4" s="40"/>
      <c r="P4" s="3"/>
      <c r="Q4" s="10"/>
      <c r="R4" s="9"/>
      <c r="S4" s="9"/>
      <c r="T4" s="9"/>
      <c r="U4" s="10"/>
      <c r="V4" s="9"/>
      <c r="W4" s="9"/>
      <c r="X4" s="9"/>
      <c r="Y4" s="10"/>
      <c r="Z4" s="9"/>
      <c r="AA4" s="9"/>
      <c r="AB4" s="9"/>
      <c r="AC4" s="10"/>
      <c r="AD4" s="9"/>
      <c r="AE4" s="9"/>
      <c r="AF4" s="9"/>
    </row>
    <row r="5" spans="1:32">
      <c r="A5" s="3">
        <v>2017</v>
      </c>
      <c r="B5" s="18">
        <v>32800</v>
      </c>
      <c r="C5" s="18">
        <v>27949</v>
      </c>
      <c r="D5" s="18">
        <v>37282</v>
      </c>
      <c r="E5" s="18">
        <v>29620</v>
      </c>
      <c r="F5" s="18">
        <v>5641</v>
      </c>
      <c r="G5" s="18">
        <v>5841</v>
      </c>
      <c r="H5" s="18">
        <v>4420</v>
      </c>
      <c r="J5" s="3">
        <v>2017</v>
      </c>
      <c r="K5" s="26">
        <f>SUM($Q5:$T5)</f>
        <v>22269.399999999998</v>
      </c>
      <c r="L5" s="26">
        <f>SUM($U5:$X5)</f>
        <v>8771.5999999999985</v>
      </c>
      <c r="M5" s="26">
        <f>SUM($Y5:$AB5)</f>
        <v>14861.2</v>
      </c>
      <c r="N5" s="26">
        <f>SUM($AC5:$AF5)</f>
        <v>7991</v>
      </c>
      <c r="P5" s="3">
        <v>2017</v>
      </c>
      <c r="Q5" s="41">
        <v>8360.7999999999993</v>
      </c>
      <c r="R5" s="42">
        <v>8716</v>
      </c>
      <c r="S5" s="42">
        <v>3206.5</v>
      </c>
      <c r="T5" s="42">
        <v>1986.1</v>
      </c>
      <c r="U5" s="41">
        <v>5426.7</v>
      </c>
      <c r="V5" s="42">
        <v>2876.1</v>
      </c>
      <c r="W5" s="42">
        <v>468.8</v>
      </c>
      <c r="X5" s="42"/>
      <c r="Y5" s="41">
        <v>9927.2000000000007</v>
      </c>
      <c r="Z5" s="42">
        <v>4650</v>
      </c>
      <c r="AA5" s="42">
        <v>284</v>
      </c>
      <c r="AB5" s="42"/>
      <c r="AC5" s="41">
        <v>7991</v>
      </c>
      <c r="AD5" s="42"/>
      <c r="AE5" s="42"/>
      <c r="AF5" s="42"/>
    </row>
    <row r="6" spans="1:32">
      <c r="A6" s="3">
        <v>2018</v>
      </c>
      <c r="B6" s="18">
        <v>33023</v>
      </c>
      <c r="C6" s="18">
        <v>28247</v>
      </c>
      <c r="D6" s="18">
        <v>39931</v>
      </c>
      <c r="E6" s="18">
        <v>29156</v>
      </c>
      <c r="F6" s="18">
        <v>6015</v>
      </c>
      <c r="G6" s="18">
        <v>6011</v>
      </c>
      <c r="H6" s="18">
        <v>5033</v>
      </c>
      <c r="J6" s="3">
        <v>2018</v>
      </c>
      <c r="K6" s="26">
        <f t="shared" ref="K6:K12" si="0">SUM($Q6:$T6)</f>
        <v>22358.9</v>
      </c>
      <c r="L6" s="26">
        <f t="shared" ref="L6:L12" si="1">SUM($U6:$X6)</f>
        <v>8996.6</v>
      </c>
      <c r="M6" s="26">
        <f t="shared" ref="M6:M12" si="2">SUM($Y6:$AB6)</f>
        <v>15419.3</v>
      </c>
      <c r="N6" s="26">
        <f t="shared" ref="N6:N12" si="3">SUM($AC6:$AF6)</f>
        <v>7785</v>
      </c>
      <c r="P6" s="3">
        <v>2018</v>
      </c>
      <c r="Q6" s="41">
        <v>8348.1</v>
      </c>
      <c r="R6" s="42">
        <v>8700.2000000000007</v>
      </c>
      <c r="S6" s="42">
        <v>3274.6</v>
      </c>
      <c r="T6" s="42">
        <v>2036</v>
      </c>
      <c r="U6" s="41">
        <v>5505.9</v>
      </c>
      <c r="V6" s="42">
        <v>3026</v>
      </c>
      <c r="W6" s="42">
        <v>464.7</v>
      </c>
      <c r="X6" s="42"/>
      <c r="Y6" s="41">
        <v>9906.7999999999993</v>
      </c>
      <c r="Z6" s="42">
        <v>5116</v>
      </c>
      <c r="AA6" s="42">
        <v>396.5</v>
      </c>
      <c r="AB6" s="42"/>
      <c r="AC6" s="41">
        <v>7785</v>
      </c>
      <c r="AD6" s="42"/>
      <c r="AE6" s="42"/>
      <c r="AF6" s="42"/>
    </row>
    <row r="7" spans="1:32">
      <c r="A7" s="3">
        <v>2019</v>
      </c>
      <c r="B7" s="18">
        <v>32852</v>
      </c>
      <c r="C7" s="18">
        <v>29644</v>
      </c>
      <c r="D7" s="18">
        <v>41728</v>
      </c>
      <c r="E7" s="18">
        <v>29517</v>
      </c>
      <c r="F7" s="18">
        <v>5883</v>
      </c>
      <c r="G7" s="18">
        <v>6450</v>
      </c>
      <c r="H7" s="18">
        <v>5163</v>
      </c>
      <c r="J7" s="3">
        <v>2019</v>
      </c>
      <c r="K7" s="26">
        <f t="shared" si="0"/>
        <v>22130.05</v>
      </c>
      <c r="L7" s="26">
        <f t="shared" si="1"/>
        <v>8956.1999999999989</v>
      </c>
      <c r="M7" s="26">
        <f t="shared" si="2"/>
        <v>15739.3</v>
      </c>
      <c r="N7" s="26">
        <f t="shared" si="3"/>
        <v>7795</v>
      </c>
      <c r="P7" s="3">
        <v>2019</v>
      </c>
      <c r="Q7" s="41">
        <v>8079.2</v>
      </c>
      <c r="R7" s="42">
        <v>8638</v>
      </c>
      <c r="S7" s="42">
        <v>3365.1</v>
      </c>
      <c r="T7" s="42">
        <v>2047.75</v>
      </c>
      <c r="U7" s="41">
        <v>5376.6</v>
      </c>
      <c r="V7" s="42">
        <v>3098.9</v>
      </c>
      <c r="W7" s="42">
        <v>462.3</v>
      </c>
      <c r="X7" s="42">
        <v>18.399999999999999</v>
      </c>
      <c r="Y7" s="41">
        <v>9882.5</v>
      </c>
      <c r="Z7" s="42">
        <v>5459</v>
      </c>
      <c r="AA7" s="42">
        <v>397.8</v>
      </c>
      <c r="AB7" s="42"/>
      <c r="AC7" s="41">
        <v>7795</v>
      </c>
      <c r="AD7" s="42"/>
      <c r="AE7" s="42"/>
      <c r="AF7" s="42"/>
    </row>
    <row r="8" spans="1:32">
      <c r="A8" s="3">
        <v>2020</v>
      </c>
      <c r="B8" s="18">
        <v>33080</v>
      </c>
      <c r="C8" s="18">
        <v>29596</v>
      </c>
      <c r="D8" s="18">
        <v>40936</v>
      </c>
      <c r="E8" s="18">
        <v>27293</v>
      </c>
      <c r="F8" s="18">
        <v>5993</v>
      </c>
      <c r="G8" s="18">
        <v>6709</v>
      </c>
      <c r="H8" s="18">
        <v>5562</v>
      </c>
      <c r="J8" s="3">
        <v>2020</v>
      </c>
      <c r="K8" s="26">
        <f t="shared" si="0"/>
        <v>22041.05</v>
      </c>
      <c r="L8" s="26">
        <f t="shared" si="1"/>
        <v>8760.1999999999989</v>
      </c>
      <c r="M8" s="26">
        <f t="shared" si="2"/>
        <v>15960.7</v>
      </c>
      <c r="N8" s="26">
        <f t="shared" si="3"/>
        <v>7086</v>
      </c>
      <c r="P8" s="3">
        <v>2020</v>
      </c>
      <c r="Q8" s="41">
        <v>7785.4</v>
      </c>
      <c r="R8" s="42">
        <v>8750.1</v>
      </c>
      <c r="S8" s="42">
        <v>3478.7</v>
      </c>
      <c r="T8" s="42">
        <v>2026.85</v>
      </c>
      <c r="U8" s="41">
        <v>5144.5</v>
      </c>
      <c r="V8" s="42">
        <v>3075.3</v>
      </c>
      <c r="W8" s="42">
        <v>501.4</v>
      </c>
      <c r="X8" s="42">
        <v>39</v>
      </c>
      <c r="Y8" s="41">
        <v>9783</v>
      </c>
      <c r="Z8" s="42">
        <v>5688</v>
      </c>
      <c r="AA8" s="42">
        <v>489.7</v>
      </c>
      <c r="AB8" s="42"/>
      <c r="AC8" s="41">
        <v>7086</v>
      </c>
      <c r="AD8" s="42"/>
      <c r="AE8" s="42"/>
      <c r="AF8" s="42"/>
    </row>
    <row r="9" spans="1:32">
      <c r="A9" s="3">
        <v>2021</v>
      </c>
      <c r="B9" s="18">
        <v>34462</v>
      </c>
      <c r="C9" s="18">
        <v>29774</v>
      </c>
      <c r="D9" s="18">
        <v>41262</v>
      </c>
      <c r="E9" s="18">
        <v>27225</v>
      </c>
      <c r="F9" s="18">
        <v>6287</v>
      </c>
      <c r="G9" s="18">
        <v>6169</v>
      </c>
      <c r="H9" s="18">
        <v>5725</v>
      </c>
      <c r="J9" s="3">
        <v>2021</v>
      </c>
      <c r="K9" s="26">
        <f t="shared" si="0"/>
        <v>21849.75</v>
      </c>
      <c r="L9" s="26">
        <f t="shared" si="1"/>
        <v>8356.5</v>
      </c>
      <c r="M9" s="26">
        <f t="shared" si="2"/>
        <v>15352</v>
      </c>
      <c r="N9" s="26">
        <f t="shared" si="3"/>
        <v>6432</v>
      </c>
      <c r="P9" s="3">
        <v>2021</v>
      </c>
      <c r="Q9" s="41">
        <v>7957.8</v>
      </c>
      <c r="R9" s="42">
        <v>8469.7999999999993</v>
      </c>
      <c r="S9" s="42">
        <v>3441.5</v>
      </c>
      <c r="T9" s="42">
        <v>1980.65</v>
      </c>
      <c r="U9" s="41">
        <v>4802.3</v>
      </c>
      <c r="V9" s="42">
        <v>2964.2</v>
      </c>
      <c r="W9" s="42">
        <v>533.79999999999995</v>
      </c>
      <c r="X9" s="42">
        <v>56.2</v>
      </c>
      <c r="Y9" s="41">
        <v>9364.1</v>
      </c>
      <c r="Z9" s="42">
        <v>5437</v>
      </c>
      <c r="AA9" s="42">
        <v>550.9</v>
      </c>
      <c r="AB9" s="42"/>
      <c r="AC9" s="41">
        <v>6432</v>
      </c>
      <c r="AD9" s="42"/>
      <c r="AE9" s="42"/>
      <c r="AF9" s="42"/>
    </row>
    <row r="10" spans="1:32">
      <c r="A10" s="3">
        <v>2022</v>
      </c>
      <c r="B10" s="18">
        <v>34734</v>
      </c>
      <c r="C10" s="18">
        <v>29914</v>
      </c>
      <c r="D10" s="18">
        <v>43099</v>
      </c>
      <c r="E10" s="18">
        <v>26348</v>
      </c>
      <c r="F10" s="18">
        <v>6158</v>
      </c>
      <c r="G10" s="18">
        <v>6645</v>
      </c>
      <c r="H10" s="18">
        <v>6240</v>
      </c>
      <c r="J10" s="3">
        <v>2022</v>
      </c>
      <c r="K10" s="26">
        <f t="shared" si="0"/>
        <v>21041.149999999998</v>
      </c>
      <c r="L10" s="26">
        <f t="shared" si="1"/>
        <v>8111.9</v>
      </c>
      <c r="M10" s="26">
        <f t="shared" si="2"/>
        <v>15561.000000000002</v>
      </c>
      <c r="N10" s="26">
        <f t="shared" si="3"/>
        <v>5812</v>
      </c>
      <c r="P10" s="3">
        <v>2022</v>
      </c>
      <c r="Q10" s="41">
        <v>7934.3</v>
      </c>
      <c r="R10" s="42">
        <v>7952</v>
      </c>
      <c r="S10" s="42">
        <v>3163.1</v>
      </c>
      <c r="T10" s="42">
        <v>1991.75</v>
      </c>
      <c r="U10" s="41">
        <v>4588.5</v>
      </c>
      <c r="V10" s="42">
        <v>2865.3</v>
      </c>
      <c r="W10" s="42">
        <v>602.9</v>
      </c>
      <c r="X10" s="42">
        <v>55.2</v>
      </c>
      <c r="Y10" s="41">
        <v>9350.7000000000007</v>
      </c>
      <c r="Z10" s="42">
        <v>5527.6</v>
      </c>
      <c r="AA10" s="42">
        <v>682.7</v>
      </c>
      <c r="AB10" s="42"/>
      <c r="AC10" s="41">
        <v>5812</v>
      </c>
      <c r="AD10" s="42"/>
      <c r="AE10" s="42"/>
      <c r="AF10" s="42"/>
    </row>
    <row r="11" spans="1:32">
      <c r="A11" s="3">
        <v>2023</v>
      </c>
      <c r="B11" s="18">
        <v>35310</v>
      </c>
      <c r="C11" s="18">
        <v>30536</v>
      </c>
      <c r="D11" s="18">
        <v>44653</v>
      </c>
      <c r="E11" s="18">
        <v>26764</v>
      </c>
      <c r="F11" s="18">
        <v>6646</v>
      </c>
      <c r="G11" s="18">
        <v>7268</v>
      </c>
      <c r="H11" s="18">
        <v>6369</v>
      </c>
      <c r="J11" s="3">
        <v>2023</v>
      </c>
      <c r="K11" s="26">
        <f t="shared" si="0"/>
        <v>21107.15</v>
      </c>
      <c r="L11" s="26">
        <f t="shared" si="1"/>
        <v>8074.9</v>
      </c>
      <c r="M11" s="26">
        <f t="shared" si="2"/>
        <v>16495.099999999999</v>
      </c>
      <c r="N11" s="26">
        <f t="shared" si="3"/>
        <v>5949</v>
      </c>
      <c r="P11" s="97">
        <v>2023</v>
      </c>
      <c r="Q11" s="41">
        <v>8150.6</v>
      </c>
      <c r="R11" s="42">
        <v>7899</v>
      </c>
      <c r="S11" s="42">
        <v>3063.4</v>
      </c>
      <c r="T11" s="42">
        <v>1994.15</v>
      </c>
      <c r="U11" s="41">
        <v>4581.1000000000004</v>
      </c>
      <c r="V11" s="42">
        <v>2825.9</v>
      </c>
      <c r="W11" s="42">
        <v>620.5</v>
      </c>
      <c r="X11" s="42">
        <v>47.4</v>
      </c>
      <c r="Y11" s="41">
        <v>9925.2000000000007</v>
      </c>
      <c r="Z11" s="42">
        <v>5835.4</v>
      </c>
      <c r="AA11" s="42">
        <v>734.5</v>
      </c>
      <c r="AB11" s="42"/>
      <c r="AC11" s="41">
        <v>5949</v>
      </c>
      <c r="AD11" s="42"/>
      <c r="AE11" s="42"/>
      <c r="AF11" s="42"/>
    </row>
    <row r="12" spans="1:32">
      <c r="A12" s="3">
        <v>2024</v>
      </c>
      <c r="B12" s="18">
        <v>36970</v>
      </c>
      <c r="C12" s="18">
        <v>32701</v>
      </c>
      <c r="D12" s="18">
        <v>46809</v>
      </c>
      <c r="E12" s="18">
        <v>27437</v>
      </c>
      <c r="F12" s="18">
        <v>7558</v>
      </c>
      <c r="G12" s="18">
        <v>7770</v>
      </c>
      <c r="H12" s="18">
        <v>6735</v>
      </c>
      <c r="J12" s="3">
        <v>2024</v>
      </c>
      <c r="K12" s="26">
        <f t="shared" si="0"/>
        <v>21974.45</v>
      </c>
      <c r="L12" s="26">
        <f t="shared" si="1"/>
        <v>8323</v>
      </c>
      <c r="M12" s="26">
        <f t="shared" si="2"/>
        <v>17135.5</v>
      </c>
      <c r="N12" s="26">
        <f t="shared" si="3"/>
        <v>6142</v>
      </c>
      <c r="P12" s="97">
        <v>2024</v>
      </c>
      <c r="Q12" s="41">
        <v>8608.7000000000007</v>
      </c>
      <c r="R12" s="42">
        <v>7989.1</v>
      </c>
      <c r="S12" s="42">
        <v>3362.3</v>
      </c>
      <c r="T12" s="42">
        <v>2014.35</v>
      </c>
      <c r="U12" s="41">
        <v>4698.8999999999996</v>
      </c>
      <c r="V12" s="42">
        <v>2899.4</v>
      </c>
      <c r="W12" s="42">
        <v>675.1</v>
      </c>
      <c r="X12" s="42">
        <v>49.6</v>
      </c>
      <c r="Y12" s="41">
        <v>10212</v>
      </c>
      <c r="Z12" s="42">
        <v>6093.8</v>
      </c>
      <c r="AA12" s="42">
        <v>829.7</v>
      </c>
      <c r="AB12" s="42"/>
      <c r="AC12" s="41">
        <v>6142</v>
      </c>
      <c r="AD12" s="42"/>
      <c r="AE12" s="42"/>
      <c r="AF12" s="42"/>
    </row>
    <row r="13" spans="1:32">
      <c r="A13" s="3">
        <v>2025</v>
      </c>
      <c r="B13" s="18">
        <v>38257</v>
      </c>
      <c r="C13" s="18">
        <v>33293</v>
      </c>
      <c r="D13" s="18">
        <v>48670</v>
      </c>
      <c r="E13" s="18">
        <v>31473</v>
      </c>
    </row>
    <row r="14" spans="1:32">
      <c r="A14" s="2" t="s">
        <v>196</v>
      </c>
    </row>
    <row r="16" spans="1:32">
      <c r="B16" s="1" t="s">
        <v>59</v>
      </c>
      <c r="K16" s="1"/>
    </row>
    <row r="17" spans="1:16">
      <c r="B17" s="1" t="s">
        <v>58</v>
      </c>
      <c r="K17" s="1"/>
    </row>
    <row r="18" spans="1:16">
      <c r="B18" s="1" t="s">
        <v>56</v>
      </c>
      <c r="K18" s="1"/>
    </row>
    <row r="19" spans="1:16">
      <c r="A19" s="2" t="s">
        <v>6</v>
      </c>
      <c r="B19" s="1" t="s">
        <v>0</v>
      </c>
      <c r="K19" s="1"/>
      <c r="P19" s="1" t="s">
        <v>57</v>
      </c>
    </row>
  </sheetData>
  <mergeCells count="4">
    <mergeCell ref="Q2:T2"/>
    <mergeCell ref="U2:X2"/>
    <mergeCell ref="Y2:AB2"/>
    <mergeCell ref="AC2:AF2"/>
  </mergeCells>
  <hyperlinks>
    <hyperlink ref="B19" r:id="rId1" xr:uid="{00000000-0004-0000-0900-000000000000}"/>
    <hyperlink ref="B18" r:id="rId2" xr:uid="{00000000-0004-0000-0900-000001000000}"/>
    <hyperlink ref="P19" r:id="rId3" xr:uid="{00000000-0004-0000-0900-000002000000}"/>
    <hyperlink ref="B17" r:id="rId4" xr:uid="{00000000-0004-0000-0900-000003000000}"/>
    <hyperlink ref="B16" r:id="rId5" xr:uid="{00000000-0004-0000-0900-000004000000}"/>
  </hyperlinks>
  <pageMargins left="0.7" right="0.7" top="0.75" bottom="0.75" header="0.3" footer="0.3"/>
  <pageSetup orientation="portrait" verticalDpi="0" r:id="rId6"/>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AL8"/>
  <sheetViews>
    <sheetView topLeftCell="J1" zoomScale="160" zoomScaleNormal="160" workbookViewId="0">
      <selection activeCell="N5" sqref="N5"/>
    </sheetView>
  </sheetViews>
  <sheetFormatPr defaultColWidth="9.140625" defaultRowHeight="15"/>
  <cols>
    <col min="1" max="1" width="19.28515625" style="2" bestFit="1" customWidth="1"/>
    <col min="2" max="11" width="16.85546875" style="2" bestFit="1" customWidth="1"/>
    <col min="12" max="14" width="16.85546875" style="2" customWidth="1"/>
    <col min="15" max="23" width="18.42578125" style="2" bestFit="1" customWidth="1"/>
    <col min="24" max="26" width="18.42578125" style="2" customWidth="1"/>
    <col min="27" max="38" width="30.140625" style="2" bestFit="1" customWidth="1"/>
    <col min="39" max="16384" width="9.140625" style="2"/>
  </cols>
  <sheetData>
    <row r="1" spans="1:38">
      <c r="A1" s="16" t="s">
        <v>91</v>
      </c>
      <c r="B1" s="16" t="s">
        <v>90</v>
      </c>
      <c r="C1" s="16" t="s">
        <v>89</v>
      </c>
      <c r="D1" s="16" t="s">
        <v>88</v>
      </c>
      <c r="E1" s="16" t="s">
        <v>87</v>
      </c>
      <c r="F1" s="16" t="s">
        <v>86</v>
      </c>
      <c r="G1" s="16" t="s">
        <v>85</v>
      </c>
      <c r="H1" s="16" t="s">
        <v>84</v>
      </c>
      <c r="I1" s="16" t="s">
        <v>83</v>
      </c>
      <c r="J1" s="16" t="s">
        <v>82</v>
      </c>
      <c r="K1" s="16" t="s">
        <v>81</v>
      </c>
      <c r="L1" s="16" t="s">
        <v>176</v>
      </c>
      <c r="M1" s="16" t="s">
        <v>177</v>
      </c>
      <c r="N1" s="16" t="s">
        <v>178</v>
      </c>
      <c r="O1" s="16" t="s">
        <v>80</v>
      </c>
      <c r="P1" s="16" t="s">
        <v>79</v>
      </c>
      <c r="Q1" s="16" t="s">
        <v>78</v>
      </c>
      <c r="R1" s="16" t="s">
        <v>77</v>
      </c>
      <c r="S1" s="16" t="s">
        <v>76</v>
      </c>
      <c r="T1" s="16" t="s">
        <v>75</v>
      </c>
      <c r="U1" s="16" t="s">
        <v>74</v>
      </c>
      <c r="V1" s="16" t="s">
        <v>73</v>
      </c>
      <c r="W1" s="16" t="s">
        <v>72</v>
      </c>
      <c r="X1" s="16" t="s">
        <v>181</v>
      </c>
      <c r="Y1" s="16" t="s">
        <v>182</v>
      </c>
      <c r="Z1" s="16" t="s">
        <v>183</v>
      </c>
      <c r="AA1" s="16" t="s">
        <v>71</v>
      </c>
      <c r="AB1" s="16" t="s">
        <v>70</v>
      </c>
      <c r="AC1" s="16" t="s">
        <v>69</v>
      </c>
      <c r="AD1" s="16" t="s">
        <v>68</v>
      </c>
      <c r="AE1" s="16" t="s">
        <v>67</v>
      </c>
      <c r="AF1" s="16" t="s">
        <v>66</v>
      </c>
      <c r="AG1" s="16" t="s">
        <v>65</v>
      </c>
      <c r="AH1" s="16" t="s">
        <v>64</v>
      </c>
      <c r="AI1" s="16" t="s">
        <v>63</v>
      </c>
      <c r="AJ1" s="16" t="s">
        <v>184</v>
      </c>
      <c r="AK1" s="16" t="s">
        <v>185</v>
      </c>
      <c r="AL1" s="16" t="s">
        <v>186</v>
      </c>
    </row>
    <row r="2" spans="1:38">
      <c r="A2" s="21">
        <v>1</v>
      </c>
      <c r="B2" s="21" t="s">
        <v>62</v>
      </c>
      <c r="C2" s="22">
        <v>30364</v>
      </c>
      <c r="D2" s="22">
        <v>27114</v>
      </c>
      <c r="E2" s="22">
        <v>26476</v>
      </c>
      <c r="F2" s="22">
        <v>29342</v>
      </c>
      <c r="G2" s="22">
        <v>30035</v>
      </c>
      <c r="H2" s="22">
        <v>30037</v>
      </c>
      <c r="I2" s="22">
        <v>30162</v>
      </c>
      <c r="J2" s="22">
        <v>30119</v>
      </c>
      <c r="K2" s="22">
        <v>31926</v>
      </c>
      <c r="L2" s="22">
        <v>30307</v>
      </c>
      <c r="M2" s="22">
        <v>30147</v>
      </c>
      <c r="N2" s="22">
        <v>31055</v>
      </c>
      <c r="O2" s="21">
        <v>230038</v>
      </c>
      <c r="P2" s="21">
        <v>230038</v>
      </c>
      <c r="Q2" s="21">
        <v>230038</v>
      </c>
      <c r="R2" s="21">
        <v>230038</v>
      </c>
      <c r="S2" s="21">
        <v>230038</v>
      </c>
      <c r="T2" s="21">
        <v>230038</v>
      </c>
      <c r="U2" s="21">
        <v>230038</v>
      </c>
      <c r="V2" s="21">
        <v>230038</v>
      </c>
      <c r="W2" s="21">
        <v>230038</v>
      </c>
      <c r="X2" s="21">
        <v>230038</v>
      </c>
      <c r="Y2" s="21">
        <v>230038</v>
      </c>
      <c r="Z2" s="21">
        <v>230038</v>
      </c>
      <c r="AA2" s="21" t="s">
        <v>60</v>
      </c>
      <c r="AB2" s="21" t="s">
        <v>60</v>
      </c>
      <c r="AC2" s="21" t="s">
        <v>60</v>
      </c>
      <c r="AD2" s="21" t="s">
        <v>60</v>
      </c>
      <c r="AE2" s="21" t="s">
        <v>60</v>
      </c>
      <c r="AF2" s="21" t="s">
        <v>60</v>
      </c>
      <c r="AG2" s="21" t="s">
        <v>60</v>
      </c>
      <c r="AH2" s="21" t="s">
        <v>60</v>
      </c>
      <c r="AI2" s="21" t="s">
        <v>60</v>
      </c>
      <c r="AJ2" s="21" t="s">
        <v>60</v>
      </c>
      <c r="AK2" s="21" t="s">
        <v>60</v>
      </c>
      <c r="AL2" s="21" t="s">
        <v>60</v>
      </c>
    </row>
    <row r="3" spans="1:38">
      <c r="A3" s="21">
        <v>2</v>
      </c>
      <c r="B3" s="21" t="s">
        <v>61</v>
      </c>
      <c r="C3" s="22">
        <v>4045</v>
      </c>
      <c r="D3" s="22">
        <v>4009</v>
      </c>
      <c r="E3" s="22">
        <v>4008</v>
      </c>
      <c r="F3" s="22">
        <v>4127</v>
      </c>
      <c r="G3" s="22">
        <v>4205</v>
      </c>
      <c r="H3" s="22">
        <v>4297</v>
      </c>
      <c r="I3" s="22">
        <v>4337</v>
      </c>
      <c r="J3" s="22">
        <v>4199</v>
      </c>
      <c r="K3" s="22">
        <v>4535</v>
      </c>
      <c r="L3" s="22">
        <v>4504</v>
      </c>
      <c r="M3" s="22">
        <v>4317</v>
      </c>
      <c r="N3" s="22">
        <v>4019</v>
      </c>
      <c r="O3" s="21">
        <v>230038</v>
      </c>
      <c r="P3" s="21">
        <v>230038</v>
      </c>
      <c r="Q3" s="21">
        <v>230038</v>
      </c>
      <c r="R3" s="21">
        <v>230038</v>
      </c>
      <c r="S3" s="21">
        <v>230038</v>
      </c>
      <c r="T3" s="21">
        <v>230038</v>
      </c>
      <c r="U3" s="21">
        <v>230038</v>
      </c>
      <c r="V3" s="21">
        <v>230038</v>
      </c>
      <c r="W3" s="21">
        <v>230038</v>
      </c>
      <c r="X3" s="21">
        <v>230038</v>
      </c>
      <c r="Y3" s="21">
        <v>230038</v>
      </c>
      <c r="Z3" s="21">
        <v>230038</v>
      </c>
      <c r="AA3" s="21" t="s">
        <v>60</v>
      </c>
      <c r="AB3" s="21" t="s">
        <v>60</v>
      </c>
      <c r="AC3" s="21" t="s">
        <v>60</v>
      </c>
      <c r="AD3" s="21" t="s">
        <v>60</v>
      </c>
      <c r="AE3" s="21" t="s">
        <v>60</v>
      </c>
      <c r="AF3" s="21" t="s">
        <v>60</v>
      </c>
      <c r="AG3" s="21" t="s">
        <v>60</v>
      </c>
      <c r="AH3" s="21" t="s">
        <v>60</v>
      </c>
      <c r="AI3" s="21" t="s">
        <v>60</v>
      </c>
      <c r="AJ3" s="21" t="s">
        <v>60</v>
      </c>
      <c r="AK3" s="21" t="s">
        <v>60</v>
      </c>
      <c r="AL3" s="21" t="s">
        <v>60</v>
      </c>
    </row>
    <row r="4" spans="1:38">
      <c r="B4" s="16" t="s">
        <v>5</v>
      </c>
      <c r="C4" s="24">
        <f t="shared" ref="C4:K4" si="0">INT(MID(C1,13,4))</f>
        <v>2012</v>
      </c>
      <c r="D4" s="24">
        <f t="shared" si="0"/>
        <v>2013</v>
      </c>
      <c r="E4" s="24">
        <f t="shared" si="0"/>
        <v>2014</v>
      </c>
      <c r="F4" s="24">
        <f t="shared" si="0"/>
        <v>2015</v>
      </c>
      <c r="G4" s="24">
        <f t="shared" si="0"/>
        <v>2016</v>
      </c>
      <c r="H4" s="24">
        <f t="shared" si="0"/>
        <v>2017</v>
      </c>
      <c r="I4" s="24">
        <f t="shared" si="0"/>
        <v>2018</v>
      </c>
      <c r="J4" s="24">
        <f t="shared" si="0"/>
        <v>2019</v>
      </c>
      <c r="K4" s="24">
        <f t="shared" si="0"/>
        <v>2020</v>
      </c>
      <c r="L4" s="24">
        <v>2021</v>
      </c>
      <c r="M4" s="24">
        <v>2022</v>
      </c>
      <c r="N4" s="24">
        <v>2023</v>
      </c>
    </row>
    <row r="5" spans="1:38">
      <c r="B5" s="16" t="s">
        <v>92</v>
      </c>
      <c r="C5" s="23">
        <f t="shared" ref="C5:N5" si="1">SUM(C2:C3)</f>
        <v>34409</v>
      </c>
      <c r="D5" s="23">
        <f t="shared" si="1"/>
        <v>31123</v>
      </c>
      <c r="E5" s="23">
        <f t="shared" si="1"/>
        <v>30484</v>
      </c>
      <c r="F5" s="23">
        <f t="shared" si="1"/>
        <v>33469</v>
      </c>
      <c r="G5" s="23">
        <f t="shared" si="1"/>
        <v>34240</v>
      </c>
      <c r="H5" s="23">
        <f t="shared" si="1"/>
        <v>34334</v>
      </c>
      <c r="I5" s="23">
        <f t="shared" si="1"/>
        <v>34499</v>
      </c>
      <c r="J5" s="23">
        <f t="shared" si="1"/>
        <v>34318</v>
      </c>
      <c r="K5" s="23">
        <f t="shared" si="1"/>
        <v>36461</v>
      </c>
      <c r="L5" s="23">
        <f t="shared" si="1"/>
        <v>34811</v>
      </c>
      <c r="M5" s="23">
        <f t="shared" si="1"/>
        <v>34464</v>
      </c>
      <c r="N5" s="23">
        <f t="shared" si="1"/>
        <v>35074</v>
      </c>
    </row>
    <row r="8" spans="1:38">
      <c r="A8" s="2" t="s">
        <v>179</v>
      </c>
      <c r="B8" s="1" t="s">
        <v>180</v>
      </c>
    </row>
  </sheetData>
  <hyperlinks>
    <hyperlink ref="B8" r:id="rId1" location="enrollment" xr:uid="{00000000-0004-0000-0A00-000000000000}"/>
  </hyperlinks>
  <pageMargins left="0.7" right="0.7" top="0.75" bottom="0.75" header="0.3" footer="0.3"/>
  <pageSetup orientation="portrait"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V20"/>
  <sheetViews>
    <sheetView zoomScaleNormal="100" workbookViewId="0">
      <selection activeCell="E35" sqref="E35"/>
    </sheetView>
  </sheetViews>
  <sheetFormatPr defaultColWidth="9.140625" defaultRowHeight="15"/>
  <cols>
    <col min="1" max="21" width="9.140625" style="2"/>
    <col min="22" max="22" width="9.7109375" style="2" bestFit="1" customWidth="1"/>
    <col min="23" max="16384" width="9.140625" style="2"/>
  </cols>
  <sheetData>
    <row r="1" spans="1:22">
      <c r="A1" s="3" t="s">
        <v>5</v>
      </c>
      <c r="B1" s="3" t="s">
        <v>98</v>
      </c>
      <c r="C1" s="3" t="s">
        <v>97</v>
      </c>
      <c r="D1" s="3" t="s">
        <v>92</v>
      </c>
    </row>
    <row r="2" spans="1:22">
      <c r="A2" s="3">
        <v>2006</v>
      </c>
      <c r="B2" s="31">
        <f>712+1014+131+92</f>
        <v>1949</v>
      </c>
      <c r="C2" s="31">
        <f>120+113+165+132</f>
        <v>530</v>
      </c>
      <c r="D2" s="31">
        <f t="shared" ref="D2:D17" si="0">B2+C2</f>
        <v>2479</v>
      </c>
      <c r="E2" s="1" t="s">
        <v>96</v>
      </c>
    </row>
    <row r="3" spans="1:22">
      <c r="A3" s="3">
        <v>2007</v>
      </c>
      <c r="B3" s="31">
        <f>756+1063+163+125</f>
        <v>2107</v>
      </c>
      <c r="C3" s="31">
        <f>111+118+186+139</f>
        <v>554</v>
      </c>
      <c r="D3" s="31">
        <f t="shared" si="0"/>
        <v>2661</v>
      </c>
      <c r="N3" s="1" t="s">
        <v>18</v>
      </c>
      <c r="V3" s="96">
        <v>45702</v>
      </c>
    </row>
    <row r="4" spans="1:22">
      <c r="A4" s="3">
        <v>2008</v>
      </c>
      <c r="B4" s="31">
        <f>848+1093+191+164</f>
        <v>2296</v>
      </c>
      <c r="C4" s="31">
        <f>98+92+226+147</f>
        <v>563</v>
      </c>
      <c r="D4" s="31">
        <f t="shared" si="0"/>
        <v>2859</v>
      </c>
    </row>
    <row r="5" spans="1:22">
      <c r="A5" s="3">
        <v>2009</v>
      </c>
      <c r="B5" s="31">
        <f>900+1135+218+198</f>
        <v>2451</v>
      </c>
      <c r="C5" s="31">
        <f>68+69+272+177</f>
        <v>586</v>
      </c>
      <c r="D5" s="31">
        <f t="shared" si="0"/>
        <v>3037</v>
      </c>
    </row>
    <row r="6" spans="1:22">
      <c r="A6" s="3">
        <v>2010</v>
      </c>
      <c r="B6" s="31">
        <f>928+1265+206+215</f>
        <v>2614</v>
      </c>
      <c r="C6" s="31">
        <f>84+66+217+182</f>
        <v>549</v>
      </c>
      <c r="D6" s="31">
        <f t="shared" si="0"/>
        <v>3163</v>
      </c>
    </row>
    <row r="7" spans="1:22">
      <c r="A7" s="3">
        <v>2011</v>
      </c>
      <c r="B7" s="31">
        <f>1020+1276+216+216</f>
        <v>2728</v>
      </c>
      <c r="C7" s="31">
        <f>138+115+197+180</f>
        <v>630</v>
      </c>
      <c r="D7" s="31">
        <f t="shared" si="0"/>
        <v>3358</v>
      </c>
    </row>
    <row r="8" spans="1:22">
      <c r="A8" s="3">
        <v>2012</v>
      </c>
      <c r="B8" s="31">
        <f>1015+1245+207+224</f>
        <v>2691</v>
      </c>
      <c r="C8" s="31">
        <f>154+112+176+168</f>
        <v>610</v>
      </c>
      <c r="D8" s="31">
        <f t="shared" si="0"/>
        <v>3301</v>
      </c>
    </row>
    <row r="9" spans="1:22">
      <c r="A9" s="3">
        <v>2013</v>
      </c>
      <c r="B9" s="31">
        <f>953+1187+255+285</f>
        <v>2680</v>
      </c>
      <c r="C9" s="31">
        <f>57+98+127+146</f>
        <v>428</v>
      </c>
      <c r="D9" s="31">
        <f t="shared" si="0"/>
        <v>3108</v>
      </c>
    </row>
    <row r="10" spans="1:22">
      <c r="A10" s="3">
        <v>2014</v>
      </c>
      <c r="B10" s="31">
        <f>932+1143+227+275</f>
        <v>2577</v>
      </c>
      <c r="C10" s="31">
        <f>87+71+116+140</f>
        <v>414</v>
      </c>
      <c r="D10" s="31">
        <f t="shared" si="0"/>
        <v>2991</v>
      </c>
    </row>
    <row r="11" spans="1:22">
      <c r="A11" s="3">
        <v>2015</v>
      </c>
      <c r="B11" s="31">
        <f>896+1141+191+237</f>
        <v>2465</v>
      </c>
      <c r="C11" s="31">
        <f>62+60+113+121</f>
        <v>356</v>
      </c>
      <c r="D11" s="31">
        <f t="shared" si="0"/>
        <v>2821</v>
      </c>
    </row>
    <row r="12" spans="1:22">
      <c r="A12" s="3">
        <v>2016</v>
      </c>
      <c r="B12" s="31">
        <f>872+1141+146+206</f>
        <v>2365</v>
      </c>
      <c r="C12" s="31">
        <f>58+56+101+112</f>
        <v>327</v>
      </c>
      <c r="D12" s="31">
        <f t="shared" si="0"/>
        <v>2692</v>
      </c>
    </row>
    <row r="13" spans="1:22">
      <c r="A13" s="3">
        <v>2017</v>
      </c>
      <c r="B13" s="31">
        <f>773+1133+134+197</f>
        <v>2237</v>
      </c>
      <c r="C13" s="31">
        <f>61+63+96+113</f>
        <v>333</v>
      </c>
      <c r="D13" s="31">
        <f t="shared" si="0"/>
        <v>2570</v>
      </c>
    </row>
    <row r="14" spans="1:22">
      <c r="A14" s="3">
        <v>2018</v>
      </c>
      <c r="B14" s="31">
        <f>749+1116+143+191</f>
        <v>2199</v>
      </c>
      <c r="C14" s="31">
        <f>43+60+68+107</f>
        <v>278</v>
      </c>
      <c r="D14" s="31">
        <f t="shared" si="0"/>
        <v>2477</v>
      </c>
    </row>
    <row r="15" spans="1:22">
      <c r="A15" s="3">
        <v>2019</v>
      </c>
      <c r="B15" s="31">
        <f>639+1010+91+224</f>
        <v>1964</v>
      </c>
      <c r="C15" s="31">
        <f>36+55+66+94</f>
        <v>251</v>
      </c>
      <c r="D15" s="31">
        <f t="shared" si="0"/>
        <v>2215</v>
      </c>
    </row>
    <row r="16" spans="1:22">
      <c r="A16" s="3">
        <v>2020</v>
      </c>
      <c r="B16" s="31">
        <f>511+834+91+211</f>
        <v>1647</v>
      </c>
      <c r="C16" s="31">
        <f>44+38+42+79</f>
        <v>203</v>
      </c>
      <c r="D16" s="31">
        <f t="shared" si="0"/>
        <v>1850</v>
      </c>
    </row>
    <row r="17" spans="1:4">
      <c r="A17" s="3">
        <v>2021</v>
      </c>
      <c r="B17" s="31">
        <f>402+728+44+104</f>
        <v>1278</v>
      </c>
      <c r="C17" s="31">
        <f>19+17+81+140</f>
        <v>257</v>
      </c>
      <c r="D17" s="31">
        <f t="shared" si="0"/>
        <v>1535</v>
      </c>
    </row>
    <row r="18" spans="1:4">
      <c r="A18" s="3">
        <v>2022</v>
      </c>
      <c r="B18" s="31">
        <v>1045</v>
      </c>
      <c r="C18" s="31">
        <v>242</v>
      </c>
      <c r="D18" s="31">
        <v>1287</v>
      </c>
    </row>
    <row r="19" spans="1:4">
      <c r="A19" s="3">
        <v>2023</v>
      </c>
      <c r="B19" s="31">
        <v>1109</v>
      </c>
      <c r="C19" s="31">
        <v>105</v>
      </c>
      <c r="D19" s="31">
        <v>1214</v>
      </c>
    </row>
    <row r="20" spans="1:4">
      <c r="A20" s="3">
        <v>2024</v>
      </c>
      <c r="B20" s="31">
        <v>1050</v>
      </c>
      <c r="C20" s="31">
        <v>105</v>
      </c>
      <c r="D20" s="31">
        <v>1155</v>
      </c>
    </row>
  </sheetData>
  <hyperlinks>
    <hyperlink ref="E2" r:id="rId1" xr:uid="{00000000-0004-0000-0B00-000000000000}"/>
    <hyperlink ref="N3" r:id="rId2" xr:uid="{00000000-0004-0000-0B00-000001000000}"/>
  </hyperlinks>
  <pageMargins left="0.7" right="0.7" top="0.75" bottom="0.75" header="0.3" footer="0.3"/>
  <pageSetup orientation="portrait"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499984740745262"/>
  </sheetPr>
  <dimension ref="A1:D12"/>
  <sheetViews>
    <sheetView workbookViewId="0">
      <selection activeCell="B12" sqref="B12"/>
    </sheetView>
  </sheetViews>
  <sheetFormatPr defaultColWidth="9.140625" defaultRowHeight="15"/>
  <cols>
    <col min="1" max="1" width="9.140625" style="2"/>
    <col min="2" max="2" width="10.85546875" style="2" bestFit="1" customWidth="1"/>
    <col min="3" max="16384" width="9.140625" style="2"/>
  </cols>
  <sheetData>
    <row r="1" spans="1:4">
      <c r="A1" s="3" t="s">
        <v>5</v>
      </c>
      <c r="B1" s="3" t="s">
        <v>103</v>
      </c>
      <c r="D1" s="1" t="s">
        <v>102</v>
      </c>
    </row>
    <row r="2" spans="1:4">
      <c r="A2" s="39">
        <v>2014</v>
      </c>
      <c r="B2" s="26">
        <v>2006</v>
      </c>
    </row>
    <row r="3" spans="1:4">
      <c r="A3" s="39">
        <v>2015</v>
      </c>
      <c r="B3" s="26">
        <v>2153</v>
      </c>
    </row>
    <row r="4" spans="1:4">
      <c r="A4" s="39">
        <v>2016</v>
      </c>
      <c r="B4" s="26">
        <v>2119</v>
      </c>
    </row>
    <row r="5" spans="1:4">
      <c r="A5" s="39">
        <v>2017</v>
      </c>
      <c r="B5" s="26">
        <v>2045</v>
      </c>
    </row>
    <row r="6" spans="1:4">
      <c r="A6" s="39">
        <v>2018</v>
      </c>
      <c r="B6" s="26">
        <v>1996</v>
      </c>
    </row>
    <row r="7" spans="1:4">
      <c r="A7" s="39">
        <v>2019</v>
      </c>
      <c r="B7" s="26">
        <v>1929</v>
      </c>
    </row>
    <row r="8" spans="1:4">
      <c r="A8" s="2">
        <v>2020</v>
      </c>
      <c r="B8" s="99">
        <f>AVERAGE(B7,B9)</f>
        <v>1830</v>
      </c>
    </row>
    <row r="9" spans="1:4">
      <c r="A9" s="39">
        <v>2021</v>
      </c>
      <c r="B9" s="26">
        <v>1731</v>
      </c>
    </row>
    <row r="10" spans="1:4">
      <c r="A10" s="39">
        <v>2022</v>
      </c>
      <c r="B10" s="26">
        <v>1618</v>
      </c>
    </row>
    <row r="11" spans="1:4">
      <c r="A11" s="39">
        <v>2023</v>
      </c>
      <c r="B11" s="26">
        <v>1831</v>
      </c>
    </row>
    <row r="12" spans="1:4">
      <c r="A12" s="39">
        <v>2024</v>
      </c>
      <c r="B12" s="26">
        <v>1937</v>
      </c>
    </row>
  </sheetData>
  <hyperlinks>
    <hyperlink ref="D1" r:id="rId1" xr:uid="{00000000-0004-0000-0C00-000000000000}"/>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sheetPr>
  <dimension ref="A1:P110"/>
  <sheetViews>
    <sheetView zoomScaleNormal="100" workbookViewId="0">
      <selection activeCell="K32" sqref="K32"/>
    </sheetView>
  </sheetViews>
  <sheetFormatPr defaultColWidth="9" defaultRowHeight="15"/>
  <cols>
    <col min="1" max="10" width="9" style="7"/>
    <col min="11" max="16384" width="9" style="2"/>
  </cols>
  <sheetData>
    <row r="1" spans="1:16">
      <c r="A1" s="3" t="s">
        <v>5</v>
      </c>
      <c r="B1" s="3" t="s">
        <v>1</v>
      </c>
      <c r="C1" s="3" t="s">
        <v>2</v>
      </c>
      <c r="D1" s="3" t="s">
        <v>3</v>
      </c>
      <c r="E1" s="3" t="s">
        <v>4</v>
      </c>
      <c r="F1" s="3" t="s">
        <v>15</v>
      </c>
      <c r="G1" s="3" t="s">
        <v>16</v>
      </c>
      <c r="H1" s="3" t="s">
        <v>17</v>
      </c>
      <c r="I1" s="91" t="s">
        <v>194</v>
      </c>
      <c r="K1" s="7"/>
      <c r="L1" s="7"/>
      <c r="M1" s="7"/>
      <c r="N1" s="7"/>
      <c r="O1" s="7"/>
      <c r="P1" s="7"/>
    </row>
    <row r="2" spans="1:16">
      <c r="A2" s="3">
        <v>1990</v>
      </c>
      <c r="B2" s="18">
        <v>24311</v>
      </c>
      <c r="C2" s="18">
        <v>13449</v>
      </c>
      <c r="D2" s="18">
        <v>7885</v>
      </c>
      <c r="E2" s="18">
        <v>13344</v>
      </c>
      <c r="F2" s="18">
        <v>30465</v>
      </c>
      <c r="G2" s="18"/>
      <c r="H2" s="18"/>
      <c r="I2" s="11"/>
      <c r="K2" s="7"/>
      <c r="L2" s="7"/>
      <c r="M2" s="7"/>
      <c r="N2" s="7"/>
      <c r="O2" s="7"/>
      <c r="P2" s="7"/>
    </row>
    <row r="3" spans="1:16">
      <c r="A3" s="3">
        <v>1991</v>
      </c>
      <c r="B3" s="18">
        <v>25581</v>
      </c>
      <c r="C3" s="18">
        <v>14495</v>
      </c>
      <c r="D3" s="18">
        <v>8777</v>
      </c>
      <c r="E3" s="18">
        <v>15972</v>
      </c>
      <c r="F3" s="18">
        <v>31101</v>
      </c>
      <c r="G3" s="18"/>
      <c r="H3" s="18"/>
      <c r="K3" s="7"/>
      <c r="L3" s="7"/>
      <c r="M3" s="7"/>
      <c r="N3" s="7"/>
      <c r="O3" s="7"/>
      <c r="P3" s="7"/>
    </row>
    <row r="4" spans="1:16">
      <c r="A4" s="3">
        <v>1992</v>
      </c>
      <c r="B4" s="18">
        <v>25868</v>
      </c>
      <c r="C4" s="18">
        <v>14993</v>
      </c>
      <c r="D4" s="18">
        <v>9623</v>
      </c>
      <c r="E4" s="18">
        <v>17766</v>
      </c>
      <c r="F4" s="18">
        <v>31108</v>
      </c>
      <c r="G4" s="18"/>
      <c r="H4" s="18"/>
      <c r="K4" s="7"/>
      <c r="L4" s="7"/>
      <c r="M4" s="7"/>
      <c r="N4" s="7"/>
      <c r="O4" s="7"/>
      <c r="P4" s="7"/>
    </row>
    <row r="5" spans="1:16">
      <c r="A5" s="3">
        <v>1993</v>
      </c>
      <c r="B5" s="18">
        <v>25982</v>
      </c>
      <c r="C5" s="18">
        <v>14447</v>
      </c>
      <c r="D5" s="18">
        <v>10512</v>
      </c>
      <c r="E5" s="18">
        <v>18311</v>
      </c>
      <c r="F5" s="18">
        <v>30547</v>
      </c>
      <c r="G5" s="18"/>
      <c r="H5" s="18"/>
      <c r="K5" s="7"/>
      <c r="L5" s="7"/>
      <c r="M5" s="7"/>
      <c r="N5" s="7"/>
      <c r="O5" s="7"/>
      <c r="P5" s="7"/>
    </row>
    <row r="6" spans="1:16">
      <c r="A6" s="3">
        <v>1994</v>
      </c>
      <c r="B6" s="18">
        <v>25645</v>
      </c>
      <c r="C6" s="18">
        <v>14230</v>
      </c>
      <c r="D6" s="18">
        <v>13293</v>
      </c>
      <c r="E6" s="18">
        <v>19440</v>
      </c>
      <c r="F6" s="18">
        <v>30413</v>
      </c>
      <c r="G6" s="18"/>
      <c r="H6" s="18"/>
      <c r="K6" s="7"/>
      <c r="L6" s="7"/>
      <c r="M6" s="7"/>
      <c r="N6" s="7"/>
      <c r="O6" s="7"/>
      <c r="P6" s="7"/>
    </row>
    <row r="7" spans="1:16">
      <c r="A7" s="3">
        <v>1995</v>
      </c>
      <c r="B7" s="18">
        <v>26810</v>
      </c>
      <c r="C7" s="18">
        <v>13996</v>
      </c>
      <c r="D7" s="18">
        <v>14040</v>
      </c>
      <c r="E7" s="18">
        <v>20834</v>
      </c>
      <c r="F7" s="18">
        <v>30465</v>
      </c>
      <c r="G7" s="18"/>
      <c r="H7" s="18"/>
      <c r="K7" s="7"/>
      <c r="L7" s="7"/>
      <c r="M7" s="7"/>
      <c r="N7" s="7"/>
      <c r="O7" s="7"/>
      <c r="P7" s="7"/>
    </row>
    <row r="8" spans="1:16">
      <c r="A8" s="3">
        <v>1996</v>
      </c>
      <c r="B8" s="18">
        <v>26079</v>
      </c>
      <c r="C8" s="18">
        <v>13906</v>
      </c>
      <c r="D8" s="18">
        <v>14756</v>
      </c>
      <c r="E8" s="18">
        <v>22394</v>
      </c>
      <c r="F8" s="18">
        <v>30563</v>
      </c>
      <c r="G8" s="18"/>
      <c r="H8" s="18"/>
      <c r="K8" s="7"/>
      <c r="L8" s="7"/>
      <c r="M8" s="7"/>
      <c r="N8" s="7"/>
      <c r="O8" s="7"/>
      <c r="P8" s="7"/>
    </row>
    <row r="9" spans="1:16">
      <c r="A9" s="3">
        <v>1997</v>
      </c>
      <c r="B9" s="18">
        <v>25895</v>
      </c>
      <c r="C9" s="18">
        <v>14613</v>
      </c>
      <c r="D9" s="18">
        <v>15994</v>
      </c>
      <c r="E9" s="18">
        <v>24307</v>
      </c>
      <c r="F9" s="18">
        <v>31249</v>
      </c>
      <c r="G9" s="18"/>
      <c r="H9" s="18"/>
      <c r="K9" s="7"/>
      <c r="L9" s="7"/>
      <c r="M9" s="7"/>
      <c r="N9" s="7"/>
      <c r="O9" s="7"/>
      <c r="P9" s="7"/>
    </row>
    <row r="10" spans="1:16">
      <c r="A10" s="3">
        <v>1998</v>
      </c>
      <c r="B10" s="18">
        <v>25018</v>
      </c>
      <c r="C10" s="18">
        <v>13900</v>
      </c>
      <c r="D10" s="18">
        <v>18174</v>
      </c>
      <c r="E10" s="18">
        <v>19754</v>
      </c>
      <c r="F10" s="18">
        <v>32202</v>
      </c>
      <c r="G10" s="18"/>
      <c r="H10" s="18"/>
      <c r="K10" s="7"/>
      <c r="L10" s="7"/>
      <c r="M10" s="7"/>
      <c r="N10" s="7"/>
      <c r="O10" s="7"/>
      <c r="P10" s="7"/>
    </row>
    <row r="11" spans="1:16">
      <c r="A11" s="3">
        <v>1999</v>
      </c>
      <c r="B11" s="18">
        <v>25781</v>
      </c>
      <c r="C11" s="18">
        <v>14984</v>
      </c>
      <c r="D11" s="18">
        <v>20062</v>
      </c>
      <c r="E11" s="18">
        <v>21273</v>
      </c>
      <c r="F11" s="18">
        <v>32731</v>
      </c>
      <c r="G11" s="18"/>
      <c r="H11" s="18"/>
      <c r="K11" s="7"/>
      <c r="L11" s="7"/>
      <c r="M11" s="7"/>
      <c r="N11" s="7"/>
      <c r="O11" s="7"/>
      <c r="P11" s="7"/>
    </row>
    <row r="12" spans="1:16">
      <c r="A12" s="3">
        <v>2000</v>
      </c>
      <c r="B12" s="18">
        <v>24948</v>
      </c>
      <c r="C12" s="18">
        <v>16050</v>
      </c>
      <c r="D12" s="18">
        <v>20946</v>
      </c>
      <c r="E12" s="18">
        <v>21596</v>
      </c>
      <c r="F12" s="18">
        <v>32554</v>
      </c>
      <c r="G12" s="18">
        <v>824</v>
      </c>
      <c r="H12" s="18">
        <v>2403</v>
      </c>
      <c r="K12" s="7"/>
      <c r="L12" s="7"/>
      <c r="M12" s="7"/>
      <c r="N12" s="7"/>
      <c r="O12" s="7"/>
      <c r="P12" s="7"/>
    </row>
    <row r="13" spans="1:16">
      <c r="A13" s="3">
        <v>2001</v>
      </c>
      <c r="B13" s="18">
        <v>27668</v>
      </c>
      <c r="C13" s="18">
        <v>16873</v>
      </c>
      <c r="D13" s="18">
        <v>22609</v>
      </c>
      <c r="E13" s="18">
        <v>23701</v>
      </c>
      <c r="F13" s="18">
        <v>32771</v>
      </c>
      <c r="G13" s="18">
        <v>1025</v>
      </c>
      <c r="H13" s="18">
        <v>2474</v>
      </c>
      <c r="K13" s="7"/>
      <c r="L13" s="7"/>
      <c r="M13" s="7"/>
      <c r="N13" s="7"/>
      <c r="O13" s="7"/>
      <c r="P13" s="7"/>
    </row>
    <row r="14" spans="1:16">
      <c r="A14" s="3">
        <v>2002</v>
      </c>
      <c r="B14" s="18">
        <v>28369</v>
      </c>
      <c r="C14" s="18">
        <v>18059</v>
      </c>
      <c r="D14" s="18">
        <v>23609</v>
      </c>
      <c r="E14" s="18">
        <v>23347</v>
      </c>
      <c r="F14" s="18">
        <v>32408</v>
      </c>
      <c r="G14" s="18">
        <v>1124</v>
      </c>
      <c r="H14" s="18">
        <v>2353</v>
      </c>
      <c r="K14" s="7"/>
      <c r="L14" s="7"/>
      <c r="M14" s="7"/>
      <c r="N14" s="7"/>
      <c r="O14" s="7"/>
      <c r="P14" s="7"/>
    </row>
    <row r="15" spans="1:16">
      <c r="A15" s="3">
        <v>2003</v>
      </c>
      <c r="B15" s="18">
        <v>28436</v>
      </c>
      <c r="C15" s="18">
        <v>18821</v>
      </c>
      <c r="D15" s="18">
        <v>23803</v>
      </c>
      <c r="E15" s="18">
        <v>24056</v>
      </c>
      <c r="F15" s="18">
        <v>33008</v>
      </c>
      <c r="G15" s="18">
        <v>1258</v>
      </c>
      <c r="H15" s="18">
        <v>2471</v>
      </c>
      <c r="K15" s="7"/>
      <c r="L15" s="7"/>
      <c r="M15" s="7"/>
      <c r="N15" s="7"/>
      <c r="O15" s="7"/>
      <c r="P15" s="7"/>
    </row>
    <row r="16" spans="1:16">
      <c r="A16" s="3">
        <v>2004</v>
      </c>
      <c r="B16" s="18">
        <v>28933</v>
      </c>
      <c r="C16" s="18">
        <v>18498</v>
      </c>
      <c r="D16" s="18">
        <v>24149</v>
      </c>
      <c r="E16" s="18">
        <v>24725</v>
      </c>
      <c r="F16" s="18">
        <v>34347</v>
      </c>
      <c r="G16" s="18">
        <v>1248</v>
      </c>
      <c r="H16" s="18">
        <v>2417</v>
      </c>
      <c r="K16" s="7"/>
      <c r="L16" s="7"/>
      <c r="M16" s="7"/>
      <c r="N16" s="7"/>
      <c r="O16" s="7"/>
      <c r="P16" s="7"/>
    </row>
    <row r="17" spans="1:16">
      <c r="A17" s="3">
        <v>2005</v>
      </c>
      <c r="B17" s="18">
        <v>30558</v>
      </c>
      <c r="C17" s="18">
        <v>18142</v>
      </c>
      <c r="D17" s="18">
        <v>24180</v>
      </c>
      <c r="E17" s="18">
        <v>24111</v>
      </c>
      <c r="F17" s="18">
        <v>34067</v>
      </c>
      <c r="G17" s="18">
        <v>1235</v>
      </c>
      <c r="H17" s="18">
        <v>2455</v>
      </c>
      <c r="K17" s="7"/>
      <c r="L17" s="7"/>
      <c r="M17" s="7"/>
      <c r="N17" s="7"/>
      <c r="O17" s="7"/>
      <c r="P17" s="7"/>
    </row>
    <row r="18" spans="1:16">
      <c r="A18" s="3">
        <v>2006</v>
      </c>
      <c r="B18" s="18">
        <v>30511</v>
      </c>
      <c r="C18" s="18">
        <v>18303</v>
      </c>
      <c r="D18" s="18">
        <v>23305</v>
      </c>
      <c r="E18" s="18">
        <v>24241</v>
      </c>
      <c r="F18" s="18">
        <v>34185</v>
      </c>
      <c r="G18" s="18">
        <v>1317</v>
      </c>
      <c r="H18" s="18">
        <v>2479</v>
      </c>
      <c r="K18" s="7"/>
      <c r="L18" s="7"/>
      <c r="M18" s="7"/>
      <c r="N18" s="7"/>
      <c r="O18" s="7"/>
      <c r="P18" s="7"/>
    </row>
    <row r="19" spans="1:16">
      <c r="A19" s="3">
        <v>2007</v>
      </c>
      <c r="B19" s="18">
        <v>28025</v>
      </c>
      <c r="C19" s="18">
        <v>18081</v>
      </c>
      <c r="D19" s="18">
        <v>23840</v>
      </c>
      <c r="E19" s="18">
        <v>25235</v>
      </c>
      <c r="F19" s="18">
        <v>34174</v>
      </c>
      <c r="G19" s="18">
        <v>1316</v>
      </c>
      <c r="H19" s="18">
        <v>2661</v>
      </c>
      <c r="K19" s="7"/>
      <c r="L19" s="7"/>
      <c r="M19" s="7"/>
      <c r="N19" s="7"/>
      <c r="O19" s="7"/>
      <c r="P19" s="7"/>
    </row>
    <row r="20" spans="1:16">
      <c r="A20" s="3">
        <v>2008</v>
      </c>
      <c r="B20" s="18">
        <v>28211</v>
      </c>
      <c r="C20" s="18">
        <v>21388</v>
      </c>
      <c r="D20" s="18">
        <v>26696</v>
      </c>
      <c r="E20" s="18">
        <v>29396</v>
      </c>
      <c r="F20" s="18">
        <v>34244</v>
      </c>
      <c r="G20" s="18">
        <v>1377</v>
      </c>
      <c r="H20" s="18">
        <v>2859</v>
      </c>
      <c r="K20" s="7"/>
      <c r="L20" s="7"/>
      <c r="M20" s="7"/>
      <c r="N20" s="7"/>
      <c r="O20" s="7"/>
      <c r="P20" s="7"/>
    </row>
    <row r="21" spans="1:16">
      <c r="A21" s="3">
        <v>2009</v>
      </c>
      <c r="B21" s="18">
        <v>29284</v>
      </c>
      <c r="C21" s="18">
        <v>23001</v>
      </c>
      <c r="D21" s="18">
        <v>28765</v>
      </c>
      <c r="E21" s="18">
        <v>34966</v>
      </c>
      <c r="F21" s="18">
        <v>34130</v>
      </c>
      <c r="G21" s="18">
        <v>1589</v>
      </c>
      <c r="H21" s="18">
        <v>3037</v>
      </c>
      <c r="K21" s="7"/>
      <c r="L21" s="7"/>
      <c r="M21" s="7"/>
      <c r="N21" s="7"/>
      <c r="O21" s="7"/>
      <c r="P21" s="7"/>
    </row>
    <row r="22" spans="1:16">
      <c r="A22" s="3">
        <v>2010</v>
      </c>
      <c r="B22" s="18">
        <v>30819</v>
      </c>
      <c r="C22" s="18">
        <v>24048</v>
      </c>
      <c r="D22" s="18">
        <v>32670</v>
      </c>
      <c r="E22" s="18">
        <v>34654</v>
      </c>
      <c r="F22" s="18">
        <v>33841</v>
      </c>
      <c r="G22" s="18">
        <v>1809</v>
      </c>
      <c r="H22" s="18">
        <v>3163</v>
      </c>
      <c r="K22" s="7"/>
      <c r="L22" s="7"/>
      <c r="M22" s="7"/>
      <c r="N22" s="7"/>
      <c r="O22" s="7"/>
      <c r="P22" s="7"/>
    </row>
    <row r="23" spans="1:16">
      <c r="A23" s="3">
        <v>2011</v>
      </c>
      <c r="B23" s="18">
        <v>31660</v>
      </c>
      <c r="C23" s="18">
        <v>25301</v>
      </c>
      <c r="D23" s="18">
        <v>33395</v>
      </c>
      <c r="E23" s="18">
        <v>33420</v>
      </c>
      <c r="F23" s="18">
        <v>34101</v>
      </c>
      <c r="G23" s="18">
        <v>1987</v>
      </c>
      <c r="H23" s="18">
        <v>3358</v>
      </c>
      <c r="K23" s="7"/>
      <c r="L23" s="7"/>
      <c r="M23" s="7"/>
      <c r="N23" s="7"/>
      <c r="O23" s="7"/>
      <c r="P23" s="7"/>
    </row>
    <row r="24" spans="1:16">
      <c r="A24" s="3">
        <v>2012</v>
      </c>
      <c r="B24" s="18">
        <v>32388</v>
      </c>
      <c r="C24" s="18">
        <v>26532</v>
      </c>
      <c r="D24" s="18">
        <v>31562</v>
      </c>
      <c r="E24" s="18">
        <v>29997</v>
      </c>
      <c r="F24" s="18">
        <v>34409</v>
      </c>
      <c r="G24" s="18">
        <v>2191</v>
      </c>
      <c r="H24" s="18">
        <v>3301</v>
      </c>
      <c r="K24" s="7"/>
      <c r="L24" s="7"/>
      <c r="M24" s="7"/>
      <c r="N24" s="7"/>
      <c r="O24" s="7"/>
      <c r="P24" s="7"/>
    </row>
    <row r="25" spans="1:16">
      <c r="A25" s="3">
        <v>2013</v>
      </c>
      <c r="B25" s="18">
        <v>32077</v>
      </c>
      <c r="C25" s="18">
        <v>25155</v>
      </c>
      <c r="D25" s="18">
        <v>30564</v>
      </c>
      <c r="E25" s="18">
        <v>32003</v>
      </c>
      <c r="F25" s="18">
        <v>31123</v>
      </c>
      <c r="G25" s="18">
        <v>2036</v>
      </c>
      <c r="H25" s="18">
        <v>3108</v>
      </c>
      <c r="K25" s="7"/>
      <c r="L25" s="7"/>
      <c r="M25" s="7"/>
      <c r="N25" s="7"/>
      <c r="O25" s="7"/>
      <c r="P25" s="7"/>
    </row>
    <row r="26" spans="1:16">
      <c r="A26" s="3">
        <v>2014</v>
      </c>
      <c r="B26" s="18">
        <v>31515</v>
      </c>
      <c r="C26" s="18">
        <v>25954</v>
      </c>
      <c r="D26" s="18">
        <v>31332</v>
      </c>
      <c r="E26" s="18">
        <v>30248</v>
      </c>
      <c r="F26" s="18">
        <v>30484</v>
      </c>
      <c r="G26" s="18">
        <v>2006</v>
      </c>
      <c r="H26" s="18">
        <v>2991</v>
      </c>
      <c r="K26" s="7"/>
      <c r="L26" s="7"/>
      <c r="M26" s="7"/>
      <c r="N26" s="7"/>
      <c r="O26" s="7"/>
      <c r="P26" s="7"/>
    </row>
    <row r="27" spans="1:16">
      <c r="A27" s="3">
        <v>2015</v>
      </c>
      <c r="B27" s="18">
        <v>31592</v>
      </c>
      <c r="C27" s="18">
        <v>25955</v>
      </c>
      <c r="D27" s="18">
        <v>33211</v>
      </c>
      <c r="E27" s="18">
        <v>29350</v>
      </c>
      <c r="F27" s="18">
        <v>33469</v>
      </c>
      <c r="G27" s="18">
        <v>2153</v>
      </c>
      <c r="H27" s="18">
        <v>2821</v>
      </c>
      <c r="K27" s="7"/>
      <c r="L27" s="7"/>
      <c r="M27" s="7"/>
      <c r="N27" s="7"/>
      <c r="O27" s="7"/>
      <c r="P27" s="7"/>
    </row>
    <row r="28" spans="1:16">
      <c r="A28" s="3">
        <v>2016</v>
      </c>
      <c r="B28" s="18">
        <v>31860</v>
      </c>
      <c r="C28" s="18">
        <v>26809</v>
      </c>
      <c r="D28" s="18">
        <v>34978</v>
      </c>
      <c r="E28" s="18">
        <v>29901</v>
      </c>
      <c r="F28" s="18">
        <v>34240</v>
      </c>
      <c r="G28" s="18">
        <v>2119</v>
      </c>
      <c r="H28" s="18">
        <v>2694</v>
      </c>
      <c r="K28" s="7"/>
      <c r="L28" s="7"/>
      <c r="M28" s="7"/>
      <c r="N28" s="7"/>
      <c r="O28" s="7"/>
      <c r="P28" s="7"/>
    </row>
    <row r="29" spans="1:16">
      <c r="A29" s="3">
        <v>2017</v>
      </c>
      <c r="B29" s="18">
        <v>32800</v>
      </c>
      <c r="C29" s="18">
        <v>27949</v>
      </c>
      <c r="D29" s="18">
        <v>37282</v>
      </c>
      <c r="E29" s="18">
        <v>29620</v>
      </c>
      <c r="F29" s="18">
        <v>34334</v>
      </c>
      <c r="G29" s="18">
        <v>2045</v>
      </c>
      <c r="H29" s="18">
        <v>2570</v>
      </c>
      <c r="K29" s="7"/>
      <c r="L29" s="7"/>
      <c r="M29" s="7"/>
      <c r="N29" s="7"/>
      <c r="O29" s="7"/>
      <c r="P29" s="7"/>
    </row>
    <row r="30" spans="1:16">
      <c r="A30" s="3">
        <v>2018</v>
      </c>
      <c r="B30" s="18">
        <v>33023</v>
      </c>
      <c r="C30" s="18">
        <v>28247</v>
      </c>
      <c r="D30" s="18">
        <v>39931</v>
      </c>
      <c r="E30" s="18">
        <v>29156</v>
      </c>
      <c r="F30" s="18">
        <v>34499</v>
      </c>
      <c r="G30" s="18">
        <v>1996</v>
      </c>
      <c r="H30" s="18">
        <v>2477</v>
      </c>
      <c r="K30" s="7"/>
      <c r="L30" s="7"/>
      <c r="M30" s="7"/>
      <c r="N30" s="7"/>
      <c r="O30" s="7"/>
      <c r="P30" s="7"/>
    </row>
    <row r="31" spans="1:16">
      <c r="A31" s="3">
        <v>2019</v>
      </c>
      <c r="B31" s="18">
        <v>32852</v>
      </c>
      <c r="C31" s="18">
        <v>29644</v>
      </c>
      <c r="D31" s="18">
        <v>41728</v>
      </c>
      <c r="E31" s="18">
        <v>29517</v>
      </c>
      <c r="F31" s="18">
        <v>34318</v>
      </c>
      <c r="G31" s="18">
        <v>1929</v>
      </c>
      <c r="H31" s="18">
        <v>2215</v>
      </c>
      <c r="K31" s="7"/>
      <c r="L31" s="7"/>
      <c r="M31" s="7"/>
      <c r="N31" s="7"/>
      <c r="O31" s="7"/>
      <c r="P31" s="7"/>
    </row>
    <row r="32" spans="1:16">
      <c r="A32" s="3">
        <v>2020</v>
      </c>
      <c r="B32" s="18">
        <v>33081</v>
      </c>
      <c r="C32" s="18">
        <v>29596</v>
      </c>
      <c r="D32" s="18">
        <v>40936</v>
      </c>
      <c r="E32" s="18">
        <v>27293</v>
      </c>
      <c r="F32" s="18">
        <v>36461</v>
      </c>
      <c r="G32" s="18">
        <v>1829</v>
      </c>
      <c r="H32" s="18">
        <v>1849</v>
      </c>
      <c r="K32" s="7"/>
      <c r="L32" s="7"/>
      <c r="M32" s="7"/>
      <c r="N32" s="7"/>
      <c r="O32" s="7"/>
      <c r="P32" s="7"/>
    </row>
    <row r="33" spans="1:16">
      <c r="A33" s="3">
        <v>2021</v>
      </c>
      <c r="B33" s="18">
        <v>34464</v>
      </c>
      <c r="C33" s="18">
        <v>29774</v>
      </c>
      <c r="D33" s="18">
        <v>41262</v>
      </c>
      <c r="E33" s="18">
        <v>27225</v>
      </c>
      <c r="F33" s="18">
        <v>34811</v>
      </c>
      <c r="G33" s="18">
        <v>2665</v>
      </c>
      <c r="H33" s="18">
        <v>1535</v>
      </c>
      <c r="K33" s="7"/>
      <c r="L33" s="7"/>
      <c r="M33" s="7"/>
      <c r="N33" s="7"/>
      <c r="O33" s="7"/>
      <c r="P33" s="7"/>
    </row>
    <row r="34" spans="1:16">
      <c r="A34" s="3">
        <v>2022</v>
      </c>
      <c r="B34" s="18">
        <v>34734</v>
      </c>
      <c r="C34" s="18">
        <v>29914</v>
      </c>
      <c r="D34" s="18">
        <v>43099</v>
      </c>
      <c r="E34" s="18">
        <v>26300</v>
      </c>
      <c r="F34" s="18">
        <v>34464</v>
      </c>
      <c r="G34" s="18">
        <v>4058</v>
      </c>
      <c r="H34" s="18">
        <v>1280</v>
      </c>
      <c r="K34" s="7"/>
      <c r="L34" s="7"/>
      <c r="M34" s="7"/>
      <c r="N34" s="7"/>
      <c r="O34" s="7"/>
      <c r="P34" s="7"/>
    </row>
    <row r="35" spans="1:16">
      <c r="A35" s="3">
        <v>2023</v>
      </c>
      <c r="B35" s="18">
        <v>35260</v>
      </c>
      <c r="C35" s="18">
        <v>30536</v>
      </c>
      <c r="D35" s="18">
        <v>44651</v>
      </c>
      <c r="E35" s="18">
        <v>26764</v>
      </c>
      <c r="F35" s="18">
        <v>35074</v>
      </c>
      <c r="G35" s="18">
        <v>5973</v>
      </c>
      <c r="H35" s="18">
        <v>1214</v>
      </c>
      <c r="K35" s="7"/>
      <c r="L35" s="7"/>
      <c r="M35" s="7"/>
      <c r="N35" s="7"/>
      <c r="O35" s="7"/>
      <c r="P35" s="7"/>
    </row>
    <row r="36" spans="1:16">
      <c r="K36" s="7"/>
      <c r="L36" s="7"/>
      <c r="M36" s="7"/>
      <c r="N36" s="7"/>
      <c r="O36" s="7"/>
      <c r="P36" s="7"/>
    </row>
    <row r="37" spans="1:16">
      <c r="K37" s="7"/>
      <c r="L37" s="7"/>
      <c r="M37" s="7"/>
      <c r="N37" s="7"/>
      <c r="O37" s="7"/>
      <c r="P37" s="7"/>
    </row>
    <row r="38" spans="1:16">
      <c r="K38" s="7"/>
      <c r="L38" s="7"/>
      <c r="M38" s="7"/>
      <c r="N38" s="7"/>
      <c r="O38" s="7"/>
      <c r="P38" s="7"/>
    </row>
    <row r="39" spans="1:16">
      <c r="K39" s="7"/>
      <c r="L39" s="7"/>
      <c r="M39" s="7"/>
      <c r="N39" s="7"/>
      <c r="O39" s="7"/>
      <c r="P39" s="7"/>
    </row>
    <row r="40" spans="1:16">
      <c r="A40" s="2"/>
      <c r="B40" s="2"/>
      <c r="C40" s="2"/>
      <c r="D40" s="2"/>
      <c r="E40" s="2"/>
      <c r="F40" s="2"/>
      <c r="G40" s="2"/>
      <c r="H40" s="2"/>
      <c r="K40" s="7"/>
      <c r="L40" s="7"/>
      <c r="M40" s="7"/>
      <c r="N40" s="7"/>
      <c r="O40" s="7"/>
      <c r="P40" s="7"/>
    </row>
    <row r="41" spans="1:16">
      <c r="A41" s="2"/>
      <c r="B41" s="2"/>
      <c r="C41" s="2"/>
      <c r="D41" s="2"/>
      <c r="E41" s="2"/>
      <c r="F41" s="2"/>
      <c r="G41" s="2"/>
      <c r="H41" s="2"/>
      <c r="K41" s="7"/>
      <c r="L41" s="7"/>
      <c r="M41" s="7"/>
      <c r="N41" s="7"/>
      <c r="O41" s="7"/>
      <c r="P41" s="7"/>
    </row>
    <row r="42" spans="1:16">
      <c r="A42" s="2"/>
      <c r="B42" s="2"/>
      <c r="C42" s="2"/>
      <c r="D42" s="2"/>
      <c r="E42" s="2"/>
      <c r="F42" s="2"/>
      <c r="G42" s="2"/>
      <c r="H42" s="2"/>
      <c r="K42" s="7"/>
      <c r="L42" s="7"/>
      <c r="M42" s="7"/>
      <c r="N42" s="7"/>
      <c r="O42" s="7"/>
      <c r="P42" s="7"/>
    </row>
    <row r="43" spans="1:16">
      <c r="A43" s="2"/>
      <c r="B43" s="2"/>
      <c r="C43" s="2"/>
      <c r="D43" s="2"/>
      <c r="E43" s="2"/>
      <c r="F43" s="2"/>
      <c r="G43" s="2"/>
      <c r="H43" s="2"/>
      <c r="K43" s="7"/>
      <c r="L43" s="7"/>
      <c r="M43" s="7"/>
      <c r="N43" s="7"/>
      <c r="O43" s="7"/>
      <c r="P43" s="7"/>
    </row>
    <row r="44" spans="1:16">
      <c r="A44" s="2"/>
      <c r="B44" s="2"/>
      <c r="C44" s="2"/>
      <c r="D44" s="2"/>
      <c r="E44" s="2"/>
      <c r="F44" s="2"/>
      <c r="G44" s="2"/>
      <c r="H44" s="2"/>
      <c r="K44" s="7"/>
      <c r="L44" s="7"/>
      <c r="M44" s="7"/>
      <c r="N44" s="7"/>
      <c r="O44" s="7"/>
      <c r="P44" s="7"/>
    </row>
    <row r="45" spans="1:16">
      <c r="A45" s="2"/>
      <c r="B45" s="2"/>
      <c r="C45" s="2"/>
      <c r="D45" s="2"/>
      <c r="E45" s="2"/>
      <c r="F45" s="2"/>
      <c r="G45" s="2"/>
      <c r="H45" s="2"/>
      <c r="K45" s="7"/>
      <c r="L45" s="7"/>
      <c r="M45" s="7"/>
      <c r="N45" s="7"/>
      <c r="O45" s="7"/>
      <c r="P45" s="7"/>
    </row>
    <row r="46" spans="1:16">
      <c r="K46" s="7"/>
      <c r="L46" s="7"/>
      <c r="M46" s="7"/>
      <c r="N46" s="7"/>
      <c r="O46" s="7"/>
      <c r="P46" s="7"/>
    </row>
    <row r="47" spans="1:16">
      <c r="K47" s="7"/>
      <c r="L47" s="7"/>
      <c r="M47" s="7"/>
      <c r="N47" s="7"/>
      <c r="O47" s="7"/>
      <c r="P47" s="7"/>
    </row>
    <row r="48" spans="1:16">
      <c r="K48" s="7"/>
      <c r="L48" s="7"/>
      <c r="M48" s="7"/>
      <c r="N48" s="7"/>
      <c r="O48" s="7"/>
      <c r="P48" s="7"/>
    </row>
    <row r="49" spans="1:16">
      <c r="K49" s="7"/>
      <c r="L49" s="7"/>
      <c r="M49" s="7"/>
      <c r="N49" s="7"/>
      <c r="O49" s="7"/>
      <c r="P49" s="7"/>
    </row>
    <row r="50" spans="1:16">
      <c r="K50" s="7"/>
      <c r="L50" s="7"/>
      <c r="M50" s="7"/>
      <c r="N50" s="7"/>
      <c r="O50" s="7"/>
      <c r="P50" s="7"/>
    </row>
    <row r="51" spans="1:16">
      <c r="K51" s="7"/>
      <c r="L51" s="7"/>
      <c r="M51" s="7"/>
      <c r="N51" s="7"/>
      <c r="O51" s="7"/>
      <c r="P51" s="7"/>
    </row>
    <row r="52" spans="1:16">
      <c r="K52" s="7"/>
      <c r="L52" s="7"/>
      <c r="M52" s="7"/>
      <c r="N52" s="7"/>
      <c r="O52" s="7"/>
      <c r="P52" s="7"/>
    </row>
    <row r="53" spans="1:16">
      <c r="A53" s="2"/>
      <c r="B53" s="2"/>
      <c r="C53" s="2"/>
      <c r="D53" s="2"/>
      <c r="E53" s="2"/>
      <c r="F53" s="2"/>
      <c r="G53" s="2"/>
      <c r="H53" s="2"/>
      <c r="K53" s="7"/>
      <c r="L53" s="7"/>
      <c r="M53" s="7"/>
      <c r="N53" s="7"/>
      <c r="O53" s="7"/>
      <c r="P53" s="7"/>
    </row>
    <row r="54" spans="1:16">
      <c r="K54" s="7"/>
      <c r="L54" s="7"/>
      <c r="M54" s="7"/>
      <c r="N54" s="7"/>
      <c r="O54" s="7"/>
      <c r="P54" s="7"/>
    </row>
    <row r="55" spans="1:16">
      <c r="K55" s="7"/>
      <c r="L55" s="7"/>
      <c r="M55" s="7"/>
      <c r="N55" s="7"/>
      <c r="O55" s="7"/>
      <c r="P55" s="7"/>
    </row>
    <row r="56" spans="1:16">
      <c r="K56" s="7"/>
      <c r="L56" s="7"/>
      <c r="M56" s="7"/>
      <c r="N56" s="7"/>
      <c r="O56" s="7"/>
      <c r="P56" s="7"/>
    </row>
    <row r="57" spans="1:16">
      <c r="K57" s="7"/>
      <c r="L57" s="7"/>
      <c r="M57" s="7"/>
      <c r="N57" s="7"/>
      <c r="O57" s="7"/>
      <c r="P57" s="7"/>
    </row>
    <row r="58" spans="1:16">
      <c r="K58" s="7"/>
      <c r="L58" s="7"/>
      <c r="M58" s="7"/>
      <c r="N58" s="7"/>
      <c r="O58" s="7"/>
      <c r="P58" s="7"/>
    </row>
    <row r="59" spans="1:16">
      <c r="K59" s="7"/>
      <c r="L59" s="7"/>
      <c r="M59" s="7"/>
      <c r="N59" s="7"/>
      <c r="O59" s="7"/>
      <c r="P59" s="7"/>
    </row>
    <row r="60" spans="1:16">
      <c r="K60" s="7"/>
      <c r="L60" s="7"/>
      <c r="M60" s="7"/>
      <c r="N60" s="7"/>
      <c r="O60" s="7"/>
      <c r="P60" s="7"/>
    </row>
    <row r="61" spans="1:16">
      <c r="K61" s="7"/>
      <c r="L61" s="7"/>
      <c r="M61" s="7"/>
      <c r="N61" s="7"/>
      <c r="O61" s="7"/>
      <c r="P61" s="7"/>
    </row>
    <row r="62" spans="1:16">
      <c r="K62" s="7"/>
      <c r="L62" s="7"/>
      <c r="M62" s="7"/>
      <c r="N62" s="7"/>
      <c r="O62" s="7"/>
      <c r="P62" s="7"/>
    </row>
    <row r="63" spans="1:16">
      <c r="K63" s="7"/>
      <c r="L63" s="7"/>
      <c r="M63" s="7"/>
      <c r="N63" s="7"/>
      <c r="O63" s="7"/>
      <c r="P63" s="7"/>
    </row>
    <row r="64" spans="1:16">
      <c r="K64" s="7"/>
      <c r="L64" s="7"/>
      <c r="M64" s="7"/>
      <c r="N64" s="7"/>
      <c r="O64" s="7"/>
      <c r="P64" s="7"/>
    </row>
    <row r="65" spans="11:16">
      <c r="K65" s="7"/>
      <c r="L65" s="7"/>
      <c r="M65" s="7"/>
      <c r="N65" s="7"/>
      <c r="O65" s="7"/>
      <c r="P65" s="7"/>
    </row>
    <row r="66" spans="11:16">
      <c r="K66" s="7"/>
      <c r="L66" s="7"/>
      <c r="M66" s="7"/>
      <c r="N66" s="7"/>
      <c r="O66" s="7"/>
      <c r="P66" s="7"/>
    </row>
    <row r="67" spans="11:16">
      <c r="K67" s="7"/>
      <c r="L67" s="7"/>
      <c r="M67" s="7"/>
      <c r="N67" s="7"/>
      <c r="O67" s="7"/>
      <c r="P67" s="7"/>
    </row>
    <row r="68" spans="11:16">
      <c r="K68" s="7"/>
      <c r="L68" s="7"/>
      <c r="M68" s="7"/>
      <c r="N68" s="7"/>
      <c r="O68" s="7"/>
      <c r="P68" s="7"/>
    </row>
    <row r="69" spans="11:16">
      <c r="K69" s="7"/>
      <c r="L69" s="7"/>
      <c r="M69" s="7"/>
      <c r="N69" s="7"/>
      <c r="O69" s="7"/>
      <c r="P69" s="7"/>
    </row>
    <row r="70" spans="11:16">
      <c r="K70" s="7"/>
      <c r="L70" s="7"/>
      <c r="M70" s="7"/>
      <c r="N70" s="7"/>
      <c r="O70" s="7"/>
      <c r="P70" s="7"/>
    </row>
    <row r="71" spans="11:16">
      <c r="K71" s="7"/>
      <c r="L71" s="7"/>
      <c r="M71" s="7"/>
      <c r="N71" s="7"/>
      <c r="O71" s="7"/>
      <c r="P71" s="7"/>
    </row>
    <row r="72" spans="11:16">
      <c r="K72" s="7"/>
      <c r="L72" s="7"/>
      <c r="M72" s="7"/>
      <c r="N72" s="7"/>
      <c r="O72" s="7"/>
      <c r="P72" s="7"/>
    </row>
    <row r="73" spans="11:16">
      <c r="K73" s="7"/>
      <c r="L73" s="7"/>
      <c r="M73" s="7"/>
      <c r="N73" s="7"/>
      <c r="O73" s="7"/>
      <c r="P73" s="7"/>
    </row>
    <row r="74" spans="11:16">
      <c r="K74" s="7"/>
      <c r="L74" s="7"/>
      <c r="M74" s="7"/>
      <c r="N74" s="7"/>
      <c r="O74" s="7"/>
      <c r="P74" s="7"/>
    </row>
    <row r="75" spans="11:16">
      <c r="K75" s="7"/>
      <c r="L75" s="7"/>
      <c r="M75" s="7"/>
      <c r="N75" s="7"/>
      <c r="O75" s="7"/>
      <c r="P75" s="7"/>
    </row>
    <row r="76" spans="11:16">
      <c r="K76" s="7"/>
      <c r="L76" s="7"/>
      <c r="M76" s="7"/>
      <c r="N76" s="7"/>
      <c r="O76" s="7"/>
      <c r="P76" s="7"/>
    </row>
    <row r="77" spans="11:16">
      <c r="K77" s="7"/>
      <c r="L77" s="7"/>
      <c r="M77" s="7"/>
      <c r="N77" s="7"/>
      <c r="O77" s="7"/>
      <c r="P77" s="7"/>
    </row>
    <row r="78" spans="11:16">
      <c r="K78" s="7"/>
      <c r="L78" s="7"/>
      <c r="M78" s="7"/>
      <c r="N78" s="7"/>
      <c r="O78" s="7"/>
      <c r="P78" s="7"/>
    </row>
    <row r="79" spans="11:16">
      <c r="K79" s="7"/>
      <c r="L79" s="7"/>
      <c r="M79" s="7"/>
      <c r="N79" s="7"/>
      <c r="O79" s="7"/>
      <c r="P79" s="7"/>
    </row>
    <row r="80" spans="11:16">
      <c r="K80" s="7"/>
      <c r="L80" s="7"/>
      <c r="M80" s="7"/>
      <c r="N80" s="7"/>
      <c r="O80" s="7"/>
      <c r="P80" s="7"/>
    </row>
    <row r="81" spans="11:16">
      <c r="K81" s="7"/>
      <c r="L81" s="7"/>
      <c r="M81" s="7"/>
      <c r="N81" s="7"/>
      <c r="O81" s="7"/>
      <c r="P81" s="7"/>
    </row>
    <row r="82" spans="11:16">
      <c r="K82" s="7"/>
      <c r="L82" s="7"/>
      <c r="M82" s="7"/>
      <c r="N82" s="7"/>
      <c r="O82" s="7"/>
      <c r="P82" s="7"/>
    </row>
    <row r="83" spans="11:16">
      <c r="K83" s="7"/>
      <c r="L83" s="7"/>
      <c r="M83" s="7"/>
      <c r="N83" s="7"/>
      <c r="O83" s="7"/>
      <c r="P83" s="7"/>
    </row>
    <row r="84" spans="11:16">
      <c r="K84" s="7"/>
      <c r="L84" s="7"/>
      <c r="M84" s="7"/>
      <c r="N84" s="7"/>
      <c r="O84" s="7"/>
      <c r="P84" s="7"/>
    </row>
    <row r="85" spans="11:16">
      <c r="K85" s="7"/>
      <c r="L85" s="7"/>
      <c r="M85" s="7"/>
      <c r="N85" s="7"/>
      <c r="O85" s="7"/>
      <c r="P85" s="7"/>
    </row>
    <row r="86" spans="11:16">
      <c r="K86" s="7"/>
      <c r="L86" s="7"/>
      <c r="M86" s="7"/>
      <c r="N86" s="7"/>
      <c r="O86" s="7"/>
      <c r="P86" s="7"/>
    </row>
    <row r="87" spans="11:16">
      <c r="K87" s="7"/>
      <c r="L87" s="7"/>
      <c r="M87" s="7"/>
      <c r="N87" s="7"/>
      <c r="O87" s="7"/>
      <c r="P87" s="7"/>
    </row>
    <row r="88" spans="11:16">
      <c r="K88" s="7"/>
      <c r="L88" s="7"/>
      <c r="M88" s="7"/>
      <c r="N88" s="7"/>
      <c r="O88" s="7"/>
      <c r="P88" s="7"/>
    </row>
    <row r="89" spans="11:16">
      <c r="K89" s="7"/>
      <c r="L89" s="7"/>
      <c r="M89" s="7"/>
      <c r="N89" s="7"/>
      <c r="O89" s="7"/>
      <c r="P89" s="7"/>
    </row>
    <row r="90" spans="11:16">
      <c r="K90" s="7"/>
      <c r="L90" s="7"/>
      <c r="M90" s="7"/>
      <c r="N90" s="7"/>
      <c r="O90" s="7"/>
      <c r="P90" s="7"/>
    </row>
    <row r="91" spans="11:16">
      <c r="K91" s="7"/>
      <c r="L91" s="7"/>
      <c r="M91" s="7"/>
      <c r="N91" s="7"/>
      <c r="O91" s="7"/>
      <c r="P91" s="7"/>
    </row>
    <row r="92" spans="11:16">
      <c r="K92" s="7"/>
      <c r="L92" s="7"/>
      <c r="M92" s="7"/>
      <c r="N92" s="7"/>
      <c r="O92" s="7"/>
      <c r="P92" s="7"/>
    </row>
    <row r="93" spans="11:16">
      <c r="K93" s="7"/>
      <c r="L93" s="7"/>
      <c r="M93" s="7"/>
      <c r="N93" s="7"/>
      <c r="O93" s="7"/>
      <c r="P93" s="7"/>
    </row>
    <row r="94" spans="11:16">
      <c r="K94" s="7"/>
      <c r="L94" s="7"/>
      <c r="M94" s="7"/>
      <c r="N94" s="7"/>
      <c r="O94" s="7"/>
      <c r="P94" s="7"/>
    </row>
    <row r="95" spans="11:16">
      <c r="K95" s="7"/>
      <c r="L95" s="7"/>
      <c r="M95" s="7"/>
      <c r="N95" s="7"/>
      <c r="O95" s="7"/>
      <c r="P95" s="7"/>
    </row>
    <row r="96" spans="11:16">
      <c r="K96" s="7"/>
      <c r="L96" s="7"/>
      <c r="M96" s="7"/>
      <c r="N96" s="7"/>
      <c r="O96" s="7"/>
      <c r="P96" s="7"/>
    </row>
    <row r="97" spans="11:16">
      <c r="K97" s="7"/>
      <c r="L97" s="7"/>
      <c r="M97" s="7"/>
      <c r="N97" s="7"/>
      <c r="O97" s="7"/>
      <c r="P97" s="7"/>
    </row>
    <row r="98" spans="11:16">
      <c r="K98" s="7"/>
      <c r="L98" s="7"/>
      <c r="M98" s="7"/>
      <c r="N98" s="7"/>
      <c r="O98" s="7"/>
      <c r="P98" s="7"/>
    </row>
    <row r="99" spans="11:16">
      <c r="K99" s="7"/>
      <c r="L99" s="7"/>
      <c r="M99" s="7"/>
      <c r="N99" s="7"/>
      <c r="O99" s="7"/>
      <c r="P99" s="7"/>
    </row>
    <row r="100" spans="11:16">
      <c r="K100" s="7"/>
      <c r="L100" s="7"/>
      <c r="M100" s="7"/>
      <c r="N100" s="7"/>
      <c r="O100" s="7"/>
      <c r="P100" s="7"/>
    </row>
    <row r="101" spans="11:16">
      <c r="K101" s="7"/>
      <c r="L101" s="7"/>
      <c r="M101" s="7"/>
      <c r="N101" s="7"/>
      <c r="O101" s="7"/>
      <c r="P101" s="7"/>
    </row>
    <row r="102" spans="11:16">
      <c r="K102" s="7"/>
      <c r="L102" s="7"/>
      <c r="M102" s="7"/>
      <c r="N102" s="7"/>
      <c r="O102" s="7"/>
      <c r="P102" s="7"/>
    </row>
    <row r="103" spans="11:16">
      <c r="K103" s="7"/>
      <c r="L103" s="7"/>
      <c r="M103" s="7"/>
      <c r="N103" s="7"/>
      <c r="O103" s="7"/>
      <c r="P103" s="7"/>
    </row>
    <row r="104" spans="11:16">
      <c r="K104" s="7"/>
      <c r="L104" s="7"/>
      <c r="M104" s="7"/>
      <c r="N104" s="7"/>
      <c r="O104" s="7"/>
      <c r="P104" s="7"/>
    </row>
    <row r="105" spans="11:16">
      <c r="K105" s="7"/>
      <c r="L105" s="7"/>
      <c r="M105" s="7"/>
      <c r="N105" s="7"/>
      <c r="O105" s="7"/>
      <c r="P105" s="7"/>
    </row>
    <row r="106" spans="11:16">
      <c r="K106" s="7"/>
      <c r="L106" s="7"/>
      <c r="M106" s="7"/>
      <c r="N106" s="7"/>
      <c r="O106" s="7"/>
      <c r="P106" s="7"/>
    </row>
    <row r="107" spans="11:16">
      <c r="K107" s="7"/>
      <c r="L107" s="7"/>
      <c r="M107" s="7"/>
      <c r="N107" s="7"/>
      <c r="O107" s="7"/>
      <c r="P107" s="7"/>
    </row>
    <row r="108" spans="11:16">
      <c r="K108" s="7"/>
      <c r="L108" s="7"/>
      <c r="M108" s="7"/>
      <c r="N108" s="7"/>
      <c r="O108" s="7"/>
      <c r="P108" s="7"/>
    </row>
    <row r="109" spans="11:16">
      <c r="K109" s="7"/>
      <c r="L109" s="7"/>
      <c r="M109" s="7"/>
      <c r="N109" s="7"/>
      <c r="O109" s="7"/>
      <c r="P109" s="7"/>
    </row>
    <row r="110" spans="11:16">
      <c r="K110" s="7"/>
      <c r="L110" s="7"/>
      <c r="M110" s="7"/>
      <c r="N110" s="7"/>
      <c r="O110" s="7"/>
      <c r="P110" s="7"/>
    </row>
  </sheetData>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A1:G62"/>
  <sheetViews>
    <sheetView workbookViewId="0">
      <selection activeCell="J21" sqref="J21"/>
    </sheetView>
  </sheetViews>
  <sheetFormatPr defaultColWidth="9" defaultRowHeight="15"/>
  <cols>
    <col min="1" max="1" width="11.140625" style="2" bestFit="1" customWidth="1"/>
    <col min="2" max="2" width="8.7109375" style="2" customWidth="1"/>
    <col min="3" max="3" width="54" style="11" customWidth="1"/>
    <col min="4" max="4" width="8" style="2" bestFit="1" customWidth="1"/>
    <col min="5" max="5" width="10.5703125" style="2" bestFit="1" customWidth="1"/>
    <col min="6" max="6" width="22.7109375" style="2" customWidth="1"/>
    <col min="7" max="16384" width="9" style="2"/>
  </cols>
  <sheetData>
    <row r="1" spans="1:7">
      <c r="A1" s="16" t="s">
        <v>51</v>
      </c>
      <c r="B1" s="16" t="s">
        <v>47</v>
      </c>
      <c r="C1" s="17" t="s">
        <v>48</v>
      </c>
      <c r="D1" s="16" t="s">
        <v>49</v>
      </c>
      <c r="E1" s="16" t="s">
        <v>50</v>
      </c>
      <c r="F1" s="91" t="s">
        <v>193</v>
      </c>
    </row>
    <row r="2" spans="1:7" ht="16.5">
      <c r="A2" s="38"/>
      <c r="B2" s="79" t="s">
        <v>4</v>
      </c>
      <c r="C2" s="80" t="s">
        <v>19</v>
      </c>
      <c r="D2" s="81">
        <f>E2/SUMIFS($E$2:$E$28,$B$2:$B$28,B2)</f>
        <v>0</v>
      </c>
      <c r="E2" s="12">
        <v>0</v>
      </c>
      <c r="F2" s="40" t="s">
        <v>195</v>
      </c>
      <c r="G2" s="2">
        <v>6</v>
      </c>
    </row>
    <row r="3" spans="1:7" ht="16.5">
      <c r="A3" s="38" t="s">
        <v>52</v>
      </c>
      <c r="B3" s="79" t="s">
        <v>4</v>
      </c>
      <c r="C3" s="82" t="s">
        <v>20</v>
      </c>
      <c r="D3" s="83">
        <f t="shared" ref="D3:D28" si="0">E3/SUMIFS($E$2:$E$28,$B$2:$B$28,B3)</f>
        <v>0.68409986859395533</v>
      </c>
      <c r="E3" s="12">
        <v>15618</v>
      </c>
      <c r="G3" s="2">
        <v>11910</v>
      </c>
    </row>
    <row r="4" spans="1:7" ht="16.5">
      <c r="A4" s="38"/>
      <c r="B4" s="79" t="s">
        <v>4</v>
      </c>
      <c r="C4" s="82" t="s">
        <v>21</v>
      </c>
      <c r="D4" s="83">
        <f t="shared" si="0"/>
        <v>4.4240035041611912E-3</v>
      </c>
      <c r="E4" s="12">
        <v>101</v>
      </c>
      <c r="G4" s="2">
        <v>129</v>
      </c>
    </row>
    <row r="5" spans="1:7" ht="16.5">
      <c r="A5" s="38"/>
      <c r="B5" s="79" t="s">
        <v>4</v>
      </c>
      <c r="C5" s="82" t="s">
        <v>22</v>
      </c>
      <c r="D5" s="83">
        <f t="shared" si="0"/>
        <v>3.9903635567236091E-2</v>
      </c>
      <c r="E5" s="12">
        <v>911</v>
      </c>
      <c r="G5" s="2">
        <v>283</v>
      </c>
    </row>
    <row r="6" spans="1:7" ht="16.5">
      <c r="A6" s="38" t="s">
        <v>53</v>
      </c>
      <c r="B6" s="79" t="s">
        <v>4</v>
      </c>
      <c r="C6" s="82" t="s">
        <v>23</v>
      </c>
      <c r="D6" s="83">
        <f t="shared" si="0"/>
        <v>0.13337713534822601</v>
      </c>
      <c r="E6" s="12">
        <v>3045</v>
      </c>
      <c r="G6" s="2">
        <v>4166</v>
      </c>
    </row>
    <row r="7" spans="1:7" ht="16.5">
      <c r="A7" s="38" t="s">
        <v>54</v>
      </c>
      <c r="B7" s="79" t="s">
        <v>4</v>
      </c>
      <c r="C7" s="82" t="s">
        <v>24</v>
      </c>
      <c r="D7" s="83">
        <f t="shared" si="0"/>
        <v>1.6162943495400789E-2</v>
      </c>
      <c r="E7" s="12">
        <v>369</v>
      </c>
      <c r="G7" s="2">
        <v>1038</v>
      </c>
    </row>
    <row r="8" spans="1:7" ht="33">
      <c r="A8" s="38"/>
      <c r="B8" s="79" t="s">
        <v>4</v>
      </c>
      <c r="C8" s="82" t="s">
        <v>25</v>
      </c>
      <c r="D8" s="83">
        <f t="shared" si="0"/>
        <v>0</v>
      </c>
      <c r="E8" s="12">
        <v>0</v>
      </c>
      <c r="G8" s="2">
        <v>303</v>
      </c>
    </row>
    <row r="9" spans="1:7" ht="16.5">
      <c r="A9" s="38"/>
      <c r="B9" s="79" t="s">
        <v>4</v>
      </c>
      <c r="C9" s="82" t="s">
        <v>26</v>
      </c>
      <c r="D9" s="83">
        <f t="shared" si="0"/>
        <v>0</v>
      </c>
      <c r="E9" s="12">
        <v>0</v>
      </c>
      <c r="G9" s="2">
        <v>49</v>
      </c>
    </row>
    <row r="10" spans="1:7" ht="16.5">
      <c r="A10" s="38" t="s">
        <v>55</v>
      </c>
      <c r="B10" s="79" t="s">
        <v>4</v>
      </c>
      <c r="C10" s="82" t="s">
        <v>27</v>
      </c>
      <c r="D10" s="83">
        <f t="shared" si="0"/>
        <v>0.10175208059570741</v>
      </c>
      <c r="E10" s="12">
        <v>2323</v>
      </c>
      <c r="G10" s="2">
        <v>3694</v>
      </c>
    </row>
    <row r="11" spans="1:7" ht="16.5">
      <c r="A11" s="38"/>
      <c r="B11" s="79" t="s">
        <v>4</v>
      </c>
      <c r="C11" s="82" t="s">
        <v>28</v>
      </c>
      <c r="D11" s="83">
        <f t="shared" si="0"/>
        <v>1.4586070959264126E-2</v>
      </c>
      <c r="E11" s="12">
        <v>333</v>
      </c>
      <c r="G11" s="2">
        <v>509</v>
      </c>
    </row>
    <row r="12" spans="1:7" ht="16.5">
      <c r="A12" s="38"/>
      <c r="B12" s="84" t="s">
        <v>4</v>
      </c>
      <c r="C12" s="85" t="s">
        <v>29</v>
      </c>
      <c r="D12" s="86">
        <f t="shared" si="0"/>
        <v>5.6942619360490585E-3</v>
      </c>
      <c r="E12" s="13">
        <v>130</v>
      </c>
      <c r="G12" s="2">
        <v>473</v>
      </c>
    </row>
    <row r="13" spans="1:7" ht="16.5">
      <c r="A13" s="38"/>
      <c r="B13" s="79" t="s">
        <v>30</v>
      </c>
      <c r="C13" s="87" t="s">
        <v>31</v>
      </c>
      <c r="D13" s="88">
        <f t="shared" si="0"/>
        <v>0</v>
      </c>
      <c r="E13" s="14">
        <v>0</v>
      </c>
      <c r="G13" s="2">
        <v>24</v>
      </c>
    </row>
    <row r="14" spans="1:7" ht="16.5">
      <c r="A14" s="38"/>
      <c r="B14" s="79" t="s">
        <v>30</v>
      </c>
      <c r="C14" s="82" t="s">
        <v>32</v>
      </c>
      <c r="D14" s="83">
        <f t="shared" si="0"/>
        <v>0.47182175622542594</v>
      </c>
      <c r="E14" s="12">
        <v>360</v>
      </c>
      <c r="G14" s="2">
        <v>464</v>
      </c>
    </row>
    <row r="15" spans="1:7" ht="16.5">
      <c r="A15" s="38"/>
      <c r="B15" s="79" t="s">
        <v>30</v>
      </c>
      <c r="C15" s="82" t="s">
        <v>33</v>
      </c>
      <c r="D15" s="83">
        <f t="shared" si="0"/>
        <v>0.19528178243774574</v>
      </c>
      <c r="E15" s="12">
        <v>149</v>
      </c>
      <c r="G15" s="2">
        <v>202</v>
      </c>
    </row>
    <row r="16" spans="1:7" ht="16.5">
      <c r="A16" s="38"/>
      <c r="B16" s="79" t="s">
        <v>30</v>
      </c>
      <c r="C16" s="82" t="s">
        <v>34</v>
      </c>
      <c r="D16" s="83">
        <f t="shared" si="0"/>
        <v>2.8833551769331587E-2</v>
      </c>
      <c r="E16" s="12">
        <v>22</v>
      </c>
      <c r="G16" s="2">
        <v>80</v>
      </c>
    </row>
    <row r="17" spans="1:7" ht="16.5">
      <c r="A17" s="38"/>
      <c r="B17" s="79" t="s">
        <v>30</v>
      </c>
      <c r="C17" s="82" t="s">
        <v>35</v>
      </c>
      <c r="D17" s="83">
        <f t="shared" si="0"/>
        <v>0.12844036697247707</v>
      </c>
      <c r="E17" s="12">
        <v>98</v>
      </c>
      <c r="G17" s="2">
        <v>272</v>
      </c>
    </row>
    <row r="18" spans="1:7" ht="16.5">
      <c r="A18" s="38"/>
      <c r="B18" s="84" t="s">
        <v>30</v>
      </c>
      <c r="C18" s="85" t="s">
        <v>36</v>
      </c>
      <c r="D18" s="86">
        <f t="shared" si="0"/>
        <v>0.17562254259501967</v>
      </c>
      <c r="E18" s="13">
        <v>134</v>
      </c>
      <c r="G18" s="2">
        <v>196</v>
      </c>
    </row>
    <row r="19" spans="1:7" ht="16.5">
      <c r="A19" s="38" t="s">
        <v>99</v>
      </c>
      <c r="B19" s="79" t="s">
        <v>37</v>
      </c>
      <c r="C19" s="87" t="s">
        <v>20</v>
      </c>
      <c r="D19" s="88">
        <f t="shared" si="0"/>
        <v>0.96822824938358576</v>
      </c>
      <c r="E19" s="14">
        <v>27488</v>
      </c>
      <c r="G19" s="2">
        <v>28166</v>
      </c>
    </row>
    <row r="20" spans="1:7" ht="16.5">
      <c r="A20" s="38"/>
      <c r="B20" s="84" t="s">
        <v>37</v>
      </c>
      <c r="C20" s="85" t="s">
        <v>38</v>
      </c>
      <c r="D20" s="86">
        <f t="shared" si="0"/>
        <v>3.1771750616414234E-2</v>
      </c>
      <c r="E20" s="13">
        <v>902</v>
      </c>
      <c r="G20" s="2">
        <v>766</v>
      </c>
    </row>
    <row r="21" spans="1:7" ht="16.5">
      <c r="A21" s="38" t="s">
        <v>100</v>
      </c>
      <c r="B21" s="89" t="s">
        <v>3</v>
      </c>
      <c r="C21" s="89" t="s">
        <v>20</v>
      </c>
      <c r="D21" s="90">
        <f t="shared" si="0"/>
        <v>1</v>
      </c>
      <c r="E21" s="15">
        <v>21467</v>
      </c>
      <c r="G21" s="2">
        <v>25217</v>
      </c>
    </row>
    <row r="22" spans="1:7" ht="16.5">
      <c r="A22" s="38"/>
      <c r="B22" s="79" t="s">
        <v>2</v>
      </c>
      <c r="C22" s="87" t="s">
        <v>39</v>
      </c>
      <c r="D22" s="88">
        <f t="shared" si="0"/>
        <v>7.5146771037181998E-3</v>
      </c>
      <c r="E22" s="14">
        <v>96</v>
      </c>
      <c r="G22" s="2">
        <v>63</v>
      </c>
    </row>
    <row r="23" spans="1:7" ht="16.5">
      <c r="A23" s="38" t="s">
        <v>105</v>
      </c>
      <c r="B23" s="79" t="s">
        <v>2</v>
      </c>
      <c r="C23" s="82" t="s">
        <v>20</v>
      </c>
      <c r="D23" s="83">
        <f t="shared" si="0"/>
        <v>0.81142857142857139</v>
      </c>
      <c r="E23" s="12">
        <v>10366</v>
      </c>
      <c r="G23" s="2">
        <v>12887</v>
      </c>
    </row>
    <row r="24" spans="1:7" ht="16.5">
      <c r="A24" s="38"/>
      <c r="B24" s="79" t="s">
        <v>2</v>
      </c>
      <c r="C24" s="82" t="s">
        <v>40</v>
      </c>
      <c r="D24" s="83">
        <f t="shared" si="0"/>
        <v>4.8532289628180035E-3</v>
      </c>
      <c r="E24" s="12">
        <v>62</v>
      </c>
      <c r="G24" s="2">
        <v>27</v>
      </c>
    </row>
    <row r="25" spans="1:7" ht="16.5">
      <c r="A25" s="38"/>
      <c r="B25" s="79" t="s">
        <v>2</v>
      </c>
      <c r="C25" s="82" t="s">
        <v>4</v>
      </c>
      <c r="D25" s="83">
        <f t="shared" si="0"/>
        <v>0</v>
      </c>
      <c r="E25" s="12">
        <v>0</v>
      </c>
      <c r="G25" s="2">
        <v>91</v>
      </c>
    </row>
    <row r="26" spans="1:7" ht="16.5">
      <c r="A26" s="38" t="s">
        <v>104</v>
      </c>
      <c r="B26" s="79" t="s">
        <v>2</v>
      </c>
      <c r="C26" s="82" t="s">
        <v>41</v>
      </c>
      <c r="D26" s="83">
        <f t="shared" si="0"/>
        <v>0.16281800391389434</v>
      </c>
      <c r="E26" s="12">
        <v>2080</v>
      </c>
      <c r="G26" s="2">
        <v>3388</v>
      </c>
    </row>
    <row r="27" spans="1:7" ht="16.5">
      <c r="A27" s="38"/>
      <c r="B27" s="79" t="s">
        <v>2</v>
      </c>
      <c r="C27" s="82" t="s">
        <v>42</v>
      </c>
      <c r="D27" s="83">
        <f t="shared" si="0"/>
        <v>1.3385518590998043E-2</v>
      </c>
      <c r="E27" s="12">
        <v>171</v>
      </c>
      <c r="G27" s="2">
        <v>343</v>
      </c>
    </row>
    <row r="28" spans="1:7" ht="16.5">
      <c r="A28" s="38"/>
      <c r="B28" s="84" t="s">
        <v>2</v>
      </c>
      <c r="C28" s="85" t="s">
        <v>43</v>
      </c>
      <c r="D28" s="86">
        <f t="shared" si="0"/>
        <v>0</v>
      </c>
      <c r="E28" s="13">
        <v>0</v>
      </c>
      <c r="G28" s="2">
        <v>339</v>
      </c>
    </row>
    <row r="31" spans="1:7" ht="14.25" customHeight="1">
      <c r="B31" s="174" t="s">
        <v>46</v>
      </c>
      <c r="C31" s="174"/>
      <c r="D31" s="174"/>
      <c r="E31" s="174"/>
    </row>
    <row r="32" spans="1:7">
      <c r="B32" s="174"/>
      <c r="C32" s="174"/>
      <c r="D32" s="174"/>
      <c r="E32" s="174"/>
    </row>
    <row r="33" spans="2:5">
      <c r="B33" s="174"/>
      <c r="C33" s="174"/>
      <c r="D33" s="174"/>
      <c r="E33" s="174"/>
    </row>
    <row r="34" spans="2:5">
      <c r="B34" s="174"/>
      <c r="C34" s="174"/>
      <c r="D34" s="174"/>
      <c r="E34" s="174"/>
    </row>
    <row r="35" spans="2:5">
      <c r="B35" s="174"/>
      <c r="C35" s="174"/>
      <c r="D35" s="174"/>
      <c r="E35" s="174"/>
    </row>
    <row r="36" spans="2:5">
      <c r="B36" s="174"/>
      <c r="C36" s="174"/>
      <c r="D36" s="174"/>
      <c r="E36" s="174"/>
    </row>
    <row r="37" spans="2:5">
      <c r="B37" s="174"/>
      <c r="C37" s="174"/>
      <c r="D37" s="174"/>
      <c r="E37" s="174"/>
    </row>
    <row r="38" spans="2:5">
      <c r="B38" s="174"/>
      <c r="C38" s="174"/>
      <c r="D38" s="174"/>
      <c r="E38" s="174"/>
    </row>
    <row r="39" spans="2:5">
      <c r="B39" s="174"/>
      <c r="C39" s="174"/>
      <c r="D39" s="174"/>
      <c r="E39" s="174"/>
    </row>
    <row r="40" spans="2:5">
      <c r="B40" s="174"/>
      <c r="C40" s="174"/>
      <c r="D40" s="174"/>
      <c r="E40" s="174"/>
    </row>
    <row r="41" spans="2:5">
      <c r="B41" s="174"/>
      <c r="C41" s="174"/>
      <c r="D41" s="174"/>
      <c r="E41" s="174"/>
    </row>
    <row r="42" spans="2:5">
      <c r="B42" s="174"/>
      <c r="C42" s="174"/>
      <c r="D42" s="174"/>
      <c r="E42" s="174"/>
    </row>
    <row r="43" spans="2:5">
      <c r="B43" s="174"/>
      <c r="C43" s="174"/>
      <c r="D43" s="174"/>
      <c r="E43" s="174"/>
    </row>
    <row r="44" spans="2:5">
      <c r="B44" s="174"/>
      <c r="C44" s="174"/>
      <c r="D44" s="174"/>
      <c r="E44" s="174"/>
    </row>
    <row r="46" spans="2:5">
      <c r="B46" s="174" t="s">
        <v>44</v>
      </c>
      <c r="C46" s="174"/>
      <c r="D46" s="174"/>
      <c r="E46" s="174"/>
    </row>
    <row r="47" spans="2:5">
      <c r="B47" s="174" t="s">
        <v>45</v>
      </c>
      <c r="C47" s="174"/>
      <c r="D47" s="174"/>
      <c r="E47" s="174"/>
    </row>
    <row r="48" spans="2:5">
      <c r="B48" s="174"/>
      <c r="C48" s="174"/>
      <c r="D48" s="174"/>
      <c r="E48" s="174"/>
    </row>
    <row r="49" spans="2:5">
      <c r="B49" s="174"/>
      <c r="C49" s="174"/>
      <c r="D49" s="174"/>
      <c r="E49" s="174"/>
    </row>
    <row r="50" spans="2:5">
      <c r="B50" s="174"/>
      <c r="C50" s="174"/>
      <c r="D50" s="174"/>
      <c r="E50" s="174"/>
    </row>
    <row r="51" spans="2:5">
      <c r="B51" s="174"/>
      <c r="C51" s="174"/>
      <c r="D51" s="174"/>
      <c r="E51" s="174"/>
    </row>
    <row r="52" spans="2:5">
      <c r="B52" s="174"/>
      <c r="C52" s="174"/>
      <c r="D52" s="174"/>
      <c r="E52" s="174"/>
    </row>
    <row r="53" spans="2:5">
      <c r="B53" s="174"/>
      <c r="C53" s="174"/>
      <c r="D53" s="174"/>
      <c r="E53" s="174"/>
    </row>
    <row r="54" spans="2:5">
      <c r="B54" s="174"/>
      <c r="C54" s="174"/>
      <c r="D54" s="174"/>
      <c r="E54" s="174"/>
    </row>
    <row r="55" spans="2:5">
      <c r="B55" s="174"/>
      <c r="C55" s="174"/>
      <c r="D55" s="174"/>
      <c r="E55" s="174"/>
    </row>
    <row r="56" spans="2:5">
      <c r="B56" s="174"/>
      <c r="C56" s="174"/>
      <c r="D56" s="174"/>
      <c r="E56" s="174"/>
    </row>
    <row r="57" spans="2:5">
      <c r="B57" s="174"/>
      <c r="C57" s="174"/>
      <c r="D57" s="174"/>
      <c r="E57" s="174"/>
    </row>
    <row r="58" spans="2:5">
      <c r="B58" s="174"/>
      <c r="C58" s="174"/>
      <c r="D58" s="174"/>
      <c r="E58" s="174"/>
    </row>
    <row r="59" spans="2:5">
      <c r="B59" s="174"/>
      <c r="C59" s="174"/>
      <c r="D59" s="174"/>
      <c r="E59" s="174"/>
    </row>
    <row r="60" spans="2:5">
      <c r="B60" s="174"/>
      <c r="C60" s="174"/>
      <c r="D60" s="174"/>
      <c r="E60" s="174"/>
    </row>
    <row r="61" spans="2:5">
      <c r="B61" s="174"/>
      <c r="C61" s="174"/>
      <c r="D61" s="174"/>
      <c r="E61" s="174"/>
    </row>
    <row r="62" spans="2:5">
      <c r="B62" s="174"/>
      <c r="C62" s="174"/>
      <c r="D62" s="174"/>
      <c r="E62" s="174"/>
    </row>
  </sheetData>
  <mergeCells count="2">
    <mergeCell ref="B46:E62"/>
    <mergeCell ref="B31:E4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499984740745262"/>
  </sheetPr>
  <dimension ref="A1:H74"/>
  <sheetViews>
    <sheetView topLeftCell="A42" workbookViewId="0">
      <selection activeCell="A64" sqref="A64:XFD64"/>
    </sheetView>
  </sheetViews>
  <sheetFormatPr defaultColWidth="9" defaultRowHeight="15"/>
  <cols>
    <col min="1" max="1" width="5.42578125" style="2" bestFit="1" customWidth="1"/>
    <col min="2" max="8" width="14.28515625" style="7" customWidth="1"/>
    <col min="9" max="16384" width="9" style="2"/>
  </cols>
  <sheetData>
    <row r="1" spans="1:8">
      <c r="A1" s="38"/>
      <c r="B1" s="39"/>
      <c r="C1" s="39" t="s">
        <v>100</v>
      </c>
      <c r="D1" s="39" t="s">
        <v>119</v>
      </c>
      <c r="E1" s="39" t="s">
        <v>120</v>
      </c>
      <c r="F1" s="39" t="s">
        <v>121</v>
      </c>
      <c r="G1" s="39"/>
      <c r="H1" s="39"/>
    </row>
    <row r="2" spans="1:8">
      <c r="A2" s="21" t="s">
        <v>118</v>
      </c>
      <c r="B2" s="37">
        <v>2939</v>
      </c>
      <c r="C2" s="37">
        <v>2848</v>
      </c>
      <c r="D2" s="37">
        <v>2606</v>
      </c>
      <c r="E2" s="37">
        <v>3336</v>
      </c>
      <c r="F2" s="37">
        <v>2792</v>
      </c>
      <c r="G2" s="37">
        <v>2809</v>
      </c>
      <c r="H2" s="37" t="s">
        <v>117</v>
      </c>
    </row>
    <row r="3" spans="1:8">
      <c r="A3" s="21" t="s">
        <v>5</v>
      </c>
      <c r="B3" s="37" t="s">
        <v>15</v>
      </c>
      <c r="C3" s="37" t="s">
        <v>116</v>
      </c>
      <c r="D3" s="37" t="s">
        <v>115</v>
      </c>
      <c r="E3" s="37" t="s">
        <v>114</v>
      </c>
      <c r="F3" s="37" t="s">
        <v>113</v>
      </c>
      <c r="G3" s="37" t="s">
        <v>112</v>
      </c>
      <c r="H3" s="37" t="s">
        <v>111</v>
      </c>
    </row>
    <row r="4" spans="1:8">
      <c r="A4" s="21">
        <v>1990</v>
      </c>
      <c r="B4" s="37">
        <v>30465</v>
      </c>
      <c r="C4" s="37">
        <v>7885</v>
      </c>
      <c r="D4" s="37">
        <v>0</v>
      </c>
      <c r="E4" s="37">
        <v>0</v>
      </c>
      <c r="F4" s="37">
        <v>0</v>
      </c>
      <c r="G4" s="37">
        <v>0</v>
      </c>
      <c r="H4" s="37">
        <v>0</v>
      </c>
    </row>
    <row r="5" spans="1:8">
      <c r="A5" s="21">
        <v>1991</v>
      </c>
      <c r="B5" s="37">
        <v>31101</v>
      </c>
      <c r="C5" s="37">
        <v>8777</v>
      </c>
      <c r="D5" s="37">
        <v>0</v>
      </c>
      <c r="E5" s="37">
        <v>0</v>
      </c>
      <c r="F5" s="37">
        <v>0</v>
      </c>
      <c r="G5" s="37">
        <v>0</v>
      </c>
      <c r="H5" s="37">
        <v>0</v>
      </c>
    </row>
    <row r="6" spans="1:8">
      <c r="A6" s="21">
        <v>1992</v>
      </c>
      <c r="B6" s="37">
        <v>31108</v>
      </c>
      <c r="C6" s="37">
        <v>9623</v>
      </c>
      <c r="D6" s="37">
        <v>0</v>
      </c>
      <c r="E6" s="37">
        <v>0</v>
      </c>
      <c r="F6" s="37">
        <v>0</v>
      </c>
      <c r="G6" s="37">
        <v>0</v>
      </c>
      <c r="H6" s="37">
        <v>0</v>
      </c>
    </row>
    <row r="7" spans="1:8">
      <c r="A7" s="21">
        <v>1993</v>
      </c>
      <c r="B7" s="37">
        <v>30547</v>
      </c>
      <c r="C7" s="37">
        <v>10512</v>
      </c>
      <c r="D7" s="37">
        <v>0</v>
      </c>
      <c r="E7" s="37">
        <v>0</v>
      </c>
      <c r="F7" s="37">
        <v>0</v>
      </c>
      <c r="G7" s="37">
        <v>0</v>
      </c>
      <c r="H7" s="37">
        <v>0</v>
      </c>
    </row>
    <row r="8" spans="1:8">
      <c r="A8" s="21">
        <v>1994</v>
      </c>
      <c r="B8" s="37">
        <v>30413</v>
      </c>
      <c r="C8" s="37">
        <v>13293</v>
      </c>
      <c r="D8" s="37">
        <v>0</v>
      </c>
      <c r="E8" s="37">
        <v>0</v>
      </c>
      <c r="F8" s="37">
        <v>0</v>
      </c>
      <c r="G8" s="37">
        <v>0</v>
      </c>
      <c r="H8" s="37">
        <v>0</v>
      </c>
    </row>
    <row r="9" spans="1:8">
      <c r="A9" s="21">
        <v>1995</v>
      </c>
      <c r="B9" s="37">
        <v>30465</v>
      </c>
      <c r="C9" s="37">
        <v>14040</v>
      </c>
      <c r="D9" s="37">
        <v>0</v>
      </c>
      <c r="E9" s="37">
        <v>0</v>
      </c>
      <c r="F9" s="37">
        <v>0</v>
      </c>
      <c r="G9" s="37">
        <v>0</v>
      </c>
      <c r="H9" s="37">
        <v>0</v>
      </c>
    </row>
    <row r="10" spans="1:8">
      <c r="A10" s="21">
        <v>1996</v>
      </c>
      <c r="B10" s="37">
        <v>30563</v>
      </c>
      <c r="C10" s="37">
        <v>14756</v>
      </c>
      <c r="D10" s="37">
        <v>0</v>
      </c>
      <c r="E10" s="37">
        <v>0</v>
      </c>
      <c r="F10" s="37">
        <v>0</v>
      </c>
      <c r="G10" s="37">
        <v>0</v>
      </c>
      <c r="H10" s="37">
        <v>0</v>
      </c>
    </row>
    <row r="11" spans="1:8">
      <c r="A11" s="21">
        <v>1997</v>
      </c>
      <c r="B11" s="37">
        <v>31249</v>
      </c>
      <c r="C11" s="37">
        <v>15994</v>
      </c>
      <c r="D11" s="37">
        <v>0</v>
      </c>
      <c r="E11" s="37">
        <v>0</v>
      </c>
      <c r="F11" s="37">
        <v>0</v>
      </c>
      <c r="G11" s="37">
        <v>0</v>
      </c>
      <c r="H11" s="37">
        <v>0</v>
      </c>
    </row>
    <row r="12" spans="1:8">
      <c r="A12" s="21">
        <v>1998</v>
      </c>
      <c r="B12" s="37">
        <v>32202</v>
      </c>
      <c r="C12" s="37">
        <v>18174</v>
      </c>
      <c r="D12" s="37">
        <v>0</v>
      </c>
      <c r="E12" s="37">
        <v>0</v>
      </c>
      <c r="F12" s="37">
        <v>0</v>
      </c>
      <c r="G12" s="37">
        <v>0</v>
      </c>
      <c r="H12" s="37">
        <v>0</v>
      </c>
    </row>
    <row r="13" spans="1:8">
      <c r="A13" s="21">
        <v>1999</v>
      </c>
      <c r="B13" s="37">
        <v>32731</v>
      </c>
      <c r="C13" s="37">
        <v>20062</v>
      </c>
      <c r="D13" s="37">
        <v>0</v>
      </c>
      <c r="E13" s="37">
        <v>0</v>
      </c>
      <c r="F13" s="37">
        <v>0</v>
      </c>
      <c r="G13" s="37">
        <v>0</v>
      </c>
      <c r="H13" s="37">
        <v>0</v>
      </c>
    </row>
    <row r="14" spans="1:8">
      <c r="A14" s="21">
        <v>2000</v>
      </c>
      <c r="B14" s="37">
        <v>32554</v>
      </c>
      <c r="C14" s="37">
        <v>20946</v>
      </c>
      <c r="D14" s="37">
        <v>0</v>
      </c>
      <c r="E14" s="37">
        <v>0</v>
      </c>
      <c r="F14" s="37">
        <v>0</v>
      </c>
      <c r="G14" s="37">
        <v>0</v>
      </c>
      <c r="H14" s="37">
        <v>0</v>
      </c>
    </row>
    <row r="15" spans="1:8">
      <c r="A15" s="21">
        <v>2001</v>
      </c>
      <c r="B15" s="37">
        <v>32771</v>
      </c>
      <c r="C15" s="37">
        <v>22609</v>
      </c>
      <c r="D15" s="37">
        <v>0</v>
      </c>
      <c r="E15" s="37">
        <v>0</v>
      </c>
      <c r="F15" s="37">
        <v>0</v>
      </c>
      <c r="G15" s="37">
        <v>0</v>
      </c>
      <c r="H15" s="37">
        <v>0</v>
      </c>
    </row>
    <row r="16" spans="1:8">
      <c r="A16" s="21">
        <v>2002</v>
      </c>
      <c r="B16" s="37">
        <v>32408</v>
      </c>
      <c r="C16" s="37">
        <v>23609</v>
      </c>
      <c r="D16" s="37">
        <v>0</v>
      </c>
      <c r="E16" s="37">
        <v>0</v>
      </c>
      <c r="F16" s="37">
        <v>0</v>
      </c>
      <c r="G16" s="37">
        <v>0</v>
      </c>
      <c r="H16" s="37">
        <v>0</v>
      </c>
    </row>
    <row r="17" spans="1:8">
      <c r="A17" s="21">
        <v>2003</v>
      </c>
      <c r="B17" s="37">
        <v>33008</v>
      </c>
      <c r="C17" s="37">
        <v>23803</v>
      </c>
      <c r="D17" s="37">
        <v>0</v>
      </c>
      <c r="E17" s="37">
        <v>0</v>
      </c>
      <c r="F17" s="37">
        <v>0</v>
      </c>
      <c r="G17" s="37">
        <v>0</v>
      </c>
      <c r="H17" s="37">
        <v>0</v>
      </c>
    </row>
    <row r="18" spans="1:8">
      <c r="A18" s="21">
        <v>2004</v>
      </c>
      <c r="B18" s="37">
        <v>33427</v>
      </c>
      <c r="C18" s="37">
        <v>24149</v>
      </c>
      <c r="D18" s="37">
        <v>0</v>
      </c>
      <c r="E18" s="37">
        <v>0</v>
      </c>
      <c r="F18" s="37">
        <v>0</v>
      </c>
      <c r="G18" s="37">
        <v>0</v>
      </c>
      <c r="H18" s="37">
        <v>0</v>
      </c>
    </row>
    <row r="19" spans="1:8">
      <c r="A19" s="21">
        <v>2005</v>
      </c>
      <c r="B19" s="37">
        <v>32920</v>
      </c>
      <c r="C19" s="37">
        <v>24487</v>
      </c>
      <c r="D19" s="37">
        <v>0</v>
      </c>
      <c r="E19" s="37">
        <v>0</v>
      </c>
      <c r="F19" s="37">
        <v>0</v>
      </c>
      <c r="G19" s="37">
        <v>0</v>
      </c>
      <c r="H19" s="37">
        <v>0</v>
      </c>
    </row>
    <row r="20" spans="1:8">
      <c r="A20" s="21">
        <v>2006</v>
      </c>
      <c r="B20" s="37">
        <v>32679</v>
      </c>
      <c r="C20" s="37">
        <v>23305</v>
      </c>
      <c r="D20" s="37">
        <v>0</v>
      </c>
      <c r="E20" s="37">
        <v>0</v>
      </c>
      <c r="F20" s="37">
        <v>0</v>
      </c>
      <c r="G20" s="37">
        <v>0</v>
      </c>
      <c r="H20" s="37">
        <v>0</v>
      </c>
    </row>
    <row r="21" spans="1:8">
      <c r="A21" s="21">
        <v>2007</v>
      </c>
      <c r="B21" s="37">
        <v>32964</v>
      </c>
      <c r="C21" s="37">
        <v>23840</v>
      </c>
      <c r="D21" s="37">
        <v>0</v>
      </c>
      <c r="E21" s="37">
        <v>0</v>
      </c>
      <c r="F21" s="37">
        <v>0</v>
      </c>
      <c r="G21" s="37">
        <v>0</v>
      </c>
      <c r="H21" s="37">
        <v>0</v>
      </c>
    </row>
    <row r="22" spans="1:8">
      <c r="A22" s="21">
        <v>2008</v>
      </c>
      <c r="B22" s="37">
        <v>32992</v>
      </c>
      <c r="C22" s="37">
        <v>27052</v>
      </c>
      <c r="D22" s="37">
        <v>0</v>
      </c>
      <c r="E22" s="37">
        <v>0</v>
      </c>
      <c r="F22" s="37">
        <v>0</v>
      </c>
      <c r="G22" s="37">
        <v>0</v>
      </c>
      <c r="H22" s="37">
        <v>0</v>
      </c>
    </row>
    <row r="23" spans="1:8">
      <c r="A23" s="21">
        <v>2009</v>
      </c>
      <c r="B23" s="37">
        <v>32955</v>
      </c>
      <c r="C23" s="37">
        <v>29045</v>
      </c>
      <c r="D23" s="37">
        <v>0</v>
      </c>
      <c r="E23" s="37">
        <v>0</v>
      </c>
      <c r="F23" s="37">
        <v>0</v>
      </c>
      <c r="G23" s="37">
        <v>0</v>
      </c>
      <c r="H23" s="37">
        <v>0</v>
      </c>
    </row>
    <row r="24" spans="1:8">
      <c r="A24" s="21">
        <v>2010</v>
      </c>
      <c r="B24" s="37">
        <v>32947</v>
      </c>
      <c r="C24" s="37">
        <v>31739</v>
      </c>
      <c r="D24" s="37">
        <v>0</v>
      </c>
      <c r="E24" s="37">
        <v>0</v>
      </c>
      <c r="F24" s="37">
        <v>0</v>
      </c>
      <c r="G24" s="37">
        <v>0</v>
      </c>
      <c r="H24" s="37">
        <v>0</v>
      </c>
    </row>
    <row r="25" spans="1:8">
      <c r="A25" s="21">
        <v>2011</v>
      </c>
      <c r="B25" s="37">
        <v>32980</v>
      </c>
      <c r="C25" s="37">
        <v>32734</v>
      </c>
      <c r="D25" s="37">
        <v>0</v>
      </c>
      <c r="E25" s="37">
        <v>0</v>
      </c>
      <c r="F25" s="37">
        <v>0</v>
      </c>
      <c r="G25" s="37">
        <v>0</v>
      </c>
      <c r="H25" s="37">
        <v>0</v>
      </c>
    </row>
    <row r="26" spans="1:8">
      <c r="A26" s="21">
        <v>2012</v>
      </c>
      <c r="B26" s="37">
        <v>34409</v>
      </c>
      <c r="C26" s="37">
        <v>31810</v>
      </c>
      <c r="D26" s="37">
        <v>0</v>
      </c>
      <c r="E26" s="37">
        <v>0</v>
      </c>
      <c r="F26" s="37">
        <v>0</v>
      </c>
      <c r="G26" s="37">
        <v>0</v>
      </c>
      <c r="H26" s="37">
        <v>0</v>
      </c>
    </row>
    <row r="27" spans="1:8">
      <c r="A27" s="21">
        <v>2013</v>
      </c>
      <c r="B27" s="37">
        <v>31123</v>
      </c>
      <c r="C27" s="37">
        <v>30880</v>
      </c>
      <c r="D27" s="37">
        <v>0</v>
      </c>
      <c r="E27" s="37">
        <v>0</v>
      </c>
      <c r="F27" s="37">
        <v>0</v>
      </c>
      <c r="G27" s="37">
        <v>0</v>
      </c>
      <c r="H27" s="37">
        <v>0</v>
      </c>
    </row>
    <row r="28" spans="1:8">
      <c r="A28" s="21">
        <v>2014</v>
      </c>
      <c r="B28" s="37">
        <v>30484</v>
      </c>
      <c r="C28" s="37">
        <v>31589</v>
      </c>
      <c r="D28" s="37">
        <v>0</v>
      </c>
      <c r="E28" s="37">
        <v>0</v>
      </c>
      <c r="F28" s="37">
        <v>0</v>
      </c>
      <c r="G28" s="37">
        <v>0</v>
      </c>
      <c r="H28" s="37">
        <v>0</v>
      </c>
    </row>
    <row r="29" spans="1:8">
      <c r="A29" s="21">
        <v>2015</v>
      </c>
      <c r="B29" s="37">
        <v>33469</v>
      </c>
      <c r="C29" s="37">
        <v>33565</v>
      </c>
      <c r="D29" s="37">
        <v>0</v>
      </c>
      <c r="E29" s="37">
        <v>0</v>
      </c>
      <c r="F29" s="37">
        <v>0</v>
      </c>
      <c r="G29" s="37">
        <v>0</v>
      </c>
      <c r="H29" s="37">
        <v>0</v>
      </c>
    </row>
    <row r="30" spans="1:8">
      <c r="A30" s="21">
        <v>2016</v>
      </c>
      <c r="B30" s="37">
        <v>34240</v>
      </c>
      <c r="C30" s="37">
        <v>35126</v>
      </c>
      <c r="D30" s="37">
        <v>0</v>
      </c>
      <c r="E30" s="37">
        <v>0</v>
      </c>
      <c r="F30" s="37">
        <v>0</v>
      </c>
      <c r="G30" s="37">
        <v>0</v>
      </c>
      <c r="H30" s="37">
        <v>0</v>
      </c>
    </row>
    <row r="31" spans="1:8">
      <c r="A31" s="21">
        <v>2017</v>
      </c>
      <c r="B31" s="37">
        <v>34334</v>
      </c>
      <c r="C31" s="37">
        <v>37785</v>
      </c>
      <c r="D31" s="37">
        <v>0</v>
      </c>
      <c r="E31" s="37">
        <v>0</v>
      </c>
      <c r="F31" s="37">
        <v>0</v>
      </c>
      <c r="G31" s="37">
        <v>0</v>
      </c>
      <c r="H31" s="37">
        <v>0</v>
      </c>
    </row>
    <row r="32" spans="1:8">
      <c r="A32" s="21">
        <v>2018</v>
      </c>
      <c r="B32" s="37">
        <v>34499</v>
      </c>
      <c r="C32" s="37">
        <v>39931</v>
      </c>
      <c r="D32" s="37">
        <v>0</v>
      </c>
      <c r="E32" s="37">
        <v>0</v>
      </c>
      <c r="F32" s="37">
        <v>0</v>
      </c>
      <c r="G32" s="37">
        <v>0</v>
      </c>
      <c r="H32" s="37">
        <v>0</v>
      </c>
    </row>
    <row r="33" spans="1:8">
      <c r="A33" s="21">
        <v>2019</v>
      </c>
      <c r="B33" s="37">
        <v>34318</v>
      </c>
      <c r="C33" s="37">
        <v>40278</v>
      </c>
      <c r="D33" s="37">
        <v>1300</v>
      </c>
      <c r="E33" s="37">
        <v>0</v>
      </c>
      <c r="F33" s="37">
        <v>0</v>
      </c>
      <c r="G33" s="37">
        <v>0</v>
      </c>
      <c r="H33" s="37">
        <v>150</v>
      </c>
    </row>
    <row r="34" spans="1:8">
      <c r="A34" s="21">
        <v>2020</v>
      </c>
      <c r="B34" s="37">
        <v>36461</v>
      </c>
      <c r="C34" s="37">
        <v>39438</v>
      </c>
      <c r="D34" s="37">
        <v>1342</v>
      </c>
      <c r="E34" s="37">
        <v>0</v>
      </c>
      <c r="F34" s="37">
        <v>0</v>
      </c>
      <c r="G34" s="37">
        <v>0</v>
      </c>
      <c r="H34" s="37">
        <v>156</v>
      </c>
    </row>
    <row r="35" spans="1:8">
      <c r="A35" s="21">
        <v>2021</v>
      </c>
      <c r="B35" s="37">
        <v>35615</v>
      </c>
      <c r="C35" s="37">
        <v>39715</v>
      </c>
      <c r="D35" s="37">
        <v>1384</v>
      </c>
      <c r="E35" s="37">
        <v>0</v>
      </c>
      <c r="F35" s="37">
        <v>0</v>
      </c>
      <c r="G35" s="37">
        <v>0</v>
      </c>
      <c r="H35" s="37">
        <v>163</v>
      </c>
    </row>
    <row r="36" spans="1:8">
      <c r="A36" s="21">
        <v>2022</v>
      </c>
      <c r="B36" s="37">
        <v>34737</v>
      </c>
      <c r="C36" s="37">
        <v>41504</v>
      </c>
      <c r="D36" s="37">
        <v>1426</v>
      </c>
      <c r="E36" s="37">
        <v>0</v>
      </c>
      <c r="F36" s="37">
        <v>0</v>
      </c>
      <c r="G36" s="37">
        <v>0</v>
      </c>
      <c r="H36" s="37">
        <v>169</v>
      </c>
    </row>
    <row r="37" spans="1:8">
      <c r="A37" s="21">
        <v>2023</v>
      </c>
      <c r="B37" s="37">
        <v>36377</v>
      </c>
      <c r="C37" s="37">
        <v>43105</v>
      </c>
      <c r="D37" s="37">
        <v>1468</v>
      </c>
      <c r="E37" s="37">
        <v>0</v>
      </c>
      <c r="F37" s="37">
        <v>0</v>
      </c>
      <c r="G37" s="37">
        <v>0</v>
      </c>
      <c r="H37" s="37">
        <v>176</v>
      </c>
    </row>
    <row r="38" spans="1:8">
      <c r="A38" s="21">
        <v>2024</v>
      </c>
      <c r="B38" s="37">
        <v>36921</v>
      </c>
      <c r="C38" s="37">
        <v>44720</v>
      </c>
      <c r="D38" s="37">
        <v>1510</v>
      </c>
      <c r="E38" s="37">
        <v>0</v>
      </c>
      <c r="F38" s="37">
        <v>0</v>
      </c>
      <c r="G38" s="37">
        <v>0</v>
      </c>
      <c r="H38" s="37">
        <v>182</v>
      </c>
    </row>
    <row r="39" spans="1:8">
      <c r="A39" s="21">
        <v>2025</v>
      </c>
      <c r="B39" s="37">
        <v>37477</v>
      </c>
      <c r="C39" s="37">
        <v>46420</v>
      </c>
      <c r="D39" s="37">
        <v>1552</v>
      </c>
      <c r="E39" s="37">
        <v>0</v>
      </c>
      <c r="F39" s="37">
        <v>0</v>
      </c>
      <c r="G39" s="37">
        <v>0</v>
      </c>
      <c r="H39" s="37">
        <v>189</v>
      </c>
    </row>
    <row r="40" spans="1:8">
      <c r="A40" s="21">
        <v>2026</v>
      </c>
      <c r="B40" s="37">
        <v>37514</v>
      </c>
      <c r="C40" s="37">
        <v>47173</v>
      </c>
      <c r="D40" s="37">
        <v>1594</v>
      </c>
      <c r="E40" s="37">
        <v>0</v>
      </c>
      <c r="F40" s="37">
        <v>570</v>
      </c>
      <c r="G40" s="37">
        <v>30</v>
      </c>
      <c r="H40" s="37">
        <v>195</v>
      </c>
    </row>
    <row r="41" spans="1:8">
      <c r="A41" s="21">
        <v>2027</v>
      </c>
      <c r="B41" s="37">
        <v>37551</v>
      </c>
      <c r="C41" s="37">
        <v>48078</v>
      </c>
      <c r="D41" s="37">
        <v>1635</v>
      </c>
      <c r="E41" s="37">
        <v>0</v>
      </c>
      <c r="F41" s="37">
        <v>725</v>
      </c>
      <c r="G41" s="37">
        <v>38</v>
      </c>
      <c r="H41" s="37">
        <v>202</v>
      </c>
    </row>
    <row r="42" spans="1:8">
      <c r="A42" s="21">
        <v>2028</v>
      </c>
      <c r="B42" s="37">
        <v>37588</v>
      </c>
      <c r="C42" s="37">
        <v>48855</v>
      </c>
      <c r="D42" s="37">
        <v>1677</v>
      </c>
      <c r="E42" s="37">
        <v>0</v>
      </c>
      <c r="F42" s="37">
        <v>879</v>
      </c>
      <c r="G42" s="37">
        <v>46</v>
      </c>
      <c r="H42" s="37">
        <v>208</v>
      </c>
    </row>
    <row r="43" spans="1:8">
      <c r="A43" s="21">
        <v>2029</v>
      </c>
      <c r="B43" s="37">
        <v>37625</v>
      </c>
      <c r="C43" s="37">
        <v>48850</v>
      </c>
      <c r="D43" s="37">
        <v>1719</v>
      </c>
      <c r="E43" s="37">
        <v>650</v>
      </c>
      <c r="F43" s="37">
        <v>1034</v>
      </c>
      <c r="G43" s="37">
        <v>54</v>
      </c>
      <c r="H43" s="37">
        <v>215</v>
      </c>
    </row>
    <row r="44" spans="1:8">
      <c r="A44" s="21">
        <v>2030</v>
      </c>
      <c r="B44" s="37">
        <v>37662</v>
      </c>
      <c r="C44" s="37">
        <v>49762</v>
      </c>
      <c r="D44" s="37">
        <v>1761</v>
      </c>
      <c r="E44" s="37">
        <v>762</v>
      </c>
      <c r="F44" s="37">
        <v>1187</v>
      </c>
      <c r="G44" s="37">
        <v>63</v>
      </c>
      <c r="H44" s="37">
        <v>221</v>
      </c>
    </row>
    <row r="45" spans="1:8">
      <c r="A45" s="21">
        <v>2031</v>
      </c>
      <c r="B45" s="37">
        <v>37699</v>
      </c>
      <c r="C45" s="37">
        <v>50673</v>
      </c>
      <c r="D45" s="37">
        <v>1803</v>
      </c>
      <c r="E45" s="37">
        <v>874</v>
      </c>
      <c r="F45" s="37">
        <v>1342</v>
      </c>
      <c r="G45" s="37">
        <v>71</v>
      </c>
      <c r="H45" s="37">
        <v>227</v>
      </c>
    </row>
    <row r="46" spans="1:8">
      <c r="A46" s="21">
        <v>2032</v>
      </c>
      <c r="B46" s="37">
        <v>37736</v>
      </c>
      <c r="C46" s="37">
        <v>51583</v>
      </c>
      <c r="D46" s="37">
        <v>1845</v>
      </c>
      <c r="E46" s="37">
        <v>986</v>
      </c>
      <c r="F46" s="37">
        <v>1496</v>
      </c>
      <c r="G46" s="37">
        <v>79</v>
      </c>
      <c r="H46" s="37">
        <v>234</v>
      </c>
    </row>
    <row r="47" spans="1:8">
      <c r="A47" s="21">
        <v>2033</v>
      </c>
      <c r="B47" s="37">
        <v>37773</v>
      </c>
      <c r="C47" s="37">
        <v>52494</v>
      </c>
      <c r="D47" s="37">
        <v>1887</v>
      </c>
      <c r="E47" s="37">
        <v>1098</v>
      </c>
      <c r="F47" s="37">
        <v>1651</v>
      </c>
      <c r="G47" s="37">
        <v>87</v>
      </c>
      <c r="H47" s="37">
        <v>240</v>
      </c>
    </row>
    <row r="48" spans="1:8">
      <c r="A48" s="21">
        <v>2034</v>
      </c>
      <c r="B48" s="37">
        <v>37810</v>
      </c>
      <c r="C48" s="37">
        <v>53405</v>
      </c>
      <c r="D48" s="37">
        <v>1929</v>
      </c>
      <c r="E48" s="37">
        <v>1210</v>
      </c>
      <c r="F48" s="37">
        <v>1805</v>
      </c>
      <c r="G48" s="37">
        <v>95</v>
      </c>
      <c r="H48" s="37">
        <v>247</v>
      </c>
    </row>
    <row r="49" spans="1:8">
      <c r="A49" s="21">
        <v>2035</v>
      </c>
      <c r="B49" s="37">
        <v>37847</v>
      </c>
      <c r="C49" s="37">
        <v>54317</v>
      </c>
      <c r="D49" s="37">
        <v>1971</v>
      </c>
      <c r="E49" s="37">
        <v>1321</v>
      </c>
      <c r="F49" s="37">
        <v>1960</v>
      </c>
      <c r="G49" s="37">
        <v>103</v>
      </c>
      <c r="H49" s="37">
        <v>253</v>
      </c>
    </row>
    <row r="50" spans="1:8">
      <c r="A50" s="21">
        <v>2036</v>
      </c>
      <c r="B50" s="37">
        <v>37884</v>
      </c>
      <c r="C50" s="37">
        <v>55227</v>
      </c>
      <c r="D50" s="37">
        <v>2013</v>
      </c>
      <c r="E50" s="37">
        <v>1433</v>
      </c>
      <c r="F50" s="37">
        <v>2114</v>
      </c>
      <c r="G50" s="37">
        <v>111</v>
      </c>
      <c r="H50" s="37">
        <v>260</v>
      </c>
    </row>
    <row r="51" spans="1:8">
      <c r="A51" s="21">
        <v>2037</v>
      </c>
      <c r="B51" s="37">
        <v>37921</v>
      </c>
      <c r="C51" s="37">
        <v>56138</v>
      </c>
      <c r="D51" s="37">
        <v>2055</v>
      </c>
      <c r="E51" s="37">
        <v>1545</v>
      </c>
      <c r="F51" s="37">
        <v>2269</v>
      </c>
      <c r="G51" s="37">
        <v>119</v>
      </c>
      <c r="H51" s="37">
        <v>266</v>
      </c>
    </row>
    <row r="52" spans="1:8">
      <c r="A52" s="21">
        <v>2038</v>
      </c>
      <c r="B52" s="37">
        <v>37958</v>
      </c>
      <c r="C52" s="37">
        <v>57049</v>
      </c>
      <c r="D52" s="37">
        <v>2097</v>
      </c>
      <c r="E52" s="37">
        <v>1657</v>
      </c>
      <c r="F52" s="37">
        <v>2422</v>
      </c>
      <c r="G52" s="37">
        <v>128</v>
      </c>
      <c r="H52" s="37">
        <v>273</v>
      </c>
    </row>
    <row r="53" spans="1:8">
      <c r="A53" s="21">
        <v>2039</v>
      </c>
      <c r="B53" s="37">
        <v>37995</v>
      </c>
      <c r="C53" s="37">
        <v>57960</v>
      </c>
      <c r="D53" s="37">
        <v>2139</v>
      </c>
      <c r="E53" s="37">
        <v>1769</v>
      </c>
      <c r="F53" s="37">
        <v>2577</v>
      </c>
      <c r="G53" s="37">
        <v>136</v>
      </c>
      <c r="H53" s="37">
        <v>279</v>
      </c>
    </row>
    <row r="54" spans="1:8">
      <c r="A54" s="21">
        <v>2040</v>
      </c>
      <c r="B54" s="37">
        <v>38032</v>
      </c>
      <c r="C54" s="37">
        <v>58871</v>
      </c>
      <c r="D54" s="37">
        <v>2181</v>
      </c>
      <c r="E54" s="37">
        <v>1881</v>
      </c>
      <c r="F54" s="37">
        <v>2731</v>
      </c>
      <c r="G54" s="37">
        <v>144</v>
      </c>
      <c r="H54" s="37">
        <v>285</v>
      </c>
    </row>
    <row r="55" spans="1:8">
      <c r="A55" s="21">
        <v>2041</v>
      </c>
      <c r="B55" s="37">
        <v>38069</v>
      </c>
      <c r="C55" s="37">
        <v>59781</v>
      </c>
      <c r="D55" s="37">
        <v>2223</v>
      </c>
      <c r="E55" s="37">
        <v>1993</v>
      </c>
      <c r="F55" s="37">
        <v>2886</v>
      </c>
      <c r="G55" s="37">
        <v>152</v>
      </c>
      <c r="H55" s="37">
        <v>292</v>
      </c>
    </row>
    <row r="56" spans="1:8">
      <c r="A56" s="21">
        <v>2042</v>
      </c>
      <c r="B56" s="37">
        <v>38106</v>
      </c>
      <c r="C56" s="37">
        <v>60693</v>
      </c>
      <c r="D56" s="37">
        <v>2265</v>
      </c>
      <c r="E56" s="37">
        <v>2105</v>
      </c>
      <c r="F56" s="37">
        <v>3040</v>
      </c>
      <c r="G56" s="37">
        <v>160</v>
      </c>
      <c r="H56" s="37">
        <v>298</v>
      </c>
    </row>
    <row r="57" spans="1:8">
      <c r="A57" s="21">
        <v>2043</v>
      </c>
      <c r="B57" s="37">
        <v>38143</v>
      </c>
      <c r="C57" s="37">
        <v>61604</v>
      </c>
      <c r="D57" s="37">
        <v>2306</v>
      </c>
      <c r="E57" s="37">
        <v>2217</v>
      </c>
      <c r="F57" s="37">
        <v>3195</v>
      </c>
      <c r="G57" s="37">
        <v>168</v>
      </c>
      <c r="H57" s="37">
        <v>305</v>
      </c>
    </row>
    <row r="58" spans="1:8">
      <c r="A58" s="21">
        <v>2044</v>
      </c>
      <c r="B58" s="37">
        <v>38524</v>
      </c>
      <c r="C58" s="37">
        <v>62515</v>
      </c>
      <c r="D58" s="37">
        <v>2348</v>
      </c>
      <c r="E58" s="37">
        <v>2329</v>
      </c>
      <c r="F58" s="37">
        <v>3349</v>
      </c>
      <c r="G58" s="37">
        <v>176</v>
      </c>
      <c r="H58" s="37">
        <v>311</v>
      </c>
    </row>
    <row r="59" spans="1:8">
      <c r="A59" s="21">
        <v>2045</v>
      </c>
      <c r="B59" s="37">
        <v>38910</v>
      </c>
      <c r="C59" s="37">
        <v>63426</v>
      </c>
      <c r="D59" s="37">
        <v>2390</v>
      </c>
      <c r="E59" s="37">
        <v>2440</v>
      </c>
      <c r="F59" s="37">
        <v>3504</v>
      </c>
      <c r="G59" s="37">
        <v>184</v>
      </c>
      <c r="H59" s="37">
        <v>318</v>
      </c>
    </row>
    <row r="60" spans="1:8">
      <c r="A60" s="21">
        <v>2046</v>
      </c>
      <c r="B60" s="37">
        <v>39299</v>
      </c>
      <c r="C60" s="37">
        <v>64338</v>
      </c>
      <c r="D60" s="37">
        <v>2432</v>
      </c>
      <c r="E60" s="37">
        <v>2552</v>
      </c>
      <c r="F60" s="37">
        <v>3657</v>
      </c>
      <c r="G60" s="37">
        <v>193</v>
      </c>
      <c r="H60" s="37">
        <v>324</v>
      </c>
    </row>
    <row r="61" spans="1:8">
      <c r="A61" s="21">
        <v>2047</v>
      </c>
      <c r="B61" s="37">
        <v>39303</v>
      </c>
      <c r="C61" s="37">
        <v>65248</v>
      </c>
      <c r="D61" s="37">
        <v>2474</v>
      </c>
      <c r="E61" s="37">
        <v>2664</v>
      </c>
      <c r="F61" s="37">
        <v>3812</v>
      </c>
      <c r="G61" s="37">
        <v>201</v>
      </c>
      <c r="H61" s="37">
        <v>331</v>
      </c>
    </row>
    <row r="62" spans="1:8">
      <c r="A62" s="21">
        <v>2048</v>
      </c>
      <c r="B62" s="37">
        <v>39307</v>
      </c>
      <c r="C62" s="37">
        <v>66159</v>
      </c>
      <c r="D62" s="37">
        <v>2516</v>
      </c>
      <c r="E62" s="37">
        <v>2776</v>
      </c>
      <c r="F62" s="37">
        <v>3966</v>
      </c>
      <c r="G62" s="37">
        <v>209</v>
      </c>
      <c r="H62" s="37">
        <v>337</v>
      </c>
    </row>
    <row r="63" spans="1:8">
      <c r="A63" s="21">
        <v>2049</v>
      </c>
      <c r="B63" s="37">
        <v>39311</v>
      </c>
      <c r="C63" s="37">
        <v>67069</v>
      </c>
      <c r="D63" s="37">
        <v>2558</v>
      </c>
      <c r="E63" s="37">
        <v>2888</v>
      </c>
      <c r="F63" s="37">
        <v>4121</v>
      </c>
      <c r="G63" s="37">
        <v>217</v>
      </c>
      <c r="H63" s="37">
        <v>344</v>
      </c>
    </row>
    <row r="64" spans="1:8">
      <c r="A64" s="21">
        <v>2050</v>
      </c>
      <c r="B64" s="37">
        <v>39315</v>
      </c>
      <c r="C64" s="37">
        <v>67981</v>
      </c>
      <c r="D64" s="37">
        <v>2600</v>
      </c>
      <c r="E64" s="37">
        <v>3000</v>
      </c>
      <c r="F64" s="37">
        <v>4275</v>
      </c>
      <c r="G64" s="37">
        <v>225</v>
      </c>
      <c r="H64" s="37">
        <v>350</v>
      </c>
    </row>
    <row r="65" spans="1:8">
      <c r="A65" s="21">
        <v>2051</v>
      </c>
      <c r="B65" s="37">
        <v>39315</v>
      </c>
      <c r="C65" s="37">
        <v>67981</v>
      </c>
      <c r="D65" s="37">
        <v>2600</v>
      </c>
      <c r="E65" s="37">
        <v>3000</v>
      </c>
      <c r="F65" s="37">
        <v>4275</v>
      </c>
      <c r="G65" s="37">
        <v>225</v>
      </c>
      <c r="H65" s="37">
        <v>350</v>
      </c>
    </row>
    <row r="66" spans="1:8">
      <c r="A66" s="21">
        <v>2052</v>
      </c>
      <c r="B66" s="37">
        <v>39315</v>
      </c>
      <c r="C66" s="37">
        <v>67981</v>
      </c>
      <c r="D66" s="37">
        <v>2600</v>
      </c>
      <c r="E66" s="37">
        <v>3000</v>
      </c>
      <c r="F66" s="37">
        <v>4275</v>
      </c>
      <c r="G66" s="37">
        <v>225</v>
      </c>
      <c r="H66" s="37">
        <v>350</v>
      </c>
    </row>
    <row r="67" spans="1:8">
      <c r="A67" s="21">
        <v>2053</v>
      </c>
      <c r="B67" s="37">
        <v>39315</v>
      </c>
      <c r="C67" s="37">
        <v>67981</v>
      </c>
      <c r="D67" s="37">
        <v>2600</v>
      </c>
      <c r="E67" s="37">
        <v>3000</v>
      </c>
      <c r="F67" s="37">
        <v>4275</v>
      </c>
      <c r="G67" s="37">
        <v>225</v>
      </c>
      <c r="H67" s="37">
        <v>350</v>
      </c>
    </row>
    <row r="68" spans="1:8">
      <c r="A68" s="21">
        <v>2054</v>
      </c>
      <c r="B68" s="37">
        <v>39315</v>
      </c>
      <c r="C68" s="37">
        <v>67981</v>
      </c>
      <c r="D68" s="37">
        <v>2600</v>
      </c>
      <c r="E68" s="37">
        <v>3000</v>
      </c>
      <c r="F68" s="37">
        <v>4275</v>
      </c>
      <c r="G68" s="37">
        <v>225</v>
      </c>
      <c r="H68" s="37">
        <v>350</v>
      </c>
    </row>
    <row r="69" spans="1:8">
      <c r="A69" s="21">
        <v>2055</v>
      </c>
      <c r="B69" s="37">
        <v>39315</v>
      </c>
      <c r="C69" s="37">
        <v>67981</v>
      </c>
      <c r="D69" s="37">
        <v>2600</v>
      </c>
      <c r="E69" s="37">
        <v>3000</v>
      </c>
      <c r="F69" s="37">
        <v>4275</v>
      </c>
      <c r="G69" s="37">
        <v>225</v>
      </c>
      <c r="H69" s="37">
        <v>350</v>
      </c>
    </row>
    <row r="70" spans="1:8">
      <c r="A70" s="21">
        <v>2056</v>
      </c>
      <c r="B70" s="37">
        <v>39315</v>
      </c>
      <c r="C70" s="37">
        <v>67981</v>
      </c>
      <c r="D70" s="37">
        <v>2600</v>
      </c>
      <c r="E70" s="37">
        <v>3000</v>
      </c>
      <c r="F70" s="37">
        <v>4275</v>
      </c>
      <c r="G70" s="37">
        <v>225</v>
      </c>
      <c r="H70" s="37">
        <v>350</v>
      </c>
    </row>
    <row r="71" spans="1:8">
      <c r="A71" s="21">
        <v>2057</v>
      </c>
      <c r="B71" s="37">
        <v>39315</v>
      </c>
      <c r="C71" s="37">
        <v>67981</v>
      </c>
      <c r="D71" s="37">
        <v>2600</v>
      </c>
      <c r="E71" s="37">
        <v>3000</v>
      </c>
      <c r="F71" s="37">
        <v>4275</v>
      </c>
      <c r="G71" s="37">
        <v>225</v>
      </c>
      <c r="H71" s="37">
        <v>350</v>
      </c>
    </row>
    <row r="72" spans="1:8">
      <c r="A72" s="21">
        <v>2058</v>
      </c>
      <c r="B72" s="37">
        <v>39315</v>
      </c>
      <c r="C72" s="37">
        <v>67981</v>
      </c>
      <c r="D72" s="37">
        <v>2600</v>
      </c>
      <c r="E72" s="37">
        <v>3000</v>
      </c>
      <c r="F72" s="37">
        <v>4275</v>
      </c>
      <c r="G72" s="37">
        <v>225</v>
      </c>
      <c r="H72" s="37">
        <v>350</v>
      </c>
    </row>
    <row r="73" spans="1:8">
      <c r="A73" s="21">
        <v>2059</v>
      </c>
      <c r="B73" s="37">
        <v>39315</v>
      </c>
      <c r="C73" s="37">
        <v>67981</v>
      </c>
      <c r="D73" s="37">
        <v>2600</v>
      </c>
      <c r="E73" s="37">
        <v>3000</v>
      </c>
      <c r="F73" s="37">
        <v>4275</v>
      </c>
      <c r="G73" s="37">
        <v>225</v>
      </c>
      <c r="H73" s="37">
        <v>350</v>
      </c>
    </row>
    <row r="74" spans="1:8">
      <c r="A74" s="21">
        <v>2060</v>
      </c>
      <c r="B74" s="37">
        <v>39315</v>
      </c>
      <c r="C74" s="37">
        <v>67981</v>
      </c>
      <c r="D74" s="37">
        <v>2600</v>
      </c>
      <c r="E74" s="37">
        <v>3000</v>
      </c>
      <c r="F74" s="37">
        <v>4275</v>
      </c>
      <c r="G74" s="37">
        <v>225</v>
      </c>
      <c r="H74" s="37">
        <v>350</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Export_ControlTot</vt:lpstr>
      <vt:lpstr>Export_Factors</vt:lpstr>
      <vt:lpstr>Campus Enrol Disaggregation</vt:lpstr>
      <vt:lpstr>College Enrollment Projections</vt:lpstr>
      <vt:lpstr>GPI College-Age Population</vt:lpstr>
      <vt:lpstr>FTE Rate Calcs</vt:lpstr>
      <vt:lpstr>HBC Rates</vt:lpstr>
      <vt:lpstr>FTE</vt:lpstr>
      <vt:lpstr>calc%concurrent</vt:lpstr>
      <vt:lpstr>USHE Projections</vt:lpstr>
      <vt:lpstr>USHE Historic</vt:lpstr>
      <vt:lpstr>BYU - Data USA Cart</vt:lpstr>
      <vt:lpstr>Westminster</vt:lpstr>
      <vt:lpstr>Ensign</vt:lpstr>
      <vt:lpstr>Historic (IPEDS &amp; 2019 RTP)</vt:lpstr>
      <vt:lpstr>USHE 2020 Campus Totals</vt:lpstr>
      <vt:lpstr>MAG College Enrollment 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Hereth</dc:creator>
  <cp:lastModifiedBy>Pukar Bhandari</cp:lastModifiedBy>
  <dcterms:created xsi:type="dcterms:W3CDTF">2022-11-11T22:29:50Z</dcterms:created>
  <dcterms:modified xsi:type="dcterms:W3CDTF">2026-01-05T21:54:38Z</dcterms:modified>
</cp:coreProperties>
</file>