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TDMcalibration2017\calibrationtests\Round 4\2019-03-26 - final for RTP\_Inputs\0_GlobalData\0_TripTables\"/>
    </mc:Choice>
  </mc:AlternateContent>
  <xr:revisionPtr revIDLastSave="0" documentId="13_ncr:1_{2A5E2D41-0FDC-4148-B0D3-C8398346D9CE}" xr6:coauthVersionLast="41" xr6:coauthVersionMax="41" xr10:uidLastSave="{00000000-0000-0000-0000-000000000000}"/>
  <bookViews>
    <workbookView xWindow="120" yWindow="330" windowWidth="16020" windowHeight="10440" tabRatio="809" xr2:uid="{00000000-000D-0000-FFFF-FFFF00000000}"/>
  </bookViews>
  <sheets>
    <sheet name="Export_ControlTot" sheetId="15" r:id="rId1"/>
    <sheet name="Export_Factors" sheetId="20" r:id="rId2"/>
    <sheet name="Result" sheetId="11" r:id="rId3"/>
    <sheet name="Calc%FTE" sheetId="7" r:id="rId4"/>
    <sheet name="calc%concurrent" sheetId="13" r:id="rId5"/>
    <sheet name="headcounts" sheetId="1" r:id="rId6"/>
    <sheet name="U" sheetId="2" r:id="rId7"/>
    <sheet name="WSU" sheetId="3" r:id="rId8"/>
    <sheet name="UVU" sheetId="4" r:id="rId9"/>
    <sheet name="slcc" sheetId="6" r:id="rId10"/>
    <sheet name="BYU" sheetId="9" r:id="rId11"/>
    <sheet name="LDSBC" sheetId="8" r:id="rId12"/>
    <sheet name="Westminstor" sheetId="5" r:id="rId13"/>
    <sheet name="USHE Source 2018" sheetId="16" r:id="rId14"/>
    <sheet name="summary" sheetId="10" r:id="rId15"/>
    <sheet name="map" sheetId="12" r:id="rId16"/>
    <sheet name="lagoon2019" sheetId="21" r:id="rId17"/>
    <sheet name="lagoonbefore2019" sheetId="18" r:id="rId18"/>
    <sheet name="airport2019" sheetId="19" r:id="rId19"/>
    <sheet name="airportbefore2019" sheetId="17" r:id="rId20"/>
  </sheets>
  <calcPr calcId="181029"/>
</workbook>
</file>

<file path=xl/calcChain.xml><?xml version="1.0" encoding="utf-8"?>
<calcChain xmlns="http://schemas.openxmlformats.org/spreadsheetml/2006/main">
  <c r="D4" i="21" l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3" i="21"/>
  <c r="C50" i="21"/>
  <c r="C51" i="21" s="1"/>
  <c r="C52" i="21" s="1"/>
  <c r="C53" i="21" s="1"/>
  <c r="C49" i="21"/>
  <c r="F49" i="21"/>
  <c r="F53" i="21"/>
  <c r="C40" i="21"/>
  <c r="C41" i="21"/>
  <c r="C42" i="21" s="1"/>
  <c r="C43" i="21" s="1"/>
  <c r="C44" i="21" s="1"/>
  <c r="C45" i="21" s="1"/>
  <c r="C46" i="21" s="1"/>
  <c r="C47" i="21" s="1"/>
  <c r="C48" i="21" s="1"/>
  <c r="C39" i="21"/>
  <c r="C38" i="21"/>
  <c r="F39" i="21"/>
  <c r="C30" i="21"/>
  <c r="C31" i="21"/>
  <c r="C32" i="21"/>
  <c r="C33" i="21"/>
  <c r="C34" i="21" s="1"/>
  <c r="C35" i="21" s="1"/>
  <c r="C36" i="21" s="1"/>
  <c r="C37" i="21" s="1"/>
  <c r="C29" i="21"/>
  <c r="C28" i="21"/>
  <c r="E28" i="21"/>
  <c r="F29" i="21"/>
  <c r="C25" i="21"/>
  <c r="C26" i="21" s="1"/>
  <c r="C27" i="21" s="1"/>
  <c r="C24" i="21"/>
  <c r="F24" i="21"/>
  <c r="F48" i="21"/>
  <c r="F38" i="21"/>
  <c r="F28" i="21"/>
  <c r="F18" i="21"/>
  <c r="H15" i="21"/>
  <c r="H16" i="21"/>
  <c r="H17" i="21"/>
  <c r="H18" i="21"/>
  <c r="H19" i="21"/>
  <c r="H20" i="21"/>
  <c r="H21" i="21"/>
  <c r="H22" i="21"/>
  <c r="H23" i="21"/>
  <c r="H14" i="21"/>
  <c r="I5" i="21"/>
  <c r="I6" i="21"/>
  <c r="I7" i="21"/>
  <c r="C7" i="21" s="1"/>
  <c r="I8" i="21"/>
  <c r="I9" i="21"/>
  <c r="I10" i="21"/>
  <c r="I11" i="21"/>
  <c r="I12" i="21"/>
  <c r="I13" i="21"/>
  <c r="I4" i="21"/>
  <c r="G14" i="21"/>
  <c r="G15" i="21"/>
  <c r="G16" i="21"/>
  <c r="G17" i="21"/>
  <c r="G18" i="21"/>
  <c r="G19" i="21"/>
  <c r="G20" i="21"/>
  <c r="G21" i="21"/>
  <c r="G22" i="21"/>
  <c r="G23" i="21"/>
  <c r="G13" i="21"/>
  <c r="H4" i="21"/>
  <c r="H5" i="21"/>
  <c r="H6" i="21"/>
  <c r="H7" i="21"/>
  <c r="H8" i="21"/>
  <c r="H9" i="21"/>
  <c r="H10" i="21"/>
  <c r="H11" i="21"/>
  <c r="H12" i="21"/>
  <c r="H13" i="21"/>
  <c r="H3" i="21"/>
  <c r="A44" i="21"/>
  <c r="A45" i="21" s="1"/>
  <c r="A46" i="21" s="1"/>
  <c r="A47" i="21" s="1"/>
  <c r="A48" i="21" s="1"/>
  <c r="A49" i="21" s="1"/>
  <c r="A50" i="21" s="1"/>
  <c r="A51" i="21" s="1"/>
  <c r="A52" i="21" s="1"/>
  <c r="A53" i="21" s="1"/>
  <c r="C16" i="21"/>
  <c r="C17" i="21"/>
  <c r="C18" i="21"/>
  <c r="C19" i="21"/>
  <c r="C20" i="21"/>
  <c r="C21" i="21"/>
  <c r="C22" i="21"/>
  <c r="C23" i="21"/>
  <c r="C15" i="21"/>
  <c r="C14" i="21"/>
  <c r="C6" i="21"/>
  <c r="E6" i="21" s="1"/>
  <c r="E4" i="21"/>
  <c r="C4" i="21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6" i="15"/>
  <c r="B7" i="15"/>
  <c r="B5" i="15"/>
  <c r="H4" i="19"/>
  <c r="B11" i="17"/>
  <c r="D11" i="17" s="1"/>
  <c r="G17" i="19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38" i="19" s="1"/>
  <c r="G39" i="19" s="1"/>
  <c r="G40" i="19" s="1"/>
  <c r="G41" i="19" s="1"/>
  <c r="G42" i="19" s="1"/>
  <c r="G43" i="19" s="1"/>
  <c r="G44" i="19" s="1"/>
  <c r="G45" i="19" s="1"/>
  <c r="G46" i="19" s="1"/>
  <c r="G47" i="19" s="1"/>
  <c r="G16" i="19"/>
  <c r="E16" i="19"/>
  <c r="G6" i="19"/>
  <c r="G7" i="19"/>
  <c r="G8" i="19"/>
  <c r="G9" i="19"/>
  <c r="G10" i="19"/>
  <c r="G11" i="19"/>
  <c r="G12" i="19"/>
  <c r="G13" i="19"/>
  <c r="G14" i="19"/>
  <c r="G15" i="19"/>
  <c r="G5" i="19"/>
  <c r="F17" i="19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16" i="19"/>
  <c r="F5" i="19"/>
  <c r="F6" i="19"/>
  <c r="F7" i="19"/>
  <c r="F8" i="19"/>
  <c r="F9" i="19"/>
  <c r="F10" i="19"/>
  <c r="F11" i="19"/>
  <c r="F12" i="19"/>
  <c r="F13" i="19"/>
  <c r="F14" i="19"/>
  <c r="F15" i="19"/>
  <c r="G4" i="19"/>
  <c r="G3" i="19"/>
  <c r="F3" i="19"/>
  <c r="F4" i="19"/>
  <c r="E7" i="21" l="1"/>
  <c r="C8" i="21"/>
  <c r="I6" i="20"/>
  <c r="U5" i="20"/>
  <c r="V5" i="20" s="1"/>
  <c r="X5" i="20"/>
  <c r="T5" i="20"/>
  <c r="O6" i="20"/>
  <c r="J5" i="20"/>
  <c r="L5" i="20" s="1"/>
  <c r="G5" i="20"/>
  <c r="I5" i="20" s="1"/>
  <c r="E5" i="20"/>
  <c r="F5" i="20" s="1"/>
  <c r="D5" i="20"/>
  <c r="C5" i="20"/>
  <c r="F43" i="7"/>
  <c r="B31" i="7"/>
  <c r="P6" i="20"/>
  <c r="Q6" i="20" s="1"/>
  <c r="R6" i="20" s="1"/>
  <c r="S6" i="20" s="1"/>
  <c r="M6" i="20"/>
  <c r="F6" i="20"/>
  <c r="W6" i="20"/>
  <c r="X6" i="20"/>
  <c r="V6" i="20"/>
  <c r="Y6" i="20"/>
  <c r="C9" i="21" l="1"/>
  <c r="E8" i="21"/>
  <c r="E44" i="21"/>
  <c r="C36" i="15" s="1"/>
  <c r="E45" i="21"/>
  <c r="C37" i="15" s="1"/>
  <c r="Y5" i="20"/>
  <c r="W5" i="20"/>
  <c r="S5" i="20"/>
  <c r="K5" i="20"/>
  <c r="R5" i="20"/>
  <c r="Q5" i="20"/>
  <c r="P5" i="20"/>
  <c r="O5" i="20"/>
  <c r="N5" i="20"/>
  <c r="M5" i="20"/>
  <c r="H5" i="20"/>
  <c r="W6" i="15"/>
  <c r="X6" i="15"/>
  <c r="Y6" i="15"/>
  <c r="Z6" i="15"/>
  <c r="W7" i="15"/>
  <c r="Y7" i="15"/>
  <c r="Z7" i="15"/>
  <c r="W8" i="15"/>
  <c r="Y8" i="15"/>
  <c r="Z8" i="15"/>
  <c r="W9" i="15"/>
  <c r="Y9" i="15"/>
  <c r="Z9" i="15"/>
  <c r="W10" i="15"/>
  <c r="Y10" i="15"/>
  <c r="Z10" i="15"/>
  <c r="Y11" i="15"/>
  <c r="Z11" i="15"/>
  <c r="Y12" i="15"/>
  <c r="Z12" i="15"/>
  <c r="Y13" i="15"/>
  <c r="Z13" i="15"/>
  <c r="Y14" i="15"/>
  <c r="Z14" i="15"/>
  <c r="Y15" i="15"/>
  <c r="Z15" i="15"/>
  <c r="Y16" i="15"/>
  <c r="Z16" i="15"/>
  <c r="Y17" i="15"/>
  <c r="Z17" i="15"/>
  <c r="Y18" i="15"/>
  <c r="Z18" i="15"/>
  <c r="Z19" i="15"/>
  <c r="Z20" i="15"/>
  <c r="Z21" i="15"/>
  <c r="Z22" i="15"/>
  <c r="Z23" i="15"/>
  <c r="Z24" i="15"/>
  <c r="Z25" i="15"/>
  <c r="Z26" i="15"/>
  <c r="Z27" i="15"/>
  <c r="Z28" i="15"/>
  <c r="W5" i="15"/>
  <c r="X5" i="15"/>
  <c r="Y5" i="15"/>
  <c r="Z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R5" i="15"/>
  <c r="T5" i="15"/>
  <c r="G42" i="15"/>
  <c r="G43" i="15"/>
  <c r="F6" i="15"/>
  <c r="G6" i="15"/>
  <c r="F7" i="15"/>
  <c r="G7" i="15"/>
  <c r="G8" i="15"/>
  <c r="F10" i="15"/>
  <c r="G10" i="15"/>
  <c r="F14" i="15"/>
  <c r="G14" i="15"/>
  <c r="F15" i="15"/>
  <c r="G15" i="15"/>
  <c r="G16" i="15"/>
  <c r="G18" i="15"/>
  <c r="F19" i="15"/>
  <c r="G19" i="15"/>
  <c r="F22" i="15"/>
  <c r="G22" i="15"/>
  <c r="F23" i="15"/>
  <c r="G23" i="15"/>
  <c r="G25" i="15"/>
  <c r="F26" i="15"/>
  <c r="G26" i="15"/>
  <c r="F30" i="15"/>
  <c r="G30" i="15"/>
  <c r="F31" i="15"/>
  <c r="G31" i="15"/>
  <c r="G33" i="15"/>
  <c r="G34" i="15"/>
  <c r="F35" i="15"/>
  <c r="G35" i="15"/>
  <c r="F38" i="15"/>
  <c r="G38" i="15"/>
  <c r="F39" i="15"/>
  <c r="G39" i="15"/>
  <c r="F5" i="15"/>
  <c r="E5" i="11"/>
  <c r="G5" i="15" s="1"/>
  <c r="E6" i="11"/>
  <c r="E7" i="11"/>
  <c r="E8" i="11"/>
  <c r="E9" i="11"/>
  <c r="G9" i="15" s="1"/>
  <c r="E10" i="11"/>
  <c r="E11" i="11"/>
  <c r="G11" i="15" s="1"/>
  <c r="E12" i="11"/>
  <c r="G12" i="15" s="1"/>
  <c r="E13" i="11"/>
  <c r="G13" i="15" s="1"/>
  <c r="E14" i="11"/>
  <c r="E15" i="11"/>
  <c r="E16" i="11"/>
  <c r="E17" i="11"/>
  <c r="G17" i="15" s="1"/>
  <c r="E18" i="11"/>
  <c r="E19" i="11"/>
  <c r="E20" i="11"/>
  <c r="G20" i="15" s="1"/>
  <c r="E21" i="11"/>
  <c r="G21" i="15" s="1"/>
  <c r="E22" i="11"/>
  <c r="E23" i="11"/>
  <c r="E24" i="11"/>
  <c r="G24" i="15" s="1"/>
  <c r="E25" i="11"/>
  <c r="E26" i="11"/>
  <c r="E27" i="11"/>
  <c r="G27" i="15" s="1"/>
  <c r="E28" i="11"/>
  <c r="G28" i="15" s="1"/>
  <c r="E29" i="11"/>
  <c r="G29" i="15" s="1"/>
  <c r="E30" i="11"/>
  <c r="E31" i="11"/>
  <c r="E32" i="11"/>
  <c r="G32" i="15" s="1"/>
  <c r="E33" i="11"/>
  <c r="E34" i="11"/>
  <c r="E35" i="11"/>
  <c r="E36" i="11"/>
  <c r="G36" i="15" s="1"/>
  <c r="E37" i="11"/>
  <c r="G37" i="15" s="1"/>
  <c r="E38" i="11"/>
  <c r="E39" i="11"/>
  <c r="E40" i="11"/>
  <c r="G40" i="15" s="1"/>
  <c r="E41" i="11"/>
  <c r="G41" i="15" s="1"/>
  <c r="E42" i="11"/>
  <c r="E43" i="11"/>
  <c r="E44" i="11"/>
  <c r="G44" i="15" s="1"/>
  <c r="E45" i="11"/>
  <c r="G45" i="15" s="1"/>
  <c r="D6" i="11"/>
  <c r="D7" i="11"/>
  <c r="D8" i="11"/>
  <c r="F8" i="15" s="1"/>
  <c r="D9" i="11"/>
  <c r="F9" i="15" s="1"/>
  <c r="D10" i="11"/>
  <c r="D11" i="11"/>
  <c r="F11" i="15" s="1"/>
  <c r="D12" i="11"/>
  <c r="F12" i="15" s="1"/>
  <c r="D13" i="11"/>
  <c r="F13" i="15" s="1"/>
  <c r="D14" i="11"/>
  <c r="D15" i="11"/>
  <c r="D16" i="11"/>
  <c r="F16" i="15" s="1"/>
  <c r="D17" i="11"/>
  <c r="F17" i="15" s="1"/>
  <c r="D18" i="11"/>
  <c r="F18" i="15" s="1"/>
  <c r="D19" i="11"/>
  <c r="D20" i="11"/>
  <c r="F20" i="15" s="1"/>
  <c r="D21" i="11"/>
  <c r="F21" i="15" s="1"/>
  <c r="D22" i="11"/>
  <c r="D23" i="11"/>
  <c r="D24" i="11"/>
  <c r="F24" i="15" s="1"/>
  <c r="D25" i="11"/>
  <c r="F25" i="15" s="1"/>
  <c r="D26" i="11"/>
  <c r="D27" i="11"/>
  <c r="F27" i="15" s="1"/>
  <c r="D28" i="11"/>
  <c r="F28" i="15" s="1"/>
  <c r="D29" i="11"/>
  <c r="F29" i="15" s="1"/>
  <c r="D30" i="11"/>
  <c r="D31" i="11"/>
  <c r="D32" i="11"/>
  <c r="F32" i="15" s="1"/>
  <c r="D33" i="11"/>
  <c r="F33" i="15" s="1"/>
  <c r="D34" i="11"/>
  <c r="F34" i="15" s="1"/>
  <c r="D35" i="11"/>
  <c r="D36" i="11"/>
  <c r="F36" i="15" s="1"/>
  <c r="D37" i="11"/>
  <c r="F37" i="15" s="1"/>
  <c r="D38" i="11"/>
  <c r="D39" i="11"/>
  <c r="D40" i="11"/>
  <c r="F40" i="15" s="1"/>
  <c r="D41" i="11"/>
  <c r="F41" i="15" s="1"/>
  <c r="D42" i="11"/>
  <c r="F42" i="15" s="1"/>
  <c r="D43" i="11"/>
  <c r="F43" i="15" s="1"/>
  <c r="D44" i="11"/>
  <c r="F44" i="15" s="1"/>
  <c r="D45" i="11"/>
  <c r="F45" i="15" s="1"/>
  <c r="F2" i="15" s="1"/>
  <c r="D5" i="11"/>
  <c r="C10" i="21" l="1"/>
  <c r="E9" i="21"/>
  <c r="E46" i="21"/>
  <c r="C38" i="15" s="1"/>
  <c r="E9" i="13"/>
  <c r="G2" i="15"/>
  <c r="E6" i="19"/>
  <c r="E7" i="19"/>
  <c r="E8" i="19"/>
  <c r="E9" i="19"/>
  <c r="E10" i="19"/>
  <c r="E11" i="19"/>
  <c r="E12" i="19"/>
  <c r="E13" i="19"/>
  <c r="E14" i="19"/>
  <c r="E15" i="19"/>
  <c r="E5" i="19"/>
  <c r="D5" i="19"/>
  <c r="D6" i="19"/>
  <c r="D7" i="19"/>
  <c r="D8" i="19"/>
  <c r="D9" i="19"/>
  <c r="D10" i="19"/>
  <c r="D11" i="19"/>
  <c r="D12" i="19"/>
  <c r="D13" i="19"/>
  <c r="D14" i="19"/>
  <c r="D15" i="19"/>
  <c r="D4" i="19"/>
  <c r="C45" i="18"/>
  <c r="C5" i="18" s="1"/>
  <c r="E33" i="18"/>
  <c r="C4" i="18"/>
  <c r="E4" i="18" s="1"/>
  <c r="B43" i="17"/>
  <c r="D43" i="17" s="1"/>
  <c r="B42" i="17"/>
  <c r="D42" i="17" s="1"/>
  <c r="B41" i="17"/>
  <c r="D41" i="17" s="1"/>
  <c r="E41" i="17" s="1"/>
  <c r="B40" i="17"/>
  <c r="D40" i="17" s="1"/>
  <c r="B39" i="17"/>
  <c r="D39" i="17" s="1"/>
  <c r="B38" i="17"/>
  <c r="D38" i="17" s="1"/>
  <c r="B37" i="17"/>
  <c r="D37" i="17" s="1"/>
  <c r="B36" i="17"/>
  <c r="D36" i="17" s="1"/>
  <c r="E36" i="17" s="1"/>
  <c r="B35" i="17"/>
  <c r="D35" i="17" s="1"/>
  <c r="B34" i="17"/>
  <c r="D34" i="17" s="1"/>
  <c r="B33" i="17"/>
  <c r="D33" i="17" s="1"/>
  <c r="B32" i="17"/>
  <c r="D32" i="17" s="1"/>
  <c r="B31" i="17"/>
  <c r="D31" i="17" s="1"/>
  <c r="B30" i="17"/>
  <c r="D30" i="17" s="1"/>
  <c r="B29" i="17"/>
  <c r="D29" i="17" s="1"/>
  <c r="B28" i="17"/>
  <c r="D28" i="17" s="1"/>
  <c r="B27" i="17"/>
  <c r="D27" i="17" s="1"/>
  <c r="B26" i="17"/>
  <c r="D26" i="17" s="1"/>
  <c r="B25" i="17"/>
  <c r="D25" i="17" s="1"/>
  <c r="B24" i="17"/>
  <c r="D24" i="17" s="1"/>
  <c r="B23" i="17"/>
  <c r="D23" i="17" s="1"/>
  <c r="B22" i="17"/>
  <c r="D22" i="17" s="1"/>
  <c r="B21" i="17"/>
  <c r="D21" i="17" s="1"/>
  <c r="B20" i="17"/>
  <c r="D20" i="17" s="1"/>
  <c r="B19" i="17"/>
  <c r="D19" i="17" s="1"/>
  <c r="B18" i="17"/>
  <c r="D18" i="17" s="1"/>
  <c r="B17" i="17"/>
  <c r="D17" i="17" s="1"/>
  <c r="B16" i="17"/>
  <c r="D16" i="17" s="1"/>
  <c r="B15" i="17"/>
  <c r="D15" i="17" s="1"/>
  <c r="B14" i="17"/>
  <c r="D14" i="17" s="1"/>
  <c r="B13" i="17"/>
  <c r="D13" i="17" s="1"/>
  <c r="B12" i="17"/>
  <c r="D12" i="17" s="1"/>
  <c r="B10" i="17"/>
  <c r="D10" i="17" s="1"/>
  <c r="B9" i="17"/>
  <c r="D9" i="17" s="1"/>
  <c r="E9" i="17" s="1"/>
  <c r="B8" i="17"/>
  <c r="D8" i="17" s="1"/>
  <c r="B7" i="17"/>
  <c r="D7" i="17" s="1"/>
  <c r="B6" i="17"/>
  <c r="D6" i="17" s="1"/>
  <c r="B5" i="17"/>
  <c r="D5" i="17" s="1"/>
  <c r="E5" i="17" s="1"/>
  <c r="D4" i="17"/>
  <c r="B3" i="17"/>
  <c r="D3" i="17" s="1"/>
  <c r="C11" i="21" l="1"/>
  <c r="E10" i="21"/>
  <c r="E47" i="21"/>
  <c r="C39" i="15" s="1"/>
  <c r="E18" i="17"/>
  <c r="E4" i="17"/>
  <c r="E14" i="17"/>
  <c r="E23" i="17"/>
  <c r="E32" i="17"/>
  <c r="E27" i="17"/>
  <c r="C6" i="18"/>
  <c r="E5" i="18"/>
  <c r="F5" i="18" s="1"/>
  <c r="C34" i="18"/>
  <c r="C3" i="18"/>
  <c r="E3" i="18" s="1"/>
  <c r="F4" i="18" s="1"/>
  <c r="E6" i="17"/>
  <c r="E33" i="17"/>
  <c r="E7" i="17"/>
  <c r="E16" i="17"/>
  <c r="E25" i="17"/>
  <c r="E34" i="17"/>
  <c r="G44" i="17"/>
  <c r="E43" i="17"/>
  <c r="E8" i="17"/>
  <c r="E17" i="17"/>
  <c r="E26" i="17"/>
  <c r="E35" i="17"/>
  <c r="E15" i="17"/>
  <c r="E42" i="17"/>
  <c r="E19" i="17"/>
  <c r="E28" i="17"/>
  <c r="E11" i="17"/>
  <c r="E29" i="17"/>
  <c r="E12" i="17"/>
  <c r="E21" i="17"/>
  <c r="E30" i="17"/>
  <c r="E39" i="17"/>
  <c r="E24" i="17"/>
  <c r="E10" i="17"/>
  <c r="E37" i="17"/>
  <c r="E20" i="17"/>
  <c r="E38" i="17"/>
  <c r="E13" i="17"/>
  <c r="E22" i="17"/>
  <c r="E31" i="17"/>
  <c r="E40" i="17"/>
  <c r="T6" i="11"/>
  <c r="V6" i="15" s="1"/>
  <c r="C41" i="4"/>
  <c r="C64" i="4"/>
  <c r="X45" i="11"/>
  <c r="W45" i="11"/>
  <c r="Y45" i="15" s="1"/>
  <c r="Y2" i="15" s="1"/>
  <c r="W19" i="11"/>
  <c r="V45" i="11"/>
  <c r="X45" i="15" s="1"/>
  <c r="X2" i="15" s="1"/>
  <c r="U45" i="11"/>
  <c r="W45" i="15" s="1"/>
  <c r="W2" i="15" s="1"/>
  <c r="R20" i="11"/>
  <c r="T20" i="15" s="1"/>
  <c r="P6" i="11"/>
  <c r="C12" i="21" l="1"/>
  <c r="E11" i="21"/>
  <c r="E48" i="21"/>
  <c r="C40" i="15" s="1"/>
  <c r="W20" i="11"/>
  <c r="Y19" i="15"/>
  <c r="X29" i="11"/>
  <c r="Z45" i="15"/>
  <c r="Z2" i="15" s="1"/>
  <c r="P7" i="11"/>
  <c r="R6" i="15"/>
  <c r="T45" i="11"/>
  <c r="V45" i="15" s="1"/>
  <c r="E34" i="18"/>
  <c r="F34" i="18" s="1"/>
  <c r="C35" i="18"/>
  <c r="C7" i="18"/>
  <c r="E6" i="18"/>
  <c r="F6" i="18" s="1"/>
  <c r="R21" i="11"/>
  <c r="T21" i="15" s="1"/>
  <c r="B26" i="5"/>
  <c r="B27" i="5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25" i="5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" i="8"/>
  <c r="C11" i="8"/>
  <c r="B41" i="8"/>
  <c r="F163" i="3"/>
  <c r="F141" i="3"/>
  <c r="F142" i="3"/>
  <c r="F143" i="3"/>
  <c r="F144" i="3"/>
  <c r="F145" i="3" s="1"/>
  <c r="F140" i="3"/>
  <c r="G140" i="3" s="1"/>
  <c r="J157" i="3"/>
  <c r="J158" i="3"/>
  <c r="J159" i="3" s="1"/>
  <c r="J160" i="3" s="1"/>
  <c r="J161" i="3" s="1"/>
  <c r="J162" i="3" s="1"/>
  <c r="J163" i="3" s="1"/>
  <c r="J156" i="3"/>
  <c r="J144" i="3"/>
  <c r="J145" i="3"/>
  <c r="J146" i="3"/>
  <c r="J147" i="3"/>
  <c r="J148" i="3" s="1"/>
  <c r="J143" i="3"/>
  <c r="J141" i="3"/>
  <c r="J140" i="3"/>
  <c r="J139" i="3"/>
  <c r="F82" i="2"/>
  <c r="F60" i="2"/>
  <c r="F61" i="2" s="1"/>
  <c r="F59" i="2"/>
  <c r="G59" i="2" s="1"/>
  <c r="H60" i="2"/>
  <c r="H61" i="2" s="1"/>
  <c r="H62" i="2" s="1"/>
  <c r="H63" i="2" s="1"/>
  <c r="H64" i="2" s="1"/>
  <c r="H65" i="2" s="1"/>
  <c r="H66" i="2" s="1"/>
  <c r="H59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132" i="3"/>
  <c r="G133" i="3"/>
  <c r="G134" i="3"/>
  <c r="G135" i="3"/>
  <c r="G136" i="3"/>
  <c r="G137" i="3"/>
  <c r="G138" i="3"/>
  <c r="G139" i="3"/>
  <c r="G142" i="3"/>
  <c r="G143" i="3"/>
  <c r="G144" i="3"/>
  <c r="G131" i="3"/>
  <c r="C13" i="21" l="1"/>
  <c r="E13" i="21" s="1"/>
  <c r="C5" i="15" s="1"/>
  <c r="E12" i="21"/>
  <c r="E49" i="21"/>
  <c r="C41" i="15" s="1"/>
  <c r="X30" i="11"/>
  <c r="Z29" i="15"/>
  <c r="P8" i="11"/>
  <c r="R7" i="15"/>
  <c r="W21" i="11"/>
  <c r="Y20" i="15"/>
  <c r="E7" i="18"/>
  <c r="F7" i="18" s="1"/>
  <c r="C8" i="18"/>
  <c r="E35" i="18"/>
  <c r="F35" i="18" s="1"/>
  <c r="C36" i="18"/>
  <c r="R22" i="11"/>
  <c r="T22" i="15" s="1"/>
  <c r="F146" i="3"/>
  <c r="G145" i="3"/>
  <c r="G141" i="3"/>
  <c r="J142" i="3"/>
  <c r="J149" i="3" s="1"/>
  <c r="J150" i="3" s="1"/>
  <c r="J151" i="3" s="1"/>
  <c r="J152" i="3" s="1"/>
  <c r="J153" i="3" s="1"/>
  <c r="J154" i="3" s="1"/>
  <c r="J155" i="3" s="1"/>
  <c r="F62" i="2"/>
  <c r="G61" i="2"/>
  <c r="G60" i="2"/>
  <c r="H67" i="2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I36" i="11"/>
  <c r="K36" i="15" s="1"/>
  <c r="J36" i="11"/>
  <c r="L36" i="15" s="1"/>
  <c r="K36" i="11"/>
  <c r="M36" i="15" s="1"/>
  <c r="L36" i="11"/>
  <c r="N36" i="15" s="1"/>
  <c r="M36" i="11"/>
  <c r="O36" i="15" s="1"/>
  <c r="N36" i="11"/>
  <c r="P36" i="15" s="1"/>
  <c r="O36" i="11"/>
  <c r="Q36" i="15" s="1"/>
  <c r="Q36" i="11"/>
  <c r="S36" i="15" s="1"/>
  <c r="I37" i="11"/>
  <c r="K37" i="15" s="1"/>
  <c r="J37" i="11"/>
  <c r="L37" i="15" s="1"/>
  <c r="K37" i="11"/>
  <c r="M37" i="15" s="1"/>
  <c r="L37" i="11"/>
  <c r="N37" i="15" s="1"/>
  <c r="M37" i="11"/>
  <c r="O37" i="15" s="1"/>
  <c r="N37" i="11"/>
  <c r="P37" i="15" s="1"/>
  <c r="O37" i="11"/>
  <c r="Q37" i="15" s="1"/>
  <c r="Q37" i="11"/>
  <c r="S37" i="15" s="1"/>
  <c r="I38" i="11"/>
  <c r="K38" i="15" s="1"/>
  <c r="J38" i="11"/>
  <c r="L38" i="15" s="1"/>
  <c r="K38" i="11"/>
  <c r="M38" i="15" s="1"/>
  <c r="L38" i="11"/>
  <c r="N38" i="15" s="1"/>
  <c r="M38" i="11"/>
  <c r="O38" i="15" s="1"/>
  <c r="N38" i="11"/>
  <c r="P38" i="15" s="1"/>
  <c r="O38" i="11"/>
  <c r="Q38" i="15" s="1"/>
  <c r="Q38" i="11"/>
  <c r="S38" i="15" s="1"/>
  <c r="I39" i="11"/>
  <c r="K39" i="15" s="1"/>
  <c r="J39" i="11"/>
  <c r="L39" i="15" s="1"/>
  <c r="K39" i="11"/>
  <c r="M39" i="15" s="1"/>
  <c r="L39" i="11"/>
  <c r="N39" i="15" s="1"/>
  <c r="M39" i="11"/>
  <c r="O39" i="15" s="1"/>
  <c r="N39" i="11"/>
  <c r="P39" i="15" s="1"/>
  <c r="O39" i="11"/>
  <c r="Q39" i="15" s="1"/>
  <c r="Q39" i="11"/>
  <c r="S39" i="15" s="1"/>
  <c r="I40" i="11"/>
  <c r="K40" i="15" s="1"/>
  <c r="J40" i="11"/>
  <c r="L40" i="15" s="1"/>
  <c r="K40" i="11"/>
  <c r="M40" i="15" s="1"/>
  <c r="L40" i="11"/>
  <c r="N40" i="15" s="1"/>
  <c r="M40" i="11"/>
  <c r="O40" i="15" s="1"/>
  <c r="N40" i="11"/>
  <c r="P40" i="15" s="1"/>
  <c r="O40" i="11"/>
  <c r="Q40" i="15" s="1"/>
  <c r="Q40" i="11"/>
  <c r="S40" i="15" s="1"/>
  <c r="I41" i="11"/>
  <c r="K41" i="15" s="1"/>
  <c r="J41" i="11"/>
  <c r="L41" i="15" s="1"/>
  <c r="K41" i="11"/>
  <c r="M41" i="15" s="1"/>
  <c r="L41" i="11"/>
  <c r="N41" i="15" s="1"/>
  <c r="M41" i="11"/>
  <c r="O41" i="15" s="1"/>
  <c r="N41" i="11"/>
  <c r="P41" i="15" s="1"/>
  <c r="O41" i="11"/>
  <c r="Q41" i="15" s="1"/>
  <c r="Q41" i="11"/>
  <c r="S41" i="15" s="1"/>
  <c r="I42" i="11"/>
  <c r="K42" i="15" s="1"/>
  <c r="J42" i="11"/>
  <c r="L42" i="15" s="1"/>
  <c r="K42" i="11"/>
  <c r="M42" i="15" s="1"/>
  <c r="L42" i="11"/>
  <c r="N42" i="15" s="1"/>
  <c r="M42" i="11"/>
  <c r="O42" i="15" s="1"/>
  <c r="N42" i="11"/>
  <c r="P42" i="15" s="1"/>
  <c r="O42" i="11"/>
  <c r="Q42" i="15" s="1"/>
  <c r="Q42" i="11"/>
  <c r="S42" i="15" s="1"/>
  <c r="I43" i="11"/>
  <c r="K43" i="15" s="1"/>
  <c r="J43" i="11"/>
  <c r="L43" i="15" s="1"/>
  <c r="K43" i="11"/>
  <c r="M43" i="15" s="1"/>
  <c r="L43" i="11"/>
  <c r="N43" i="15" s="1"/>
  <c r="M43" i="11"/>
  <c r="O43" i="15" s="1"/>
  <c r="N43" i="11"/>
  <c r="P43" i="15" s="1"/>
  <c r="O43" i="11"/>
  <c r="Q43" i="15" s="1"/>
  <c r="Q43" i="11"/>
  <c r="S43" i="15" s="1"/>
  <c r="I44" i="11"/>
  <c r="K44" i="15" s="1"/>
  <c r="J44" i="11"/>
  <c r="L44" i="15" s="1"/>
  <c r="K44" i="11"/>
  <c r="M44" i="15" s="1"/>
  <c r="L44" i="11"/>
  <c r="N44" i="15" s="1"/>
  <c r="M44" i="11"/>
  <c r="O44" i="15" s="1"/>
  <c r="N44" i="11"/>
  <c r="P44" i="15" s="1"/>
  <c r="O44" i="11"/>
  <c r="Q44" i="15" s="1"/>
  <c r="Q44" i="11"/>
  <c r="S44" i="15" s="1"/>
  <c r="I45" i="11"/>
  <c r="K45" i="15" s="1"/>
  <c r="J45" i="11"/>
  <c r="L45" i="15" s="1"/>
  <c r="L2" i="15" s="1"/>
  <c r="K45" i="11"/>
  <c r="M45" i="15" s="1"/>
  <c r="L45" i="11"/>
  <c r="N45" i="15" s="1"/>
  <c r="M45" i="11"/>
  <c r="O45" i="15" s="1"/>
  <c r="N45" i="11"/>
  <c r="P45" i="15" s="1"/>
  <c r="O45" i="11"/>
  <c r="Q45" i="15" s="1"/>
  <c r="Q45" i="11"/>
  <c r="S45" i="15" s="1"/>
  <c r="S2" i="15" s="1"/>
  <c r="I6" i="11"/>
  <c r="K6" i="15" s="1"/>
  <c r="J6" i="11"/>
  <c r="L6" i="15" s="1"/>
  <c r="K6" i="11"/>
  <c r="M6" i="15" s="1"/>
  <c r="L6" i="11"/>
  <c r="N6" i="15" s="1"/>
  <c r="M6" i="11"/>
  <c r="O6" i="15" s="1"/>
  <c r="N6" i="11"/>
  <c r="P6" i="15" s="1"/>
  <c r="O6" i="11"/>
  <c r="Q6" i="15" s="1"/>
  <c r="Q6" i="11"/>
  <c r="S6" i="15" s="1"/>
  <c r="I7" i="11"/>
  <c r="K7" i="15" s="1"/>
  <c r="J7" i="11"/>
  <c r="L7" i="15" s="1"/>
  <c r="K7" i="11"/>
  <c r="M7" i="15" s="1"/>
  <c r="L7" i="11"/>
  <c r="N7" i="15" s="1"/>
  <c r="M7" i="11"/>
  <c r="O7" i="15" s="1"/>
  <c r="N7" i="11"/>
  <c r="P7" i="15" s="1"/>
  <c r="O7" i="11"/>
  <c r="Q7" i="15" s="1"/>
  <c r="Q7" i="11"/>
  <c r="S7" i="15" s="1"/>
  <c r="I8" i="11"/>
  <c r="K8" i="15" s="1"/>
  <c r="J8" i="11"/>
  <c r="L8" i="15" s="1"/>
  <c r="K8" i="11"/>
  <c r="M8" i="15" s="1"/>
  <c r="L8" i="11"/>
  <c r="N8" i="15" s="1"/>
  <c r="M8" i="11"/>
  <c r="O8" i="15" s="1"/>
  <c r="N8" i="11"/>
  <c r="P8" i="15" s="1"/>
  <c r="O8" i="11"/>
  <c r="Q8" i="15" s="1"/>
  <c r="Q8" i="11"/>
  <c r="S8" i="15" s="1"/>
  <c r="I9" i="11"/>
  <c r="K9" i="15" s="1"/>
  <c r="J9" i="11"/>
  <c r="L9" i="15" s="1"/>
  <c r="K9" i="11"/>
  <c r="M9" i="15" s="1"/>
  <c r="L9" i="11"/>
  <c r="N9" i="15" s="1"/>
  <c r="M9" i="11"/>
  <c r="O9" i="15" s="1"/>
  <c r="N9" i="11"/>
  <c r="P9" i="15" s="1"/>
  <c r="O9" i="11"/>
  <c r="Q9" i="15" s="1"/>
  <c r="Q9" i="11"/>
  <c r="S9" i="15" s="1"/>
  <c r="I10" i="11"/>
  <c r="K10" i="15" s="1"/>
  <c r="J10" i="11"/>
  <c r="L10" i="15" s="1"/>
  <c r="K10" i="11"/>
  <c r="M10" i="15" s="1"/>
  <c r="L10" i="11"/>
  <c r="N10" i="15" s="1"/>
  <c r="M10" i="11"/>
  <c r="O10" i="15" s="1"/>
  <c r="N10" i="11"/>
  <c r="P10" i="15" s="1"/>
  <c r="O10" i="11"/>
  <c r="Q10" i="15" s="1"/>
  <c r="Q10" i="11"/>
  <c r="S10" i="15" s="1"/>
  <c r="I11" i="11"/>
  <c r="K11" i="15" s="1"/>
  <c r="J11" i="11"/>
  <c r="L11" i="15" s="1"/>
  <c r="K11" i="11"/>
  <c r="M11" i="15" s="1"/>
  <c r="L11" i="11"/>
  <c r="N11" i="15" s="1"/>
  <c r="M11" i="11"/>
  <c r="O11" i="15" s="1"/>
  <c r="N11" i="11"/>
  <c r="P11" i="15" s="1"/>
  <c r="O11" i="11"/>
  <c r="Q11" i="15" s="1"/>
  <c r="Q11" i="11"/>
  <c r="S11" i="15" s="1"/>
  <c r="I12" i="11"/>
  <c r="K12" i="15" s="1"/>
  <c r="J12" i="11"/>
  <c r="L12" i="15" s="1"/>
  <c r="K12" i="11"/>
  <c r="M12" i="15" s="1"/>
  <c r="L12" i="11"/>
  <c r="N12" i="15" s="1"/>
  <c r="M12" i="11"/>
  <c r="O12" i="15" s="1"/>
  <c r="N12" i="11"/>
  <c r="P12" i="15" s="1"/>
  <c r="O12" i="11"/>
  <c r="Q12" i="15" s="1"/>
  <c r="Q12" i="11"/>
  <c r="S12" i="15" s="1"/>
  <c r="I13" i="11"/>
  <c r="K13" i="15" s="1"/>
  <c r="J13" i="11"/>
  <c r="L13" i="15" s="1"/>
  <c r="K13" i="11"/>
  <c r="M13" i="15" s="1"/>
  <c r="L13" i="11"/>
  <c r="N13" i="15" s="1"/>
  <c r="M13" i="11"/>
  <c r="O13" i="15" s="1"/>
  <c r="N13" i="11"/>
  <c r="P13" i="15" s="1"/>
  <c r="O13" i="11"/>
  <c r="Q13" i="15" s="1"/>
  <c r="Q13" i="11"/>
  <c r="S13" i="15" s="1"/>
  <c r="I14" i="11"/>
  <c r="K14" i="15" s="1"/>
  <c r="J14" i="11"/>
  <c r="L14" i="15" s="1"/>
  <c r="K14" i="11"/>
  <c r="M14" i="15" s="1"/>
  <c r="L14" i="11"/>
  <c r="N14" i="15" s="1"/>
  <c r="M14" i="11"/>
  <c r="O14" i="15" s="1"/>
  <c r="N14" i="11"/>
  <c r="P14" i="15" s="1"/>
  <c r="O14" i="11"/>
  <c r="Q14" i="15" s="1"/>
  <c r="Q14" i="11"/>
  <c r="S14" i="15" s="1"/>
  <c r="I15" i="11"/>
  <c r="K15" i="15" s="1"/>
  <c r="J15" i="11"/>
  <c r="L15" i="15" s="1"/>
  <c r="K15" i="11"/>
  <c r="M15" i="15" s="1"/>
  <c r="L15" i="11"/>
  <c r="N15" i="15" s="1"/>
  <c r="M15" i="11"/>
  <c r="O15" i="15" s="1"/>
  <c r="N15" i="11"/>
  <c r="P15" i="15" s="1"/>
  <c r="O15" i="11"/>
  <c r="Q15" i="15" s="1"/>
  <c r="Q15" i="11"/>
  <c r="S15" i="15" s="1"/>
  <c r="I16" i="11"/>
  <c r="K16" i="15" s="1"/>
  <c r="J16" i="11"/>
  <c r="L16" i="15" s="1"/>
  <c r="K16" i="11"/>
  <c r="M16" i="15" s="1"/>
  <c r="L16" i="11"/>
  <c r="N16" i="15" s="1"/>
  <c r="M16" i="11"/>
  <c r="O16" i="15" s="1"/>
  <c r="N16" i="11"/>
  <c r="P16" i="15" s="1"/>
  <c r="O16" i="11"/>
  <c r="Q16" i="15" s="1"/>
  <c r="Q16" i="11"/>
  <c r="S16" i="15" s="1"/>
  <c r="I17" i="11"/>
  <c r="K17" i="15" s="1"/>
  <c r="J17" i="11"/>
  <c r="L17" i="15" s="1"/>
  <c r="K17" i="11"/>
  <c r="M17" i="15" s="1"/>
  <c r="L17" i="11"/>
  <c r="N17" i="15" s="1"/>
  <c r="M17" i="11"/>
  <c r="O17" i="15" s="1"/>
  <c r="N17" i="11"/>
  <c r="P17" i="15" s="1"/>
  <c r="O17" i="11"/>
  <c r="Q17" i="15" s="1"/>
  <c r="Q17" i="11"/>
  <c r="S17" i="15" s="1"/>
  <c r="I18" i="11"/>
  <c r="K18" i="15" s="1"/>
  <c r="J18" i="11"/>
  <c r="L18" i="15" s="1"/>
  <c r="K18" i="11"/>
  <c r="M18" i="15" s="1"/>
  <c r="L18" i="11"/>
  <c r="N18" i="15" s="1"/>
  <c r="M18" i="11"/>
  <c r="O18" i="15" s="1"/>
  <c r="N18" i="11"/>
  <c r="P18" i="15" s="1"/>
  <c r="O18" i="11"/>
  <c r="Q18" i="15" s="1"/>
  <c r="Q18" i="11"/>
  <c r="S18" i="15" s="1"/>
  <c r="I19" i="11"/>
  <c r="K19" i="15" s="1"/>
  <c r="J19" i="11"/>
  <c r="L19" i="15" s="1"/>
  <c r="K19" i="11"/>
  <c r="M19" i="15" s="1"/>
  <c r="L19" i="11"/>
  <c r="N19" i="15" s="1"/>
  <c r="M19" i="11"/>
  <c r="O19" i="15" s="1"/>
  <c r="N19" i="11"/>
  <c r="P19" i="15" s="1"/>
  <c r="O19" i="11"/>
  <c r="Q19" i="15" s="1"/>
  <c r="Q19" i="11"/>
  <c r="S19" i="15" s="1"/>
  <c r="I20" i="11"/>
  <c r="K20" i="15" s="1"/>
  <c r="J20" i="11"/>
  <c r="L20" i="15" s="1"/>
  <c r="K20" i="11"/>
  <c r="M20" i="15" s="1"/>
  <c r="L20" i="11"/>
  <c r="N20" i="15" s="1"/>
  <c r="M20" i="11"/>
  <c r="O20" i="15" s="1"/>
  <c r="N20" i="11"/>
  <c r="P20" i="15" s="1"/>
  <c r="O20" i="11"/>
  <c r="Q20" i="15" s="1"/>
  <c r="Q20" i="11"/>
  <c r="S20" i="15" s="1"/>
  <c r="I21" i="11"/>
  <c r="K21" i="15" s="1"/>
  <c r="J21" i="11"/>
  <c r="L21" i="15" s="1"/>
  <c r="K21" i="11"/>
  <c r="M21" i="15" s="1"/>
  <c r="L21" i="11"/>
  <c r="N21" i="15" s="1"/>
  <c r="M21" i="11"/>
  <c r="O21" i="15" s="1"/>
  <c r="N21" i="11"/>
  <c r="P21" i="15" s="1"/>
  <c r="O21" i="11"/>
  <c r="Q21" i="15" s="1"/>
  <c r="Q21" i="11"/>
  <c r="S21" i="15" s="1"/>
  <c r="I22" i="11"/>
  <c r="K22" i="15" s="1"/>
  <c r="J22" i="11"/>
  <c r="L22" i="15" s="1"/>
  <c r="K22" i="11"/>
  <c r="M22" i="15" s="1"/>
  <c r="L22" i="11"/>
  <c r="N22" i="15" s="1"/>
  <c r="M22" i="11"/>
  <c r="O22" i="15" s="1"/>
  <c r="N22" i="11"/>
  <c r="P22" i="15" s="1"/>
  <c r="O22" i="11"/>
  <c r="Q22" i="15" s="1"/>
  <c r="Q22" i="11"/>
  <c r="S22" i="15" s="1"/>
  <c r="I23" i="11"/>
  <c r="K23" i="15" s="1"/>
  <c r="J23" i="11"/>
  <c r="L23" i="15" s="1"/>
  <c r="K23" i="11"/>
  <c r="M23" i="15" s="1"/>
  <c r="L23" i="11"/>
  <c r="N23" i="15" s="1"/>
  <c r="M23" i="11"/>
  <c r="O23" i="15" s="1"/>
  <c r="N23" i="11"/>
  <c r="P23" i="15" s="1"/>
  <c r="O23" i="11"/>
  <c r="Q23" i="15" s="1"/>
  <c r="Q23" i="11"/>
  <c r="S23" i="15" s="1"/>
  <c r="I24" i="11"/>
  <c r="K24" i="15" s="1"/>
  <c r="J24" i="11"/>
  <c r="L24" i="15" s="1"/>
  <c r="K24" i="11"/>
  <c r="M24" i="15" s="1"/>
  <c r="L24" i="11"/>
  <c r="N24" i="15" s="1"/>
  <c r="M24" i="11"/>
  <c r="O24" i="15" s="1"/>
  <c r="N24" i="11"/>
  <c r="P24" i="15" s="1"/>
  <c r="O24" i="11"/>
  <c r="Q24" i="15" s="1"/>
  <c r="Q24" i="11"/>
  <c r="S24" i="15" s="1"/>
  <c r="I25" i="11"/>
  <c r="K25" i="15" s="1"/>
  <c r="J25" i="11"/>
  <c r="L25" i="15" s="1"/>
  <c r="K25" i="11"/>
  <c r="M25" i="15" s="1"/>
  <c r="L25" i="11"/>
  <c r="N25" i="15" s="1"/>
  <c r="M25" i="11"/>
  <c r="O25" i="15" s="1"/>
  <c r="N25" i="11"/>
  <c r="P25" i="15" s="1"/>
  <c r="O25" i="11"/>
  <c r="Q25" i="15" s="1"/>
  <c r="Q25" i="11"/>
  <c r="S25" i="15" s="1"/>
  <c r="I26" i="11"/>
  <c r="K26" i="15" s="1"/>
  <c r="J26" i="11"/>
  <c r="L26" i="15" s="1"/>
  <c r="K26" i="11"/>
  <c r="M26" i="15" s="1"/>
  <c r="L26" i="11"/>
  <c r="N26" i="15" s="1"/>
  <c r="M26" i="11"/>
  <c r="O26" i="15" s="1"/>
  <c r="N26" i="11"/>
  <c r="P26" i="15" s="1"/>
  <c r="O26" i="11"/>
  <c r="Q26" i="15" s="1"/>
  <c r="Q26" i="11"/>
  <c r="S26" i="15" s="1"/>
  <c r="I27" i="11"/>
  <c r="K27" i="15" s="1"/>
  <c r="J27" i="11"/>
  <c r="L27" i="15" s="1"/>
  <c r="K27" i="11"/>
  <c r="M27" i="15" s="1"/>
  <c r="L27" i="11"/>
  <c r="N27" i="15" s="1"/>
  <c r="M27" i="11"/>
  <c r="O27" i="15" s="1"/>
  <c r="N27" i="11"/>
  <c r="P27" i="15" s="1"/>
  <c r="O27" i="11"/>
  <c r="Q27" i="15" s="1"/>
  <c r="Q27" i="11"/>
  <c r="S27" i="15" s="1"/>
  <c r="I28" i="11"/>
  <c r="K28" i="15" s="1"/>
  <c r="J28" i="11"/>
  <c r="L28" i="15" s="1"/>
  <c r="K28" i="11"/>
  <c r="M28" i="15" s="1"/>
  <c r="L28" i="11"/>
  <c r="N28" i="15" s="1"/>
  <c r="M28" i="11"/>
  <c r="O28" i="15" s="1"/>
  <c r="N28" i="11"/>
  <c r="P28" i="15" s="1"/>
  <c r="O28" i="11"/>
  <c r="Q28" i="15" s="1"/>
  <c r="Q28" i="11"/>
  <c r="S28" i="15" s="1"/>
  <c r="I29" i="11"/>
  <c r="K29" i="15" s="1"/>
  <c r="J29" i="11"/>
  <c r="L29" i="15" s="1"/>
  <c r="K29" i="11"/>
  <c r="M29" i="15" s="1"/>
  <c r="L29" i="11"/>
  <c r="N29" i="15" s="1"/>
  <c r="M29" i="11"/>
  <c r="O29" i="15" s="1"/>
  <c r="N29" i="11"/>
  <c r="P29" i="15" s="1"/>
  <c r="O29" i="11"/>
  <c r="Q29" i="15" s="1"/>
  <c r="Q29" i="11"/>
  <c r="S29" i="15" s="1"/>
  <c r="I30" i="11"/>
  <c r="K30" i="15" s="1"/>
  <c r="J30" i="11"/>
  <c r="L30" i="15" s="1"/>
  <c r="K30" i="11"/>
  <c r="M30" i="15" s="1"/>
  <c r="L30" i="11"/>
  <c r="N30" i="15" s="1"/>
  <c r="M30" i="11"/>
  <c r="O30" i="15" s="1"/>
  <c r="N30" i="11"/>
  <c r="P30" i="15" s="1"/>
  <c r="O30" i="11"/>
  <c r="Q30" i="15" s="1"/>
  <c r="Q30" i="11"/>
  <c r="S30" i="15" s="1"/>
  <c r="I31" i="11"/>
  <c r="K31" i="15" s="1"/>
  <c r="J31" i="11"/>
  <c r="L31" i="15" s="1"/>
  <c r="K31" i="11"/>
  <c r="M31" i="15" s="1"/>
  <c r="L31" i="11"/>
  <c r="N31" i="15" s="1"/>
  <c r="M31" i="11"/>
  <c r="O31" i="15" s="1"/>
  <c r="N31" i="11"/>
  <c r="P31" i="15" s="1"/>
  <c r="O31" i="11"/>
  <c r="Q31" i="15" s="1"/>
  <c r="Q31" i="11"/>
  <c r="S31" i="15" s="1"/>
  <c r="I32" i="11"/>
  <c r="K32" i="15" s="1"/>
  <c r="J32" i="11"/>
  <c r="L32" i="15" s="1"/>
  <c r="K32" i="11"/>
  <c r="M32" i="15" s="1"/>
  <c r="L32" i="11"/>
  <c r="N32" i="15" s="1"/>
  <c r="M32" i="11"/>
  <c r="O32" i="15" s="1"/>
  <c r="N32" i="11"/>
  <c r="P32" i="15" s="1"/>
  <c r="O32" i="11"/>
  <c r="Q32" i="15" s="1"/>
  <c r="Q32" i="11"/>
  <c r="S32" i="15" s="1"/>
  <c r="I33" i="11"/>
  <c r="K33" i="15" s="1"/>
  <c r="J33" i="11"/>
  <c r="L33" i="15" s="1"/>
  <c r="K33" i="11"/>
  <c r="M33" i="15" s="1"/>
  <c r="L33" i="11"/>
  <c r="N33" i="15" s="1"/>
  <c r="M33" i="11"/>
  <c r="O33" i="15" s="1"/>
  <c r="N33" i="11"/>
  <c r="P33" i="15" s="1"/>
  <c r="O33" i="11"/>
  <c r="Q33" i="15" s="1"/>
  <c r="Q33" i="11"/>
  <c r="S33" i="15" s="1"/>
  <c r="I34" i="11"/>
  <c r="K34" i="15" s="1"/>
  <c r="J34" i="11"/>
  <c r="L34" i="15" s="1"/>
  <c r="K34" i="11"/>
  <c r="M34" i="15" s="1"/>
  <c r="L34" i="11"/>
  <c r="N34" i="15" s="1"/>
  <c r="M34" i="11"/>
  <c r="O34" i="15" s="1"/>
  <c r="N34" i="11"/>
  <c r="P34" i="15" s="1"/>
  <c r="O34" i="11"/>
  <c r="Q34" i="15" s="1"/>
  <c r="Q34" i="11"/>
  <c r="S34" i="15" s="1"/>
  <c r="I35" i="11"/>
  <c r="K35" i="15" s="1"/>
  <c r="J35" i="11"/>
  <c r="L35" i="15" s="1"/>
  <c r="K35" i="11"/>
  <c r="M35" i="15" s="1"/>
  <c r="L35" i="11"/>
  <c r="N35" i="15" s="1"/>
  <c r="M35" i="11"/>
  <c r="O35" i="15" s="1"/>
  <c r="N35" i="11"/>
  <c r="P35" i="15" s="1"/>
  <c r="O35" i="11"/>
  <c r="Q35" i="15" s="1"/>
  <c r="Q35" i="11"/>
  <c r="S35" i="15" s="1"/>
  <c r="J5" i="11"/>
  <c r="L5" i="15" s="1"/>
  <c r="K5" i="11"/>
  <c r="M5" i="15" s="1"/>
  <c r="L5" i="11"/>
  <c r="N5" i="15" s="1"/>
  <c r="M5" i="11"/>
  <c r="O5" i="15" s="1"/>
  <c r="N5" i="11"/>
  <c r="P5" i="15" s="1"/>
  <c r="O5" i="11"/>
  <c r="Q5" i="15" s="1"/>
  <c r="Q5" i="11"/>
  <c r="S5" i="15" s="1"/>
  <c r="C41" i="6"/>
  <c r="C42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43" i="6"/>
  <c r="C64" i="6"/>
  <c r="S5" i="11"/>
  <c r="U5" i="15" s="1"/>
  <c r="V11" i="11"/>
  <c r="X11" i="15" s="1"/>
  <c r="V13" i="11"/>
  <c r="X13" i="15" s="1"/>
  <c r="V14" i="11"/>
  <c r="X14" i="15" s="1"/>
  <c r="V17" i="11"/>
  <c r="X17" i="15" s="1"/>
  <c r="V19" i="11"/>
  <c r="X19" i="15" s="1"/>
  <c r="V21" i="11"/>
  <c r="X21" i="15" s="1"/>
  <c r="V22" i="11"/>
  <c r="X22" i="15" s="1"/>
  <c r="V23" i="11"/>
  <c r="X23" i="15" s="1"/>
  <c r="V26" i="11"/>
  <c r="X26" i="15" s="1"/>
  <c r="V29" i="11"/>
  <c r="X29" i="15" s="1"/>
  <c r="V30" i="11"/>
  <c r="X30" i="15" s="1"/>
  <c r="V31" i="11"/>
  <c r="X31" i="15" s="1"/>
  <c r="V32" i="11"/>
  <c r="X32" i="15" s="1"/>
  <c r="V35" i="11"/>
  <c r="X35" i="15" s="1"/>
  <c r="V38" i="11"/>
  <c r="X38" i="15" s="1"/>
  <c r="V39" i="11"/>
  <c r="X39" i="15" s="1"/>
  <c r="V40" i="11"/>
  <c r="X40" i="15" s="1"/>
  <c r="V41" i="11"/>
  <c r="X41" i="15" s="1"/>
  <c r="V7" i="11"/>
  <c r="V9" i="11"/>
  <c r="V10" i="11"/>
  <c r="U12" i="11"/>
  <c r="W12" i="15" s="1"/>
  <c r="V12" i="11"/>
  <c r="X12" i="15" s="1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N2" i="15" l="1"/>
  <c r="M2" i="15"/>
  <c r="E50" i="21"/>
  <c r="C42" i="15" s="1"/>
  <c r="T7" i="11"/>
  <c r="V7" i="15" s="1"/>
  <c r="X7" i="15"/>
  <c r="P9" i="11"/>
  <c r="R8" i="15"/>
  <c r="Q2" i="15"/>
  <c r="P2" i="15"/>
  <c r="X31" i="11"/>
  <c r="Z30" i="15"/>
  <c r="T9" i="11"/>
  <c r="V9" i="15" s="1"/>
  <c r="X9" i="15"/>
  <c r="W22" i="11"/>
  <c r="Y21" i="15"/>
  <c r="T10" i="11"/>
  <c r="V10" i="15" s="1"/>
  <c r="X10" i="15"/>
  <c r="O2" i="15"/>
  <c r="T12" i="11"/>
  <c r="V12" i="15" s="1"/>
  <c r="E8" i="18"/>
  <c r="F8" i="18" s="1"/>
  <c r="C9" i="18"/>
  <c r="C37" i="18"/>
  <c r="E36" i="18"/>
  <c r="F36" i="18" s="1"/>
  <c r="V8" i="11"/>
  <c r="V37" i="11"/>
  <c r="X37" i="15" s="1"/>
  <c r="V27" i="11"/>
  <c r="X27" i="15" s="1"/>
  <c r="V18" i="11"/>
  <c r="X18" i="15" s="1"/>
  <c r="V16" i="11"/>
  <c r="X16" i="15" s="1"/>
  <c r="V43" i="11"/>
  <c r="X43" i="15" s="1"/>
  <c r="V34" i="11"/>
  <c r="X34" i="15" s="1"/>
  <c r="V25" i="11"/>
  <c r="X25" i="15" s="1"/>
  <c r="V42" i="11"/>
  <c r="X42" i="15" s="1"/>
  <c r="V33" i="11"/>
  <c r="X33" i="15" s="1"/>
  <c r="V24" i="11"/>
  <c r="X24" i="15" s="1"/>
  <c r="V15" i="11"/>
  <c r="X15" i="15" s="1"/>
  <c r="V44" i="11"/>
  <c r="X44" i="15" s="1"/>
  <c r="V36" i="11"/>
  <c r="X36" i="15" s="1"/>
  <c r="V28" i="11"/>
  <c r="X28" i="15" s="1"/>
  <c r="V20" i="11"/>
  <c r="X20" i="15" s="1"/>
  <c r="R23" i="11"/>
  <c r="T23" i="15" s="1"/>
  <c r="F147" i="3"/>
  <c r="G146" i="3"/>
  <c r="J164" i="3"/>
  <c r="F63" i="2"/>
  <c r="G62" i="2"/>
  <c r="H83" i="2"/>
  <c r="E51" i="21" l="1"/>
  <c r="C43" i="15" s="1"/>
  <c r="T8" i="11"/>
  <c r="V8" i="15" s="1"/>
  <c r="X8" i="15"/>
  <c r="W23" i="11"/>
  <c r="Y22" i="15"/>
  <c r="P10" i="11"/>
  <c r="R9" i="15"/>
  <c r="X32" i="11"/>
  <c r="Z31" i="15"/>
  <c r="C38" i="18"/>
  <c r="E37" i="18"/>
  <c r="F37" i="18" s="1"/>
  <c r="C10" i="18"/>
  <c r="E9" i="18"/>
  <c r="F9" i="18" s="1"/>
  <c r="R24" i="11"/>
  <c r="T24" i="15" s="1"/>
  <c r="F148" i="3"/>
  <c r="G147" i="3"/>
  <c r="F64" i="2"/>
  <c r="G63" i="2"/>
  <c r="E52" i="21" l="1"/>
  <c r="C44" i="15" s="1"/>
  <c r="E53" i="21"/>
  <c r="C45" i="15" s="1"/>
  <c r="P11" i="11"/>
  <c r="R10" i="15"/>
  <c r="W24" i="11"/>
  <c r="Y23" i="15"/>
  <c r="X33" i="11"/>
  <c r="Z32" i="15"/>
  <c r="E38" i="18"/>
  <c r="F38" i="18" s="1"/>
  <c r="C39" i="18"/>
  <c r="E10" i="18"/>
  <c r="F10" i="18" s="1"/>
  <c r="C11" i="18"/>
  <c r="R25" i="11"/>
  <c r="T25" i="15" s="1"/>
  <c r="G148" i="3"/>
  <c r="F149" i="3"/>
  <c r="G64" i="2"/>
  <c r="F65" i="2"/>
  <c r="T5" i="11"/>
  <c r="V5" i="15" s="1"/>
  <c r="V2" i="15" s="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B63" i="4"/>
  <c r="B62" i="4"/>
  <c r="B61" i="4"/>
  <c r="B60" i="4"/>
  <c r="B59" i="4"/>
  <c r="B58" i="4"/>
  <c r="B57" i="4"/>
  <c r="B56" i="4"/>
  <c r="B36" i="11"/>
  <c r="D36" i="15" s="1"/>
  <c r="C36" i="11"/>
  <c r="E36" i="15" s="1"/>
  <c r="B37" i="11"/>
  <c r="D37" i="15" s="1"/>
  <c r="C37" i="11"/>
  <c r="E37" i="15" s="1"/>
  <c r="B38" i="11"/>
  <c r="D38" i="15" s="1"/>
  <c r="C38" i="11"/>
  <c r="E38" i="15" s="1"/>
  <c r="B39" i="11"/>
  <c r="D39" i="15" s="1"/>
  <c r="C39" i="11"/>
  <c r="E39" i="15" s="1"/>
  <c r="B40" i="11"/>
  <c r="D40" i="15" s="1"/>
  <c r="C40" i="11"/>
  <c r="E40" i="15" s="1"/>
  <c r="B41" i="11"/>
  <c r="D41" i="15" s="1"/>
  <c r="C41" i="11"/>
  <c r="E41" i="15" s="1"/>
  <c r="B42" i="11"/>
  <c r="D42" i="15" s="1"/>
  <c r="C42" i="11"/>
  <c r="E42" i="15" s="1"/>
  <c r="B43" i="11"/>
  <c r="D43" i="15" s="1"/>
  <c r="C43" i="11"/>
  <c r="E43" i="15" s="1"/>
  <c r="B44" i="11"/>
  <c r="D44" i="15" s="1"/>
  <c r="C44" i="11"/>
  <c r="E44" i="15" s="1"/>
  <c r="B45" i="11"/>
  <c r="D45" i="15" s="1"/>
  <c r="C45" i="11"/>
  <c r="E45" i="15" s="1"/>
  <c r="F6" i="11"/>
  <c r="H6" i="15" s="1"/>
  <c r="G6" i="11"/>
  <c r="I6" i="15" s="1"/>
  <c r="H6" i="11"/>
  <c r="J6" i="15" s="1"/>
  <c r="H5" i="11"/>
  <c r="J5" i="15" s="1"/>
  <c r="G5" i="11"/>
  <c r="I5" i="15" s="1"/>
  <c r="F5" i="11"/>
  <c r="H5" i="15" s="1"/>
  <c r="I35" i="3"/>
  <c r="I37" i="3"/>
  <c r="I39" i="3"/>
  <c r="I41" i="3"/>
  <c r="I43" i="3"/>
  <c r="I45" i="3"/>
  <c r="I47" i="3"/>
  <c r="I49" i="3"/>
  <c r="I51" i="3"/>
  <c r="I53" i="3"/>
  <c r="I55" i="3"/>
  <c r="I57" i="3"/>
  <c r="I59" i="3"/>
  <c r="I61" i="3"/>
  <c r="I63" i="3"/>
  <c r="I65" i="3"/>
  <c r="I67" i="3"/>
  <c r="I69" i="3"/>
  <c r="I71" i="3"/>
  <c r="I73" i="3"/>
  <c r="I75" i="3"/>
  <c r="I77" i="3"/>
  <c r="I79" i="3"/>
  <c r="I81" i="3"/>
  <c r="I83" i="3"/>
  <c r="I85" i="3"/>
  <c r="I87" i="3"/>
  <c r="I89" i="3"/>
  <c r="I91" i="3"/>
  <c r="I93" i="3"/>
  <c r="I95" i="3"/>
  <c r="I97" i="3"/>
  <c r="I99" i="3"/>
  <c r="I101" i="3"/>
  <c r="I103" i="3"/>
  <c r="I105" i="3"/>
  <c r="I107" i="3"/>
  <c r="I109" i="3"/>
  <c r="I111" i="3"/>
  <c r="I113" i="3"/>
  <c r="I115" i="3"/>
  <c r="I117" i="3"/>
  <c r="M118" i="3"/>
  <c r="I119" i="3"/>
  <c r="I121" i="3"/>
  <c r="I123" i="3"/>
  <c r="I125" i="3"/>
  <c r="I127" i="3"/>
  <c r="I129" i="3"/>
  <c r="I131" i="3"/>
  <c r="I133" i="3"/>
  <c r="I135" i="3"/>
  <c r="I137" i="3"/>
  <c r="I139" i="3"/>
  <c r="I141" i="3"/>
  <c r="I143" i="3"/>
  <c r="I145" i="3"/>
  <c r="I147" i="3"/>
  <c r="I149" i="3"/>
  <c r="I151" i="3"/>
  <c r="I153" i="3"/>
  <c r="I155" i="3"/>
  <c r="I157" i="3"/>
  <c r="I159" i="3"/>
  <c r="I161" i="3"/>
  <c r="I163" i="3"/>
  <c r="I165" i="3"/>
  <c r="I167" i="3"/>
  <c r="I169" i="3"/>
  <c r="I171" i="3"/>
  <c r="I173" i="3"/>
  <c r="I175" i="3"/>
  <c r="I177" i="3"/>
  <c r="I179" i="3"/>
  <c r="I181" i="3"/>
  <c r="I183" i="3"/>
  <c r="I185" i="3"/>
  <c r="I187" i="3"/>
  <c r="I189" i="3"/>
  <c r="I191" i="3"/>
  <c r="I193" i="3"/>
  <c r="I195" i="3"/>
  <c r="I197" i="3"/>
  <c r="I199" i="3"/>
  <c r="I201" i="3"/>
  <c r="I203" i="3"/>
  <c r="I205" i="3"/>
  <c r="I207" i="3"/>
  <c r="I209" i="3"/>
  <c r="I211" i="3"/>
  <c r="I213" i="3"/>
  <c r="I215" i="3"/>
  <c r="I217" i="3"/>
  <c r="I219" i="3"/>
  <c r="I221" i="3"/>
  <c r="I223" i="3"/>
  <c r="I225" i="3"/>
  <c r="I227" i="3"/>
  <c r="I229" i="3"/>
  <c r="I231" i="3"/>
  <c r="I233" i="3"/>
  <c r="I235" i="3"/>
  <c r="I237" i="3"/>
  <c r="I239" i="3"/>
  <c r="I241" i="3"/>
  <c r="I243" i="3"/>
  <c r="I245" i="3"/>
  <c r="I247" i="3"/>
  <c r="H28" i="2"/>
  <c r="I28" i="2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22" i="3"/>
  <c r="B46" i="11"/>
  <c r="B48" i="11"/>
  <c r="B49" i="11"/>
  <c r="B50" i="11"/>
  <c r="C5" i="11"/>
  <c r="E5" i="15" s="1"/>
  <c r="C6" i="11"/>
  <c r="E6" i="15" s="1"/>
  <c r="B7" i="11"/>
  <c r="B8" i="11"/>
  <c r="D8" i="15" s="1"/>
  <c r="B9" i="11"/>
  <c r="D9" i="15" s="1"/>
  <c r="C40" i="2"/>
  <c r="C2" i="2"/>
  <c r="F25" i="2"/>
  <c r="F26" i="2"/>
  <c r="F27" i="2"/>
  <c r="F28" i="2"/>
  <c r="F29" i="2"/>
  <c r="F30" i="2"/>
  <c r="S7" i="16"/>
  <c r="V7" i="16"/>
  <c r="V13" i="16" s="1"/>
  <c r="Y7" i="16"/>
  <c r="AE7" i="16"/>
  <c r="S8" i="16"/>
  <c r="V8" i="16"/>
  <c r="Y8" i="16"/>
  <c r="AE8" i="16"/>
  <c r="S9" i="16"/>
  <c r="V9" i="16"/>
  <c r="Y9" i="16"/>
  <c r="AE9" i="16"/>
  <c r="V10" i="16"/>
  <c r="Y10" i="16"/>
  <c r="AE10" i="16"/>
  <c r="AE13" i="16" s="1"/>
  <c r="S11" i="16"/>
  <c r="V11" i="16"/>
  <c r="Y11" i="16"/>
  <c r="AE11" i="16"/>
  <c r="S12" i="16"/>
  <c r="V12" i="16"/>
  <c r="Y12" i="16"/>
  <c r="AE12" i="16"/>
  <c r="E13" i="16"/>
  <c r="F13" i="16"/>
  <c r="G13" i="16"/>
  <c r="H13" i="16"/>
  <c r="H43" i="16" s="1"/>
  <c r="I13" i="16"/>
  <c r="J13" i="16"/>
  <c r="K13" i="16"/>
  <c r="L13" i="16"/>
  <c r="M13" i="16"/>
  <c r="N13" i="16"/>
  <c r="O13" i="16"/>
  <c r="P13" i="16"/>
  <c r="Q13" i="16"/>
  <c r="R13" i="16"/>
  <c r="S13" i="16"/>
  <c r="T13" i="16"/>
  <c r="T43" i="16" s="1"/>
  <c r="U13" i="16"/>
  <c r="W13" i="16"/>
  <c r="X13" i="16"/>
  <c r="AC13" i="16"/>
  <c r="AD13" i="16"/>
  <c r="S15" i="16"/>
  <c r="V15" i="16"/>
  <c r="Y15" i="16"/>
  <c r="Y24" i="16" s="1"/>
  <c r="AB15" i="16"/>
  <c r="AB24" i="16" s="1"/>
  <c r="AE15" i="16"/>
  <c r="S16" i="16"/>
  <c r="V16" i="16"/>
  <c r="Y16" i="16"/>
  <c r="AB16" i="16"/>
  <c r="AE16" i="16"/>
  <c r="S17" i="16"/>
  <c r="V17" i="16"/>
  <c r="Y17" i="16"/>
  <c r="AB17" i="16"/>
  <c r="AE17" i="16"/>
  <c r="S18" i="16"/>
  <c r="S24" i="16" s="1"/>
  <c r="V18" i="16"/>
  <c r="Y18" i="16"/>
  <c r="AB18" i="16"/>
  <c r="AE18" i="16"/>
  <c r="S19" i="16"/>
  <c r="V19" i="16"/>
  <c r="Y19" i="16"/>
  <c r="AB19" i="16"/>
  <c r="AE19" i="16"/>
  <c r="S20" i="16"/>
  <c r="V20" i="16"/>
  <c r="Y20" i="16"/>
  <c r="AB20" i="16"/>
  <c r="AE20" i="16"/>
  <c r="S21" i="16"/>
  <c r="V21" i="16"/>
  <c r="Y21" i="16"/>
  <c r="AB21" i="16"/>
  <c r="AE21" i="16"/>
  <c r="S22" i="16"/>
  <c r="V22" i="16"/>
  <c r="Y22" i="16"/>
  <c r="AB22" i="16"/>
  <c r="AE22" i="16"/>
  <c r="S23" i="16"/>
  <c r="V23" i="16"/>
  <c r="Y23" i="16"/>
  <c r="AB23" i="16"/>
  <c r="AE23" i="16"/>
  <c r="E24" i="16"/>
  <c r="F24" i="16"/>
  <c r="G24" i="16"/>
  <c r="H24" i="16"/>
  <c r="I24" i="16"/>
  <c r="J24" i="16"/>
  <c r="J43" i="16" s="1"/>
  <c r="K24" i="16"/>
  <c r="L24" i="16"/>
  <c r="M24" i="16"/>
  <c r="N24" i="16"/>
  <c r="O24" i="16"/>
  <c r="P24" i="16"/>
  <c r="Q24" i="16"/>
  <c r="R24" i="16"/>
  <c r="T24" i="16"/>
  <c r="U24" i="16"/>
  <c r="V24" i="16"/>
  <c r="W24" i="16"/>
  <c r="X24" i="16"/>
  <c r="Z24" i="16"/>
  <c r="AA24" i="16"/>
  <c r="AC24" i="16"/>
  <c r="AD24" i="16"/>
  <c r="S26" i="16"/>
  <c r="V26" i="16"/>
  <c r="Y26" i="16"/>
  <c r="AB26" i="16"/>
  <c r="AE26" i="16"/>
  <c r="S28" i="16"/>
  <c r="V28" i="16"/>
  <c r="Y28" i="16"/>
  <c r="AB28" i="16"/>
  <c r="AE28" i="16"/>
  <c r="M30" i="16"/>
  <c r="S30" i="16"/>
  <c r="V30" i="16"/>
  <c r="V33" i="16" s="1"/>
  <c r="Y30" i="16"/>
  <c r="AB30" i="16"/>
  <c r="AE30" i="16"/>
  <c r="AE33" i="16" s="1"/>
  <c r="M31" i="16"/>
  <c r="S31" i="16"/>
  <c r="V31" i="16"/>
  <c r="Y31" i="16"/>
  <c r="AB31" i="16"/>
  <c r="AE31" i="16"/>
  <c r="S32" i="16"/>
  <c r="V32" i="16"/>
  <c r="Y32" i="16"/>
  <c r="AB32" i="16"/>
  <c r="AE32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P43" i="16" s="1"/>
  <c r="Q33" i="16"/>
  <c r="R33" i="16"/>
  <c r="S33" i="16"/>
  <c r="T33" i="16"/>
  <c r="U33" i="16"/>
  <c r="W33" i="16"/>
  <c r="Y33" i="16" s="1"/>
  <c r="X33" i="16"/>
  <c r="Z33" i="16"/>
  <c r="AA33" i="16"/>
  <c r="AB33" i="16"/>
  <c r="AC33" i="16"/>
  <c r="AD33" i="16"/>
  <c r="S35" i="16"/>
  <c r="V35" i="16"/>
  <c r="Y35" i="16"/>
  <c r="AB35" i="16"/>
  <c r="AE35" i="16"/>
  <c r="S37" i="16"/>
  <c r="V37" i="16"/>
  <c r="Y37" i="16"/>
  <c r="AB37" i="16"/>
  <c r="AE37" i="16"/>
  <c r="S39" i="16"/>
  <c r="V39" i="16"/>
  <c r="V42" i="16" s="1"/>
  <c r="Y39" i="16"/>
  <c r="AB39" i="16"/>
  <c r="AB42" i="16" s="1"/>
  <c r="AE39" i="16"/>
  <c r="S40" i="16"/>
  <c r="V40" i="16"/>
  <c r="Y40" i="16"/>
  <c r="AB40" i="16"/>
  <c r="AE40" i="16"/>
  <c r="AE42" i="16" s="1"/>
  <c r="S41" i="16"/>
  <c r="Y41" i="16"/>
  <c r="AE41" i="16"/>
  <c r="E42" i="16"/>
  <c r="E43" i="16" s="1"/>
  <c r="F42" i="16"/>
  <c r="G42" i="16"/>
  <c r="H42" i="16"/>
  <c r="I42" i="16"/>
  <c r="I43" i="16" s="1"/>
  <c r="J42" i="16"/>
  <c r="K42" i="16"/>
  <c r="L42" i="16"/>
  <c r="M42" i="16"/>
  <c r="M43" i="16" s="1"/>
  <c r="N42" i="16"/>
  <c r="N43" i="16" s="1"/>
  <c r="O42" i="16"/>
  <c r="O43" i="16" s="1"/>
  <c r="P42" i="16"/>
  <c r="Q42" i="16"/>
  <c r="Q43" i="16" s="1"/>
  <c r="R42" i="16"/>
  <c r="T42" i="16"/>
  <c r="U42" i="16"/>
  <c r="U43" i="16" s="1"/>
  <c r="W42" i="16"/>
  <c r="Y42" i="16" s="1"/>
  <c r="X42" i="16"/>
  <c r="Z42" i="16"/>
  <c r="Z43" i="16" s="1"/>
  <c r="AA42" i="16"/>
  <c r="AA43" i="16" s="1"/>
  <c r="AC42" i="16"/>
  <c r="AC43" i="16" s="1"/>
  <c r="AD42" i="16"/>
  <c r="F43" i="16"/>
  <c r="K43" i="16"/>
  <c r="L43" i="16"/>
  <c r="R43" i="16"/>
  <c r="W43" i="16"/>
  <c r="X43" i="16"/>
  <c r="AD43" i="16"/>
  <c r="N47" i="16"/>
  <c r="O47" i="16"/>
  <c r="P47" i="16"/>
  <c r="Q47" i="16"/>
  <c r="R47" i="16"/>
  <c r="S47" i="16"/>
  <c r="T47" i="16"/>
  <c r="U47" i="16"/>
  <c r="V47" i="16"/>
  <c r="N48" i="16"/>
  <c r="O48" i="16"/>
  <c r="P48" i="16"/>
  <c r="Q48" i="16"/>
  <c r="R48" i="16"/>
  <c r="S48" i="16"/>
  <c r="T48" i="16"/>
  <c r="U48" i="16"/>
  <c r="V48" i="16"/>
  <c r="N49" i="16"/>
  <c r="O49" i="16"/>
  <c r="P49" i="16"/>
  <c r="Q49" i="16"/>
  <c r="R49" i="16"/>
  <c r="S49" i="16"/>
  <c r="T49" i="16"/>
  <c r="U49" i="16"/>
  <c r="V49" i="16"/>
  <c r="N50" i="16"/>
  <c r="O50" i="16"/>
  <c r="P50" i="16"/>
  <c r="Q50" i="16"/>
  <c r="R50" i="16"/>
  <c r="S50" i="16"/>
  <c r="T50" i="16"/>
  <c r="U50" i="16"/>
  <c r="V50" i="16"/>
  <c r="N51" i="16"/>
  <c r="O51" i="16"/>
  <c r="P51" i="16"/>
  <c r="Q51" i="16"/>
  <c r="R51" i="16"/>
  <c r="S51" i="16"/>
  <c r="T51" i="16"/>
  <c r="U51" i="16"/>
  <c r="V51" i="16"/>
  <c r="N52" i="16"/>
  <c r="O52" i="16"/>
  <c r="P52" i="16"/>
  <c r="Q52" i="16"/>
  <c r="R52" i="16"/>
  <c r="S52" i="16"/>
  <c r="T52" i="16"/>
  <c r="U52" i="16"/>
  <c r="V52" i="16"/>
  <c r="N53" i="16"/>
  <c r="O53" i="16"/>
  <c r="P53" i="16"/>
  <c r="Q53" i="16"/>
  <c r="R53" i="16"/>
  <c r="S53" i="16"/>
  <c r="T53" i="16"/>
  <c r="U53" i="16"/>
  <c r="V53" i="16"/>
  <c r="N54" i="16"/>
  <c r="O54" i="16"/>
  <c r="P54" i="16"/>
  <c r="Q54" i="16"/>
  <c r="R54" i="16"/>
  <c r="S54" i="16"/>
  <c r="T54" i="16"/>
  <c r="U54" i="16"/>
  <c r="V54" i="16"/>
  <c r="B6" i="11" l="1"/>
  <c r="D7" i="15"/>
  <c r="X34" i="11"/>
  <c r="Z33" i="15"/>
  <c r="W25" i="11"/>
  <c r="Y24" i="15"/>
  <c r="E2" i="15"/>
  <c r="P12" i="11"/>
  <c r="R11" i="15"/>
  <c r="C40" i="18"/>
  <c r="E39" i="18"/>
  <c r="F39" i="18" s="1"/>
  <c r="C12" i="18"/>
  <c r="E11" i="18"/>
  <c r="F11" i="18" s="1"/>
  <c r="H45" i="11"/>
  <c r="J45" i="15" s="1"/>
  <c r="J2" i="15" s="1"/>
  <c r="H7" i="11"/>
  <c r="G45" i="11"/>
  <c r="I45" i="15" s="1"/>
  <c r="I2" i="15" s="1"/>
  <c r="G7" i="11"/>
  <c r="F7" i="11"/>
  <c r="F45" i="11"/>
  <c r="H45" i="15" s="1"/>
  <c r="H2" i="15" s="1"/>
  <c r="R26" i="11"/>
  <c r="T26" i="15" s="1"/>
  <c r="G149" i="3"/>
  <c r="F150" i="3"/>
  <c r="F66" i="2"/>
  <c r="G65" i="2"/>
  <c r="S42" i="16"/>
  <c r="S43" i="16" s="1"/>
  <c r="G43" i="16"/>
  <c r="AB43" i="16"/>
  <c r="V43" i="16"/>
  <c r="AE24" i="16"/>
  <c r="AE43" i="16"/>
  <c r="Y13" i="16"/>
  <c r="Y43" i="16" s="1"/>
  <c r="C20" i="2"/>
  <c r="F20" i="2" s="1"/>
  <c r="H8" i="11" l="1"/>
  <c r="J7" i="15"/>
  <c r="W26" i="11"/>
  <c r="Y25" i="15"/>
  <c r="X35" i="11"/>
  <c r="Z34" i="15"/>
  <c r="F8" i="11"/>
  <c r="H7" i="15"/>
  <c r="G8" i="11"/>
  <c r="I7" i="15"/>
  <c r="B5" i="11"/>
  <c r="D5" i="15" s="1"/>
  <c r="D2" i="15" s="1"/>
  <c r="D6" i="15"/>
  <c r="P13" i="11"/>
  <c r="R12" i="15"/>
  <c r="E40" i="18"/>
  <c r="F40" i="18" s="1"/>
  <c r="C41" i="18"/>
  <c r="C13" i="18"/>
  <c r="E12" i="18"/>
  <c r="F12" i="18" s="1"/>
  <c r="R27" i="11"/>
  <c r="T27" i="15" s="1"/>
  <c r="G150" i="3"/>
  <c r="F151" i="3"/>
  <c r="F67" i="2"/>
  <c r="G66" i="2"/>
  <c r="F9" i="11" l="1"/>
  <c r="H8" i="15"/>
  <c r="P14" i="11"/>
  <c r="R13" i="15"/>
  <c r="X36" i="11"/>
  <c r="Z35" i="15"/>
  <c r="W27" i="11"/>
  <c r="Y26" i="15"/>
  <c r="G9" i="11"/>
  <c r="I8" i="15"/>
  <c r="H9" i="11"/>
  <c r="J8" i="15"/>
  <c r="E13" i="18"/>
  <c r="F13" i="18" s="1"/>
  <c r="C14" i="18"/>
  <c r="E41" i="18"/>
  <c r="F41" i="18" s="1"/>
  <c r="C42" i="18"/>
  <c r="R28" i="11"/>
  <c r="T28" i="15" s="1"/>
  <c r="G151" i="3"/>
  <c r="F152" i="3"/>
  <c r="G67" i="2"/>
  <c r="F68" i="2"/>
  <c r="W28" i="11" l="1"/>
  <c r="Y27" i="15"/>
  <c r="X37" i="11"/>
  <c r="Z36" i="15"/>
  <c r="G10" i="11"/>
  <c r="I9" i="15"/>
  <c r="H10" i="11"/>
  <c r="J9" i="15"/>
  <c r="P15" i="11"/>
  <c r="R14" i="15"/>
  <c r="F10" i="11"/>
  <c r="H9" i="15"/>
  <c r="C43" i="18"/>
  <c r="E43" i="18" s="1"/>
  <c r="E42" i="18"/>
  <c r="F42" i="18" s="1"/>
  <c r="E14" i="18"/>
  <c r="F14" i="18" s="1"/>
  <c r="C15" i="18"/>
  <c r="R29" i="11"/>
  <c r="T29" i="15" s="1"/>
  <c r="F153" i="3"/>
  <c r="G152" i="3"/>
  <c r="G68" i="2"/>
  <c r="F69" i="2"/>
  <c r="P16" i="11" l="1"/>
  <c r="R15" i="15"/>
  <c r="W29" i="11"/>
  <c r="Y28" i="15"/>
  <c r="H11" i="11"/>
  <c r="J10" i="15"/>
  <c r="G11" i="11"/>
  <c r="I10" i="15"/>
  <c r="F11" i="11"/>
  <c r="H10" i="15"/>
  <c r="X38" i="11"/>
  <c r="Z37" i="15"/>
  <c r="C16" i="18"/>
  <c r="E15" i="18"/>
  <c r="F15" i="18" s="1"/>
  <c r="F45" i="18"/>
  <c r="F43" i="18"/>
  <c r="R30" i="11"/>
  <c r="T30" i="15" s="1"/>
  <c r="F154" i="3"/>
  <c r="G153" i="3"/>
  <c r="G69" i="2"/>
  <c r="F70" i="2"/>
  <c r="F47" i="7"/>
  <c r="A32" i="7"/>
  <c r="A33" i="7"/>
  <c r="A34" i="7"/>
  <c r="A35" i="7"/>
  <c r="A36" i="7"/>
  <c r="A37" i="7"/>
  <c r="A38" i="7"/>
  <c r="A31" i="7"/>
  <c r="B37" i="7"/>
  <c r="C37" i="7"/>
  <c r="D37" i="7"/>
  <c r="E37" i="7"/>
  <c r="F37" i="7"/>
  <c r="G37" i="7"/>
  <c r="H37" i="7"/>
  <c r="I37" i="7"/>
  <c r="J37" i="7"/>
  <c r="K37" i="7"/>
  <c r="B38" i="7"/>
  <c r="C38" i="7"/>
  <c r="D38" i="7"/>
  <c r="E38" i="7"/>
  <c r="F38" i="7"/>
  <c r="G38" i="7"/>
  <c r="H38" i="7"/>
  <c r="I38" i="7"/>
  <c r="J38" i="7"/>
  <c r="K38" i="7"/>
  <c r="B32" i="7"/>
  <c r="C32" i="7"/>
  <c r="D32" i="7"/>
  <c r="E32" i="7"/>
  <c r="F32" i="7"/>
  <c r="G32" i="7"/>
  <c r="H32" i="7"/>
  <c r="I32" i="7"/>
  <c r="J32" i="7"/>
  <c r="K32" i="7"/>
  <c r="B33" i="7"/>
  <c r="C33" i="7"/>
  <c r="D33" i="7"/>
  <c r="E33" i="7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C31" i="7"/>
  <c r="D31" i="7"/>
  <c r="E31" i="7"/>
  <c r="F31" i="7"/>
  <c r="G31" i="7"/>
  <c r="H31" i="7"/>
  <c r="I31" i="7"/>
  <c r="J31" i="7"/>
  <c r="K31" i="7"/>
  <c r="G12" i="11" l="1"/>
  <c r="I11" i="15"/>
  <c r="X39" i="11"/>
  <c r="Z38" i="15"/>
  <c r="W30" i="11"/>
  <c r="Y29" i="15"/>
  <c r="H12" i="11"/>
  <c r="J11" i="15"/>
  <c r="F12" i="11"/>
  <c r="H11" i="15"/>
  <c r="P17" i="11"/>
  <c r="R16" i="15"/>
  <c r="E16" i="18"/>
  <c r="F16" i="18" s="1"/>
  <c r="C17" i="18"/>
  <c r="R31" i="11"/>
  <c r="T31" i="15" s="1"/>
  <c r="F155" i="3"/>
  <c r="G154" i="3"/>
  <c r="F71" i="2"/>
  <c r="G70" i="2"/>
  <c r="E12" i="13"/>
  <c r="H13" i="11" l="1"/>
  <c r="J12" i="15"/>
  <c r="W31" i="11"/>
  <c r="Y30" i="15"/>
  <c r="F13" i="11"/>
  <c r="H12" i="15"/>
  <c r="P18" i="11"/>
  <c r="R17" i="15"/>
  <c r="X40" i="11"/>
  <c r="Z39" i="15"/>
  <c r="G13" i="11"/>
  <c r="I12" i="15"/>
  <c r="C18" i="18"/>
  <c r="E17" i="18"/>
  <c r="F17" i="18" s="1"/>
  <c r="R32" i="11"/>
  <c r="T32" i="15" s="1"/>
  <c r="F156" i="3"/>
  <c r="G155" i="3"/>
  <c r="G71" i="2"/>
  <c r="F72" i="2"/>
  <c r="C35" i="11"/>
  <c r="E35" i="15" s="1"/>
  <c r="S45" i="11"/>
  <c r="U45" i="15" s="1"/>
  <c r="U2" i="15" s="1"/>
  <c r="G14" i="11" l="1"/>
  <c r="I13" i="15"/>
  <c r="W32" i="11"/>
  <c r="Y31" i="15"/>
  <c r="P19" i="11"/>
  <c r="R18" i="15"/>
  <c r="F14" i="11"/>
  <c r="H13" i="15"/>
  <c r="X41" i="11"/>
  <c r="Z40" i="15"/>
  <c r="H14" i="11"/>
  <c r="J13" i="15"/>
  <c r="C19" i="18"/>
  <c r="E18" i="18"/>
  <c r="F18" i="18" s="1"/>
  <c r="R33" i="11"/>
  <c r="T33" i="15" s="1"/>
  <c r="G156" i="3"/>
  <c r="F157" i="3"/>
  <c r="G72" i="2"/>
  <c r="F73" i="2"/>
  <c r="F12" i="13"/>
  <c r="D4" i="20" s="1"/>
  <c r="E20" i="10"/>
  <c r="E21" i="10"/>
  <c r="A21" i="10"/>
  <c r="A19" i="10"/>
  <c r="A20" i="10"/>
  <c r="A18" i="10"/>
  <c r="F15" i="11" l="1"/>
  <c r="H14" i="15"/>
  <c r="P20" i="11"/>
  <c r="R19" i="15"/>
  <c r="H15" i="11"/>
  <c r="J14" i="15"/>
  <c r="W33" i="11"/>
  <c r="Y32" i="15"/>
  <c r="X42" i="11"/>
  <c r="Z41" i="15"/>
  <c r="G15" i="11"/>
  <c r="I14" i="15"/>
  <c r="E19" i="18"/>
  <c r="F19" i="18" s="1"/>
  <c r="C20" i="18"/>
  <c r="R34" i="11"/>
  <c r="T34" i="15" s="1"/>
  <c r="G157" i="3"/>
  <c r="F158" i="3"/>
  <c r="F74" i="2"/>
  <c r="G73" i="2"/>
  <c r="E5" i="13"/>
  <c r="F5" i="13" s="1"/>
  <c r="C4" i="20" s="1"/>
  <c r="C34" i="10"/>
  <c r="D34" i="10" s="1"/>
  <c r="C33" i="10"/>
  <c r="D33" i="10" s="1"/>
  <c r="C32" i="10"/>
  <c r="D32" i="10" s="1"/>
  <c r="C31" i="10"/>
  <c r="D31" i="10" s="1"/>
  <c r="C30" i="10"/>
  <c r="D30" i="10" s="1"/>
  <c r="C29" i="10"/>
  <c r="D29" i="10" s="1"/>
  <c r="C28" i="10"/>
  <c r="D28" i="10" s="1"/>
  <c r="C27" i="10"/>
  <c r="D27" i="10" s="1"/>
  <c r="C26" i="10"/>
  <c r="D26" i="10" s="1"/>
  <c r="A34" i="10"/>
  <c r="A33" i="10"/>
  <c r="A29" i="10"/>
  <c r="E19" i="10"/>
  <c r="E18" i="10"/>
  <c r="D14" i="10"/>
  <c r="E14" i="10" s="1"/>
  <c r="D15" i="10"/>
  <c r="E15" i="10" s="1"/>
  <c r="D13" i="10"/>
  <c r="E13" i="10" s="1"/>
  <c r="W34" i="11" l="1"/>
  <c r="Y33" i="15"/>
  <c r="H16" i="11"/>
  <c r="J15" i="15"/>
  <c r="G16" i="11"/>
  <c r="I15" i="15"/>
  <c r="P21" i="11"/>
  <c r="R20" i="15"/>
  <c r="X43" i="11"/>
  <c r="Z42" i="15"/>
  <c r="F16" i="11"/>
  <c r="H15" i="15"/>
  <c r="E20" i="18"/>
  <c r="F20" i="18" s="1"/>
  <c r="C21" i="18"/>
  <c r="R35" i="11"/>
  <c r="T35" i="15" s="1"/>
  <c r="G158" i="3"/>
  <c r="F159" i="3"/>
  <c r="F75" i="2"/>
  <c r="G74" i="2"/>
  <c r="M44" i="10"/>
  <c r="M45" i="10"/>
  <c r="M54" i="10"/>
  <c r="M56" i="10"/>
  <c r="L61" i="10"/>
  <c r="M47" i="10" s="1"/>
  <c r="M23" i="10"/>
  <c r="M24" i="10"/>
  <c r="M33" i="10"/>
  <c r="M35" i="10"/>
  <c r="L40" i="10"/>
  <c r="M26" i="10" s="1"/>
  <c r="P22" i="11" l="1"/>
  <c r="R21" i="15"/>
  <c r="G17" i="11"/>
  <c r="I16" i="15"/>
  <c r="F17" i="11"/>
  <c r="H16" i="15"/>
  <c r="H17" i="11"/>
  <c r="J16" i="15"/>
  <c r="X44" i="11"/>
  <c r="Z44" i="15" s="1"/>
  <c r="Z43" i="15"/>
  <c r="W35" i="11"/>
  <c r="Y34" i="15"/>
  <c r="C22" i="18"/>
  <c r="E21" i="18"/>
  <c r="F21" i="18" s="1"/>
  <c r="R36" i="11"/>
  <c r="T36" i="15" s="1"/>
  <c r="G159" i="3"/>
  <c r="F160" i="3"/>
  <c r="F76" i="2"/>
  <c r="G75" i="2"/>
  <c r="M32" i="10"/>
  <c r="M22" i="10"/>
  <c r="M52" i="10"/>
  <c r="M49" i="10"/>
  <c r="M53" i="10"/>
  <c r="M43" i="10"/>
  <c r="M37" i="10"/>
  <c r="M27" i="10"/>
  <c r="M58" i="10"/>
  <c r="M48" i="10"/>
  <c r="M31" i="10"/>
  <c r="M40" i="10"/>
  <c r="M29" i="10"/>
  <c r="M61" i="10"/>
  <c r="M50" i="10"/>
  <c r="M39" i="10"/>
  <c r="M28" i="10"/>
  <c r="M60" i="10"/>
  <c r="M36" i="10"/>
  <c r="M25" i="10"/>
  <c r="M57" i="10"/>
  <c r="M46" i="10"/>
  <c r="M38" i="10"/>
  <c r="M34" i="10"/>
  <c r="M30" i="10"/>
  <c r="M59" i="10"/>
  <c r="M55" i="10"/>
  <c r="M51" i="10"/>
  <c r="E8" i="10"/>
  <c r="I8" i="10"/>
  <c r="H18" i="11" l="1"/>
  <c r="J17" i="15"/>
  <c r="F18" i="11"/>
  <c r="H17" i="15"/>
  <c r="W36" i="11"/>
  <c r="Y35" i="15"/>
  <c r="G18" i="11"/>
  <c r="I17" i="15"/>
  <c r="P23" i="11"/>
  <c r="R22" i="15"/>
  <c r="E22" i="18"/>
  <c r="F22" i="18" s="1"/>
  <c r="C23" i="18"/>
  <c r="R37" i="11"/>
  <c r="T37" i="15" s="1"/>
  <c r="G160" i="3"/>
  <c r="F161" i="3"/>
  <c r="G76" i="2"/>
  <c r="F77" i="2"/>
  <c r="E28" i="10"/>
  <c r="E32" i="10"/>
  <c r="E34" i="10"/>
  <c r="E26" i="10"/>
  <c r="E30" i="10"/>
  <c r="E31" i="10"/>
  <c r="E33" i="10"/>
  <c r="E27" i="10"/>
  <c r="E29" i="10"/>
  <c r="C7" i="11"/>
  <c r="E7" i="15" s="1"/>
  <c r="C8" i="11"/>
  <c r="E8" i="15" s="1"/>
  <c r="C9" i="11"/>
  <c r="E9" i="15" s="1"/>
  <c r="C10" i="11"/>
  <c r="E10" i="15" s="1"/>
  <c r="C11" i="11"/>
  <c r="E11" i="15" s="1"/>
  <c r="C12" i="11"/>
  <c r="E12" i="15" s="1"/>
  <c r="C13" i="11"/>
  <c r="E13" i="15" s="1"/>
  <c r="C14" i="11"/>
  <c r="E14" i="15" s="1"/>
  <c r="H4" i="10"/>
  <c r="E3" i="10"/>
  <c r="D3" i="10"/>
  <c r="B3" i="10"/>
  <c r="B10" i="11"/>
  <c r="D10" i="15" s="1"/>
  <c r="B11" i="11"/>
  <c r="D11" i="15" s="1"/>
  <c r="B14" i="11"/>
  <c r="D14" i="15" s="1"/>
  <c r="B23" i="11"/>
  <c r="D23" i="15" s="1"/>
  <c r="B26" i="11"/>
  <c r="D26" i="15" s="1"/>
  <c r="B27" i="11"/>
  <c r="D27" i="15" s="1"/>
  <c r="B30" i="11"/>
  <c r="D30" i="15" s="1"/>
  <c r="B23" i="5"/>
  <c r="G19" i="11" l="1"/>
  <c r="I18" i="15"/>
  <c r="W37" i="11"/>
  <c r="Y36" i="15"/>
  <c r="F19" i="11"/>
  <c r="H18" i="15"/>
  <c r="P24" i="11"/>
  <c r="R23" i="15"/>
  <c r="H19" i="11"/>
  <c r="J18" i="15"/>
  <c r="C24" i="18"/>
  <c r="E23" i="18"/>
  <c r="F23" i="18" s="1"/>
  <c r="R38" i="11"/>
  <c r="T38" i="15" s="1"/>
  <c r="G161" i="3"/>
  <c r="F162" i="3"/>
  <c r="F78" i="2"/>
  <c r="G77" i="2"/>
  <c r="B12" i="11"/>
  <c r="D12" i="15" s="1"/>
  <c r="B35" i="11"/>
  <c r="D35" i="15" s="1"/>
  <c r="B34" i="11"/>
  <c r="D34" i="15" s="1"/>
  <c r="B22" i="11"/>
  <c r="D22" i="15" s="1"/>
  <c r="G4" i="10"/>
  <c r="B19" i="11"/>
  <c r="D19" i="15" s="1"/>
  <c r="B18" i="11"/>
  <c r="D18" i="15" s="1"/>
  <c r="B31" i="11"/>
  <c r="D31" i="15" s="1"/>
  <c r="B15" i="11"/>
  <c r="D15" i="15" s="1"/>
  <c r="B33" i="11"/>
  <c r="D33" i="15" s="1"/>
  <c r="B29" i="11"/>
  <c r="D29" i="15" s="1"/>
  <c r="B25" i="11"/>
  <c r="D25" i="15" s="1"/>
  <c r="B21" i="11"/>
  <c r="D21" i="15" s="1"/>
  <c r="B17" i="11"/>
  <c r="D17" i="15" s="1"/>
  <c r="B13" i="11"/>
  <c r="D13" i="15" s="1"/>
  <c r="B32" i="11"/>
  <c r="D32" i="15" s="1"/>
  <c r="B28" i="11"/>
  <c r="D28" i="15" s="1"/>
  <c r="B24" i="11"/>
  <c r="D24" i="15" s="1"/>
  <c r="B20" i="11"/>
  <c r="D20" i="15" s="1"/>
  <c r="B16" i="11"/>
  <c r="D16" i="15" s="1"/>
  <c r="H85" i="9"/>
  <c r="H86" i="9"/>
  <c r="H87" i="9"/>
  <c r="H88" i="9"/>
  <c r="H89" i="9"/>
  <c r="H90" i="9"/>
  <c r="H91" i="9"/>
  <c r="H92" i="9"/>
  <c r="H93" i="9"/>
  <c r="H94" i="9"/>
  <c r="H95" i="9"/>
  <c r="H96" i="9"/>
  <c r="F6" i="10" s="1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69" i="9"/>
  <c r="P45" i="3"/>
  <c r="P46" i="3"/>
  <c r="P47" i="3"/>
  <c r="P48" i="3"/>
  <c r="P49" i="3"/>
  <c r="P50" i="3"/>
  <c r="P51" i="3"/>
  <c r="P52" i="3"/>
  <c r="P53" i="3"/>
  <c r="P54" i="3"/>
  <c r="P25" i="11" l="1"/>
  <c r="R24" i="15"/>
  <c r="F20" i="11"/>
  <c r="H19" i="15"/>
  <c r="W38" i="11"/>
  <c r="Y37" i="15"/>
  <c r="H20" i="11"/>
  <c r="J19" i="15"/>
  <c r="G20" i="11"/>
  <c r="I19" i="15"/>
  <c r="C25" i="18"/>
  <c r="E24" i="18"/>
  <c r="F24" i="18" s="1"/>
  <c r="R39" i="11"/>
  <c r="T39" i="15" s="1"/>
  <c r="G162" i="3"/>
  <c r="G163" i="3"/>
  <c r="G164" i="3" s="1"/>
  <c r="G78" i="2"/>
  <c r="F79" i="2"/>
  <c r="H21" i="11" l="1"/>
  <c r="J20" i="15"/>
  <c r="W39" i="11"/>
  <c r="Y38" i="15"/>
  <c r="F21" i="11"/>
  <c r="H20" i="15"/>
  <c r="G21" i="11"/>
  <c r="I20" i="15"/>
  <c r="P26" i="11"/>
  <c r="R25" i="15"/>
  <c r="E25" i="18"/>
  <c r="F25" i="18" s="1"/>
  <c r="C26" i="18"/>
  <c r="R40" i="11"/>
  <c r="T40" i="15" s="1"/>
  <c r="F80" i="2"/>
  <c r="G79" i="2"/>
  <c r="G4" i="6"/>
  <c r="H4" i="6"/>
  <c r="I4" i="6"/>
  <c r="J4" i="6"/>
  <c r="G5" i="6"/>
  <c r="H5" i="6"/>
  <c r="I5" i="6"/>
  <c r="J5" i="6"/>
  <c r="G6" i="6"/>
  <c r="H6" i="6"/>
  <c r="I6" i="6"/>
  <c r="J6" i="6"/>
  <c r="G7" i="6"/>
  <c r="H7" i="6"/>
  <c r="I7" i="6"/>
  <c r="J7" i="6"/>
  <c r="G8" i="6"/>
  <c r="H8" i="6"/>
  <c r="I8" i="6"/>
  <c r="J8" i="6"/>
  <c r="G9" i="6"/>
  <c r="H9" i="6"/>
  <c r="I9" i="6"/>
  <c r="J9" i="6"/>
  <c r="G10" i="6"/>
  <c r="H10" i="6"/>
  <c r="I10" i="6"/>
  <c r="J10" i="6"/>
  <c r="G11" i="6"/>
  <c r="H11" i="6"/>
  <c r="I11" i="6"/>
  <c r="J11" i="6"/>
  <c r="G12" i="6"/>
  <c r="H12" i="6"/>
  <c r="I12" i="6"/>
  <c r="J12" i="6"/>
  <c r="G13" i="6"/>
  <c r="H13" i="6"/>
  <c r="I13" i="6"/>
  <c r="J13" i="6"/>
  <c r="G14" i="6"/>
  <c r="H14" i="6"/>
  <c r="I14" i="6"/>
  <c r="J14" i="6"/>
  <c r="G15" i="6"/>
  <c r="H15" i="6"/>
  <c r="I15" i="6"/>
  <c r="J15" i="6"/>
  <c r="G16" i="6"/>
  <c r="H16" i="6"/>
  <c r="I16" i="6"/>
  <c r="J16" i="6"/>
  <c r="G17" i="6"/>
  <c r="H17" i="6"/>
  <c r="I17" i="6"/>
  <c r="J17" i="6"/>
  <c r="G18" i="6"/>
  <c r="H18" i="6"/>
  <c r="I18" i="6"/>
  <c r="J18" i="6"/>
  <c r="G19" i="6"/>
  <c r="H19" i="6"/>
  <c r="I19" i="6"/>
  <c r="J19" i="6"/>
  <c r="G20" i="6"/>
  <c r="H20" i="6"/>
  <c r="I20" i="6"/>
  <c r="J20" i="6"/>
  <c r="G21" i="6"/>
  <c r="H21" i="6"/>
  <c r="I21" i="6"/>
  <c r="J21" i="6"/>
  <c r="G22" i="6"/>
  <c r="H22" i="6"/>
  <c r="I22" i="6"/>
  <c r="J22" i="6"/>
  <c r="G23" i="6"/>
  <c r="J23" i="6"/>
  <c r="G25" i="6"/>
  <c r="I25" i="6"/>
  <c r="J25" i="6"/>
  <c r="I26" i="6"/>
  <c r="J26" i="6"/>
  <c r="G27" i="6"/>
  <c r="H27" i="6"/>
  <c r="I27" i="6"/>
  <c r="J27" i="6"/>
  <c r="G28" i="6"/>
  <c r="H28" i="6"/>
  <c r="I28" i="6"/>
  <c r="J28" i="6"/>
  <c r="G29" i="6"/>
  <c r="H29" i="6"/>
  <c r="I29" i="6"/>
  <c r="J29" i="6"/>
  <c r="G30" i="6"/>
  <c r="H30" i="6"/>
  <c r="I30" i="6"/>
  <c r="J30" i="6"/>
  <c r="G31" i="6"/>
  <c r="H31" i="6"/>
  <c r="I31" i="6"/>
  <c r="J31" i="6"/>
  <c r="G32" i="6"/>
  <c r="H32" i="6"/>
  <c r="I32" i="6"/>
  <c r="J32" i="6"/>
  <c r="G33" i="6"/>
  <c r="H33" i="6"/>
  <c r="I33" i="6"/>
  <c r="J33" i="6"/>
  <c r="G34" i="6"/>
  <c r="H34" i="6"/>
  <c r="I34" i="6"/>
  <c r="J34" i="6"/>
  <c r="G35" i="6"/>
  <c r="H35" i="6"/>
  <c r="I35" i="6"/>
  <c r="J35" i="6"/>
  <c r="G36" i="6"/>
  <c r="H36" i="6"/>
  <c r="I36" i="6"/>
  <c r="J36" i="6"/>
  <c r="H3" i="6"/>
  <c r="I3" i="6"/>
  <c r="J3" i="6"/>
  <c r="G3" i="6"/>
  <c r="B53" i="6"/>
  <c r="G54" i="6" s="1"/>
  <c r="B23" i="6"/>
  <c r="G24" i="6" s="1"/>
  <c r="B24" i="6"/>
  <c r="H25" i="6" s="1"/>
  <c r="B25" i="6"/>
  <c r="B22" i="6"/>
  <c r="B41" i="6" s="1"/>
  <c r="I21" i="15" l="1"/>
  <c r="G24" i="11"/>
  <c r="I24" i="15" s="1"/>
  <c r="G26" i="11"/>
  <c r="I26" i="15" s="1"/>
  <c r="G31" i="11"/>
  <c r="I31" i="15" s="1"/>
  <c r="G32" i="11"/>
  <c r="I32" i="15" s="1"/>
  <c r="G34" i="11"/>
  <c r="I34" i="15" s="1"/>
  <c r="G40" i="11"/>
  <c r="I40" i="15" s="1"/>
  <c r="G42" i="11"/>
  <c r="I42" i="15" s="1"/>
  <c r="G23" i="11"/>
  <c r="I23" i="15" s="1"/>
  <c r="G35" i="11"/>
  <c r="I35" i="15" s="1"/>
  <c r="G44" i="11"/>
  <c r="I44" i="15" s="1"/>
  <c r="G39" i="11"/>
  <c r="I39" i="15" s="1"/>
  <c r="G36" i="11"/>
  <c r="I36" i="15" s="1"/>
  <c r="G33" i="11"/>
  <c r="I33" i="15" s="1"/>
  <c r="G27" i="11"/>
  <c r="I27" i="15" s="1"/>
  <c r="G22" i="11"/>
  <c r="I22" i="15" s="1"/>
  <c r="G29" i="11"/>
  <c r="I29" i="15" s="1"/>
  <c r="G43" i="11"/>
  <c r="I43" i="15" s="1"/>
  <c r="G30" i="11"/>
  <c r="I30" i="15" s="1"/>
  <c r="G38" i="11"/>
  <c r="I38" i="15" s="1"/>
  <c r="G28" i="11"/>
  <c r="I28" i="15" s="1"/>
  <c r="G25" i="11"/>
  <c r="I25" i="15" s="1"/>
  <c r="G41" i="11"/>
  <c r="I41" i="15" s="1"/>
  <c r="G37" i="11"/>
  <c r="I37" i="15" s="1"/>
  <c r="H21" i="15"/>
  <c r="F39" i="11"/>
  <c r="H39" i="15" s="1"/>
  <c r="F35" i="11"/>
  <c r="H35" i="15" s="1"/>
  <c r="F38" i="11"/>
  <c r="H38" i="15" s="1"/>
  <c r="F28" i="11"/>
  <c r="H28" i="15" s="1"/>
  <c r="F31" i="11"/>
  <c r="H31" i="15" s="1"/>
  <c r="F24" i="11"/>
  <c r="H24" i="15" s="1"/>
  <c r="F36" i="11"/>
  <c r="H36" i="15" s="1"/>
  <c r="F26" i="11"/>
  <c r="H26" i="15" s="1"/>
  <c r="F43" i="11"/>
  <c r="H43" i="15" s="1"/>
  <c r="F22" i="11"/>
  <c r="H22" i="15" s="1"/>
  <c r="F34" i="11"/>
  <c r="H34" i="15" s="1"/>
  <c r="F23" i="11"/>
  <c r="H23" i="15" s="1"/>
  <c r="F32" i="11"/>
  <c r="H32" i="15" s="1"/>
  <c r="F33" i="11"/>
  <c r="H33" i="15" s="1"/>
  <c r="F29" i="11"/>
  <c r="H29" i="15" s="1"/>
  <c r="F44" i="11"/>
  <c r="H44" i="15" s="1"/>
  <c r="F37" i="11"/>
  <c r="H37" i="15" s="1"/>
  <c r="F41" i="11"/>
  <c r="H41" i="15" s="1"/>
  <c r="F25" i="11"/>
  <c r="H25" i="15" s="1"/>
  <c r="F40" i="11"/>
  <c r="H40" i="15" s="1"/>
  <c r="F30" i="11"/>
  <c r="H30" i="15" s="1"/>
  <c r="F27" i="11"/>
  <c r="H27" i="15" s="1"/>
  <c r="F42" i="11"/>
  <c r="H42" i="15" s="1"/>
  <c r="W40" i="11"/>
  <c r="Y39" i="15"/>
  <c r="P27" i="11"/>
  <c r="R26" i="15"/>
  <c r="J21" i="15"/>
  <c r="H25" i="11"/>
  <c r="J25" i="15" s="1"/>
  <c r="H34" i="11"/>
  <c r="J34" i="15" s="1"/>
  <c r="H27" i="11"/>
  <c r="J27" i="15" s="1"/>
  <c r="H38" i="11"/>
  <c r="J38" i="15" s="1"/>
  <c r="H42" i="11"/>
  <c r="J42" i="15" s="1"/>
  <c r="H22" i="11"/>
  <c r="J22" i="15" s="1"/>
  <c r="H35" i="11"/>
  <c r="J35" i="15" s="1"/>
  <c r="H28" i="11"/>
  <c r="J28" i="15" s="1"/>
  <c r="H39" i="11"/>
  <c r="J39" i="15" s="1"/>
  <c r="H44" i="11"/>
  <c r="J44" i="15" s="1"/>
  <c r="H43" i="11"/>
  <c r="J43" i="15" s="1"/>
  <c r="H26" i="11"/>
  <c r="J26" i="15" s="1"/>
  <c r="H29" i="11"/>
  <c r="J29" i="15" s="1"/>
  <c r="H40" i="11"/>
  <c r="J40" i="15" s="1"/>
  <c r="H36" i="11"/>
  <c r="J36" i="15" s="1"/>
  <c r="H31" i="11"/>
  <c r="J31" i="15" s="1"/>
  <c r="H24" i="11"/>
  <c r="J24" i="15" s="1"/>
  <c r="H37" i="11"/>
  <c r="J37" i="15" s="1"/>
  <c r="H32" i="11"/>
  <c r="J32" i="15" s="1"/>
  <c r="H33" i="11"/>
  <c r="J33" i="15" s="1"/>
  <c r="H30" i="11"/>
  <c r="J30" i="15" s="1"/>
  <c r="H41" i="11"/>
  <c r="J41" i="15" s="1"/>
  <c r="H23" i="11"/>
  <c r="J23" i="15" s="1"/>
  <c r="C27" i="18"/>
  <c r="E26" i="18"/>
  <c r="F26" i="18" s="1"/>
  <c r="R41" i="11"/>
  <c r="T41" i="15" s="1"/>
  <c r="G80" i="2"/>
  <c r="F81" i="2"/>
  <c r="G42" i="6"/>
  <c r="I42" i="6"/>
  <c r="H42" i="6"/>
  <c r="J42" i="6"/>
  <c r="B48" i="6"/>
  <c r="B40" i="6"/>
  <c r="B36" i="6"/>
  <c r="B47" i="6"/>
  <c r="B39" i="6"/>
  <c r="I23" i="6"/>
  <c r="B54" i="6"/>
  <c r="B46" i="6"/>
  <c r="B38" i="6"/>
  <c r="H23" i="6"/>
  <c r="B45" i="6"/>
  <c r="B52" i="6"/>
  <c r="J54" i="6"/>
  <c r="J24" i="6"/>
  <c r="B43" i="6"/>
  <c r="I24" i="6"/>
  <c r="B50" i="6"/>
  <c r="B42" i="6"/>
  <c r="H54" i="6"/>
  <c r="H26" i="6"/>
  <c r="H24" i="6"/>
  <c r="B37" i="6"/>
  <c r="B44" i="6"/>
  <c r="B51" i="6"/>
  <c r="I54" i="6"/>
  <c r="B49" i="6"/>
  <c r="G26" i="6"/>
  <c r="L3" i="1"/>
  <c r="L4" i="1"/>
  <c r="L5" i="1"/>
  <c r="L6" i="1"/>
  <c r="L7" i="1"/>
  <c r="L8" i="1"/>
  <c r="L9" i="1"/>
  <c r="L10" i="1"/>
  <c r="L11" i="1"/>
  <c r="L12" i="1"/>
  <c r="H27" i="4"/>
  <c r="G27" i="4"/>
  <c r="I27" i="4" s="1"/>
  <c r="B22" i="4" s="1"/>
  <c r="G21" i="4"/>
  <c r="B24" i="4"/>
  <c r="B25" i="4"/>
  <c r="C15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6" i="10" s="1"/>
  <c r="C127" i="3"/>
  <c r="B5" i="1" s="1"/>
  <c r="C128" i="3"/>
  <c r="B6" i="1" s="1"/>
  <c r="C129" i="3"/>
  <c r="B7" i="1" s="1"/>
  <c r="C130" i="3"/>
  <c r="B8" i="1" s="1"/>
  <c r="C131" i="3"/>
  <c r="B9" i="1" s="1"/>
  <c r="C132" i="3"/>
  <c r="B10" i="1" s="1"/>
  <c r="C133" i="3"/>
  <c r="B11" i="1" s="1"/>
  <c r="C134" i="3"/>
  <c r="M136" i="3" s="1"/>
  <c r="C126" i="3"/>
  <c r="C3" i="3"/>
  <c r="C4" i="3"/>
  <c r="C7" i="3"/>
  <c r="C11" i="3"/>
  <c r="C12" i="3"/>
  <c r="C15" i="3"/>
  <c r="C19" i="3"/>
  <c r="C20" i="3"/>
  <c r="C23" i="3"/>
  <c r="C27" i="3"/>
  <c r="C28" i="3"/>
  <c r="C31" i="3"/>
  <c r="C36" i="3"/>
  <c r="C44" i="3"/>
  <c r="C52" i="3"/>
  <c r="C60" i="3"/>
  <c r="C63" i="3"/>
  <c r="C66" i="3"/>
  <c r="F66" i="3" s="1"/>
  <c r="C68" i="3"/>
  <c r="F68" i="3" s="1"/>
  <c r="C70" i="3"/>
  <c r="F70" i="3" s="1"/>
  <c r="C71" i="3"/>
  <c r="F71" i="3" s="1"/>
  <c r="C74" i="3"/>
  <c r="F74" i="3" s="1"/>
  <c r="C76" i="3"/>
  <c r="F76" i="3" s="1"/>
  <c r="C78" i="3"/>
  <c r="F78" i="3" s="1"/>
  <c r="C79" i="3"/>
  <c r="F79" i="3" s="1"/>
  <c r="C82" i="3"/>
  <c r="F82" i="3" s="1"/>
  <c r="C84" i="3"/>
  <c r="F84" i="3" s="1"/>
  <c r="C86" i="3"/>
  <c r="F86" i="3" s="1"/>
  <c r="C87" i="3"/>
  <c r="F87" i="3" s="1"/>
  <c r="C90" i="3"/>
  <c r="F90" i="3" s="1"/>
  <c r="C92" i="3"/>
  <c r="F92" i="3" s="1"/>
  <c r="C94" i="3"/>
  <c r="F94" i="3" s="1"/>
  <c r="C95" i="3"/>
  <c r="F95" i="3" s="1"/>
  <c r="C98" i="3"/>
  <c r="F98" i="3" s="1"/>
  <c r="C99" i="3"/>
  <c r="F99" i="3" s="1"/>
  <c r="C100" i="3"/>
  <c r="F100" i="3" s="1"/>
  <c r="C101" i="3"/>
  <c r="F101" i="3" s="1"/>
  <c r="C102" i="3"/>
  <c r="F102" i="3" s="1"/>
  <c r="C103" i="3"/>
  <c r="F103" i="3" s="1"/>
  <c r="C106" i="3"/>
  <c r="F106" i="3" s="1"/>
  <c r="C107" i="3"/>
  <c r="F107" i="3" s="1"/>
  <c r="C108" i="3"/>
  <c r="F108" i="3" s="1"/>
  <c r="C109" i="3"/>
  <c r="F109" i="3" s="1"/>
  <c r="C110" i="3"/>
  <c r="F110" i="3" s="1"/>
  <c r="C111" i="3"/>
  <c r="F111" i="3" s="1"/>
  <c r="C114" i="3"/>
  <c r="F114" i="3" s="1"/>
  <c r="C115" i="3"/>
  <c r="F115" i="3" s="1"/>
  <c r="C116" i="3"/>
  <c r="F116" i="3" s="1"/>
  <c r="C117" i="3"/>
  <c r="F117" i="3" s="1"/>
  <c r="C118" i="3"/>
  <c r="F118" i="3" s="1"/>
  <c r="C119" i="3"/>
  <c r="F119" i="3" s="1"/>
  <c r="C122" i="3"/>
  <c r="C123" i="3"/>
  <c r="C124" i="3"/>
  <c r="C125" i="3"/>
  <c r="B3" i="1" s="1"/>
  <c r="C2" i="3"/>
  <c r="I3" i="3"/>
  <c r="C33" i="3" s="1"/>
  <c r="I5" i="3"/>
  <c r="C64" i="3" s="1"/>
  <c r="F64" i="3" s="1"/>
  <c r="I7" i="3"/>
  <c r="I9" i="3"/>
  <c r="I11" i="3"/>
  <c r="C34" i="3" s="1"/>
  <c r="I13" i="3"/>
  <c r="C65" i="3" s="1"/>
  <c r="F65" i="3" s="1"/>
  <c r="I15" i="3"/>
  <c r="C96" i="3" s="1"/>
  <c r="F96" i="3" s="1"/>
  <c r="I17" i="3"/>
  <c r="I19" i="3"/>
  <c r="C35" i="3" s="1"/>
  <c r="I21" i="3"/>
  <c r="I23" i="3"/>
  <c r="C97" i="3" s="1"/>
  <c r="F97" i="3" s="1"/>
  <c r="I25" i="3"/>
  <c r="C5" i="3" s="1"/>
  <c r="I27" i="3"/>
  <c r="I29" i="3"/>
  <c r="C67" i="3" s="1"/>
  <c r="F67" i="3" s="1"/>
  <c r="I31" i="3"/>
  <c r="I33" i="3"/>
  <c r="C6" i="3" s="1"/>
  <c r="C37" i="3"/>
  <c r="C38" i="3"/>
  <c r="C69" i="3"/>
  <c r="F69" i="3" s="1"/>
  <c r="C8" i="3"/>
  <c r="C39" i="3"/>
  <c r="C9" i="3"/>
  <c r="C40" i="3"/>
  <c r="C10" i="3"/>
  <c r="C41" i="3"/>
  <c r="C72" i="3"/>
  <c r="F72" i="3" s="1"/>
  <c r="C42" i="3"/>
  <c r="C73" i="3"/>
  <c r="F73" i="3" s="1"/>
  <c r="C104" i="3"/>
  <c r="F104" i="3" s="1"/>
  <c r="C43" i="3"/>
  <c r="C105" i="3"/>
  <c r="F105" i="3" s="1"/>
  <c r="C13" i="3"/>
  <c r="C75" i="3"/>
  <c r="F75" i="3" s="1"/>
  <c r="C14" i="3"/>
  <c r="C45" i="3"/>
  <c r="C46" i="3"/>
  <c r="C77" i="3"/>
  <c r="F77" i="3" s="1"/>
  <c r="C16" i="3"/>
  <c r="C47" i="3"/>
  <c r="C17" i="3"/>
  <c r="C48" i="3"/>
  <c r="C18" i="3"/>
  <c r="C49" i="3"/>
  <c r="C80" i="3"/>
  <c r="F80" i="3" s="1"/>
  <c r="C50" i="3"/>
  <c r="C81" i="3"/>
  <c r="F81" i="3" s="1"/>
  <c r="C112" i="3"/>
  <c r="F112" i="3" s="1"/>
  <c r="C51" i="3"/>
  <c r="C113" i="3"/>
  <c r="F113" i="3" s="1"/>
  <c r="C21" i="3"/>
  <c r="C83" i="3"/>
  <c r="F83" i="3" s="1"/>
  <c r="C22" i="3"/>
  <c r="C53" i="3"/>
  <c r="C54" i="3"/>
  <c r="C85" i="3"/>
  <c r="F85" i="3" s="1"/>
  <c r="C24" i="3"/>
  <c r="C55" i="3"/>
  <c r="C25" i="3"/>
  <c r="C56" i="3"/>
  <c r="C26" i="3"/>
  <c r="C57" i="3"/>
  <c r="C88" i="3"/>
  <c r="F88" i="3" s="1"/>
  <c r="C58" i="3"/>
  <c r="C89" i="3"/>
  <c r="F89" i="3" s="1"/>
  <c r="C120" i="3"/>
  <c r="F120" i="3" s="1"/>
  <c r="C59" i="3"/>
  <c r="C121" i="3"/>
  <c r="F121" i="3" s="1"/>
  <c r="C29" i="3"/>
  <c r="C91" i="3"/>
  <c r="F91" i="3" s="1"/>
  <c r="C30" i="3"/>
  <c r="C61" i="3"/>
  <c r="C62" i="3"/>
  <c r="C93" i="3"/>
  <c r="F93" i="3" s="1"/>
  <c r="C32" i="3"/>
  <c r="I1" i="3"/>
  <c r="F6" i="1"/>
  <c r="F7" i="1"/>
  <c r="F8" i="1"/>
  <c r="F9" i="1"/>
  <c r="C46" i="2"/>
  <c r="C47" i="2"/>
  <c r="C48" i="2"/>
  <c r="C49" i="2"/>
  <c r="C50" i="2"/>
  <c r="C51" i="2"/>
  <c r="C52" i="2"/>
  <c r="C53" i="2"/>
  <c r="C45" i="2"/>
  <c r="F2" i="2"/>
  <c r="C3" i="2"/>
  <c r="F3" i="2" s="1"/>
  <c r="C4" i="2"/>
  <c r="F4" i="2" s="1"/>
  <c r="C5" i="2"/>
  <c r="F5" i="2" s="1"/>
  <c r="C6" i="2"/>
  <c r="F6" i="2" s="1"/>
  <c r="C7" i="2"/>
  <c r="F7" i="2" s="1"/>
  <c r="C8" i="2"/>
  <c r="F8" i="2" s="1"/>
  <c r="C9" i="2"/>
  <c r="F9" i="2" s="1"/>
  <c r="C10" i="2"/>
  <c r="F10" i="2" s="1"/>
  <c r="C11" i="2"/>
  <c r="F11" i="2" s="1"/>
  <c r="C12" i="2"/>
  <c r="F12" i="2" s="1"/>
  <c r="C13" i="2"/>
  <c r="F13" i="2" s="1"/>
  <c r="C14" i="2"/>
  <c r="F14" i="2" s="1"/>
  <c r="C15" i="2"/>
  <c r="F15" i="2" s="1"/>
  <c r="C16" i="2"/>
  <c r="F16" i="2" s="1"/>
  <c r="C17" i="2"/>
  <c r="F17" i="2" s="1"/>
  <c r="C18" i="2"/>
  <c r="F18" i="2" s="1"/>
  <c r="C19" i="2"/>
  <c r="F19" i="2" s="1"/>
  <c r="C21" i="2"/>
  <c r="F21" i="2" s="1"/>
  <c r="C22" i="2"/>
  <c r="F22" i="2" s="1"/>
  <c r="C23" i="2"/>
  <c r="F23" i="2" s="1"/>
  <c r="C24" i="2"/>
  <c r="F24" i="2" s="1"/>
  <c r="C25" i="2"/>
  <c r="C26" i="2"/>
  <c r="C27" i="2"/>
  <c r="C28" i="2"/>
  <c r="C29" i="2"/>
  <c r="C30" i="2"/>
  <c r="C31" i="2"/>
  <c r="C32" i="2"/>
  <c r="F32" i="2" s="1"/>
  <c r="C33" i="2"/>
  <c r="F33" i="2" s="1"/>
  <c r="C34" i="2"/>
  <c r="F34" i="2" s="1"/>
  <c r="C35" i="2"/>
  <c r="F35" i="2" s="1"/>
  <c r="C36" i="2"/>
  <c r="F36" i="2" s="1"/>
  <c r="C37" i="2"/>
  <c r="F37" i="2" s="1"/>
  <c r="C38" i="2"/>
  <c r="F38" i="2" s="1"/>
  <c r="C39" i="2"/>
  <c r="F39" i="2" s="1"/>
  <c r="F40" i="2"/>
  <c r="C41" i="2"/>
  <c r="C42" i="2"/>
  <c r="C43" i="2"/>
  <c r="C44" i="2"/>
  <c r="B43" i="2"/>
  <c r="B42" i="2"/>
  <c r="P28" i="11" l="1"/>
  <c r="R27" i="15"/>
  <c r="W41" i="11"/>
  <c r="Y40" i="15"/>
  <c r="C28" i="18"/>
  <c r="E27" i="18"/>
  <c r="F27" i="18" s="1"/>
  <c r="R42" i="11"/>
  <c r="T42" i="15" s="1"/>
  <c r="G81" i="2"/>
  <c r="G82" i="2"/>
  <c r="G83" i="2" s="1"/>
  <c r="B4" i="1"/>
  <c r="C59" i="2"/>
  <c r="C58" i="2"/>
  <c r="F31" i="2"/>
  <c r="C62" i="2"/>
  <c r="B41" i="2"/>
  <c r="C71" i="2"/>
  <c r="C55" i="2"/>
  <c r="C61" i="2"/>
  <c r="F2" i="1"/>
  <c r="G50" i="6"/>
  <c r="H50" i="6"/>
  <c r="I50" i="6"/>
  <c r="J50" i="6"/>
  <c r="G53" i="6"/>
  <c r="H53" i="6"/>
  <c r="I53" i="6"/>
  <c r="J53" i="6"/>
  <c r="G48" i="6"/>
  <c r="H48" i="6"/>
  <c r="I48" i="6"/>
  <c r="J48" i="6"/>
  <c r="C54" i="2"/>
  <c r="C65" i="2"/>
  <c r="C57" i="2"/>
  <c r="E56" i="2" s="1"/>
  <c r="F15" i="1" s="1"/>
  <c r="G43" i="6"/>
  <c r="H43" i="6"/>
  <c r="I43" i="6"/>
  <c r="J43" i="6"/>
  <c r="G46" i="6"/>
  <c r="J46" i="6"/>
  <c r="H46" i="6"/>
  <c r="I46" i="6"/>
  <c r="G37" i="6"/>
  <c r="H37" i="6"/>
  <c r="I37" i="6"/>
  <c r="J37" i="6"/>
  <c r="B40" i="2"/>
  <c r="C72" i="2"/>
  <c r="D72" i="2" s="1"/>
  <c r="C64" i="2"/>
  <c r="C56" i="2"/>
  <c r="G51" i="6"/>
  <c r="H51" i="6"/>
  <c r="I51" i="6"/>
  <c r="J51" i="6"/>
  <c r="G41" i="6"/>
  <c r="H41" i="6"/>
  <c r="I41" i="6"/>
  <c r="J41" i="6"/>
  <c r="G38" i="6"/>
  <c r="J38" i="6"/>
  <c r="H38" i="6"/>
  <c r="I38" i="6"/>
  <c r="G44" i="6"/>
  <c r="H44" i="6"/>
  <c r="I44" i="6"/>
  <c r="J44" i="6"/>
  <c r="E6" i="10"/>
  <c r="G55" i="6"/>
  <c r="H55" i="6"/>
  <c r="I55" i="6"/>
  <c r="J55" i="6"/>
  <c r="C66" i="2"/>
  <c r="C63" i="2"/>
  <c r="G52" i="6"/>
  <c r="H52" i="6"/>
  <c r="I52" i="6"/>
  <c r="J52" i="6"/>
  <c r="G49" i="6"/>
  <c r="H49" i="6"/>
  <c r="I49" i="6"/>
  <c r="J49" i="6"/>
  <c r="C70" i="2"/>
  <c r="E69" i="2" s="1"/>
  <c r="F28" i="1" s="1"/>
  <c r="F4" i="1"/>
  <c r="G45" i="6"/>
  <c r="H45" i="6"/>
  <c r="I45" i="6"/>
  <c r="J45" i="6"/>
  <c r="B44" i="2"/>
  <c r="C69" i="2"/>
  <c r="F12" i="1"/>
  <c r="C73" i="2"/>
  <c r="C68" i="2"/>
  <c r="C60" i="2"/>
  <c r="F11" i="1"/>
  <c r="D154" i="3"/>
  <c r="C3" i="10"/>
  <c r="E61" i="2"/>
  <c r="F20" i="1" s="1"/>
  <c r="E8" i="13"/>
  <c r="F8" i="13" s="1"/>
  <c r="U4" i="20" s="1"/>
  <c r="F3" i="1"/>
  <c r="L2" i="1"/>
  <c r="G39" i="6"/>
  <c r="H39" i="6"/>
  <c r="I39" i="6"/>
  <c r="J39" i="6"/>
  <c r="F5" i="1"/>
  <c r="B2" i="1"/>
  <c r="G47" i="6"/>
  <c r="H47" i="6"/>
  <c r="I47" i="6"/>
  <c r="J47" i="6"/>
  <c r="F9" i="13"/>
  <c r="E4" i="20" s="1"/>
  <c r="C67" i="2"/>
  <c r="E66" i="2" s="1"/>
  <c r="F25" i="1" s="1"/>
  <c r="F10" i="1"/>
  <c r="E60" i="2"/>
  <c r="F19" i="1" s="1"/>
  <c r="G40" i="6"/>
  <c r="H40" i="6"/>
  <c r="I40" i="6"/>
  <c r="J40" i="6"/>
  <c r="D139" i="3"/>
  <c r="B17" i="1" s="1"/>
  <c r="D135" i="3"/>
  <c r="B13" i="1" s="1"/>
  <c r="D151" i="3"/>
  <c r="B29" i="1" s="1"/>
  <c r="D147" i="3"/>
  <c r="B25" i="1" s="1"/>
  <c r="D143" i="3"/>
  <c r="B21" i="1" s="1"/>
  <c r="D153" i="3"/>
  <c r="B31" i="1" s="1"/>
  <c r="D149" i="3"/>
  <c r="B27" i="1" s="1"/>
  <c r="D145" i="3"/>
  <c r="B23" i="1" s="1"/>
  <c r="D141" i="3"/>
  <c r="B19" i="1" s="1"/>
  <c r="D137" i="3"/>
  <c r="B15" i="1" s="1"/>
  <c r="D152" i="3"/>
  <c r="B30" i="1" s="1"/>
  <c r="D148" i="3"/>
  <c r="B26" i="1" s="1"/>
  <c r="D144" i="3"/>
  <c r="B22" i="1" s="1"/>
  <c r="D140" i="3"/>
  <c r="B18" i="1" s="1"/>
  <c r="D136" i="3"/>
  <c r="B14" i="1" s="1"/>
  <c r="E135" i="3"/>
  <c r="E136" i="3" s="1"/>
  <c r="E137" i="3" s="1"/>
  <c r="E138" i="3" s="1"/>
  <c r="E139" i="3" s="1"/>
  <c r="B12" i="1"/>
  <c r="D150" i="3"/>
  <c r="B28" i="1" s="1"/>
  <c r="D146" i="3"/>
  <c r="B24" i="1" s="1"/>
  <c r="D142" i="3"/>
  <c r="B20" i="1" s="1"/>
  <c r="D138" i="3"/>
  <c r="B16" i="1" s="1"/>
  <c r="B23" i="4"/>
  <c r="B43" i="4" s="1"/>
  <c r="L20" i="1" s="1"/>
  <c r="F4" i="20" l="1"/>
  <c r="T4" i="20"/>
  <c r="W42" i="11"/>
  <c r="Y41" i="15"/>
  <c r="V4" i="20"/>
  <c r="X4" i="20"/>
  <c r="Y4" i="20"/>
  <c r="W4" i="20"/>
  <c r="P29" i="11"/>
  <c r="R28" i="15"/>
  <c r="E28" i="18"/>
  <c r="F28" i="18" s="1"/>
  <c r="C29" i="18"/>
  <c r="R43" i="11"/>
  <c r="T43" i="15" s="1"/>
  <c r="E54" i="2"/>
  <c r="F13" i="1" s="1"/>
  <c r="E57" i="2"/>
  <c r="F16" i="1" s="1"/>
  <c r="D66" i="2"/>
  <c r="D71" i="2"/>
  <c r="D59" i="2"/>
  <c r="D58" i="2"/>
  <c r="E63" i="2"/>
  <c r="F22" i="1" s="1"/>
  <c r="D64" i="2"/>
  <c r="E68" i="2"/>
  <c r="F27" i="1" s="1"/>
  <c r="E64" i="2"/>
  <c r="F23" i="1" s="1"/>
  <c r="E70" i="2"/>
  <c r="F29" i="1" s="1"/>
  <c r="E59" i="2"/>
  <c r="F18" i="1" s="1"/>
  <c r="D73" i="2"/>
  <c r="D67" i="2"/>
  <c r="D60" i="2"/>
  <c r="E65" i="2"/>
  <c r="F24" i="1" s="1"/>
  <c r="E67" i="2"/>
  <c r="F26" i="1" s="1"/>
  <c r="D61" i="2"/>
  <c r="D68" i="2"/>
  <c r="D69" i="2"/>
  <c r="D55" i="2"/>
  <c r="D63" i="2"/>
  <c r="E55" i="2"/>
  <c r="F14" i="1" s="1"/>
  <c r="E71" i="2"/>
  <c r="F30" i="1" s="1"/>
  <c r="B37" i="4"/>
  <c r="L14" i="1" s="1"/>
  <c r="B53" i="4"/>
  <c r="L30" i="1" s="1"/>
  <c r="B42" i="4"/>
  <c r="L19" i="1" s="1"/>
  <c r="E62" i="2"/>
  <c r="F21" i="1" s="1"/>
  <c r="B47" i="4"/>
  <c r="L24" i="1" s="1"/>
  <c r="B52" i="4"/>
  <c r="L29" i="1" s="1"/>
  <c r="B38" i="4"/>
  <c r="L15" i="1" s="1"/>
  <c r="E10" i="13"/>
  <c r="F10" i="13" s="1"/>
  <c r="G4" i="20" s="1"/>
  <c r="B55" i="4"/>
  <c r="D6" i="10" s="1"/>
  <c r="B48" i="4"/>
  <c r="L25" i="1" s="1"/>
  <c r="E58" i="2"/>
  <c r="F17" i="1" s="1"/>
  <c r="B51" i="4"/>
  <c r="L28" i="1" s="1"/>
  <c r="B45" i="4"/>
  <c r="L22" i="1" s="1"/>
  <c r="B41" i="4"/>
  <c r="L18" i="1" s="1"/>
  <c r="E11" i="13"/>
  <c r="F11" i="13" s="1"/>
  <c r="H4" i="20" s="1"/>
  <c r="I4" i="20" s="1"/>
  <c r="B40" i="4"/>
  <c r="L17" i="1" s="1"/>
  <c r="B49" i="4"/>
  <c r="L26" i="1" s="1"/>
  <c r="B50" i="4"/>
  <c r="L27" i="1" s="1"/>
  <c r="B46" i="4"/>
  <c r="L23" i="1" s="1"/>
  <c r="E72" i="2"/>
  <c r="F31" i="1" s="1"/>
  <c r="B54" i="4"/>
  <c r="L31" i="1" s="1"/>
  <c r="B36" i="4"/>
  <c r="L13" i="1" s="1"/>
  <c r="B6" i="10"/>
  <c r="D62" i="2"/>
  <c r="D54" i="2"/>
  <c r="D70" i="2"/>
  <c r="D57" i="2"/>
  <c r="D65" i="2"/>
  <c r="B44" i="4"/>
  <c r="L21" i="1" s="1"/>
  <c r="B39" i="4"/>
  <c r="L16" i="1" s="1"/>
  <c r="D56" i="2"/>
  <c r="E140" i="3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W43" i="11" l="1"/>
  <c r="Y42" i="15"/>
  <c r="P30" i="11"/>
  <c r="R29" i="15"/>
  <c r="E29" i="18"/>
  <c r="F29" i="18" s="1"/>
  <c r="C30" i="18"/>
  <c r="R44" i="11"/>
  <c r="T44" i="15" s="1"/>
  <c r="C24" i="11"/>
  <c r="E24" i="15" s="1"/>
  <c r="C17" i="11"/>
  <c r="E17" i="15" s="1"/>
  <c r="C18" i="11"/>
  <c r="E18" i="15" s="1"/>
  <c r="C34" i="11"/>
  <c r="E34" i="15" s="1"/>
  <c r="C15" i="11"/>
  <c r="E15" i="15" s="1"/>
  <c r="C31" i="11"/>
  <c r="E31" i="15" s="1"/>
  <c r="C33" i="11"/>
  <c r="E33" i="15" s="1"/>
  <c r="C25" i="11"/>
  <c r="E25" i="15" s="1"/>
  <c r="C23" i="11"/>
  <c r="E23" i="15" s="1"/>
  <c r="C27" i="11"/>
  <c r="E27" i="15" s="1"/>
  <c r="C28" i="11"/>
  <c r="E28" i="15" s="1"/>
  <c r="C29" i="11"/>
  <c r="E29" i="15" s="1"/>
  <c r="C22" i="11"/>
  <c r="E22" i="15" s="1"/>
  <c r="C19" i="11"/>
  <c r="E19" i="15" s="1"/>
  <c r="C32" i="11"/>
  <c r="E32" i="15" s="1"/>
  <c r="C21" i="11"/>
  <c r="E21" i="15" s="1"/>
  <c r="C16" i="11"/>
  <c r="E16" i="15" s="1"/>
  <c r="C26" i="11"/>
  <c r="E26" i="15" s="1"/>
  <c r="C20" i="11"/>
  <c r="E20" i="15" s="1"/>
  <c r="C30" i="11"/>
  <c r="E30" i="15" s="1"/>
  <c r="P31" i="11" l="1"/>
  <c r="R30" i="15"/>
  <c r="W44" i="11"/>
  <c r="Y44" i="15" s="1"/>
  <c r="Y43" i="15"/>
  <c r="C31" i="18"/>
  <c r="E30" i="18"/>
  <c r="F30" i="18" s="1"/>
  <c r="R45" i="11"/>
  <c r="T45" i="15" s="1"/>
  <c r="T2" i="15" s="1"/>
  <c r="P32" i="11" l="1"/>
  <c r="R31" i="15"/>
  <c r="E31" i="18"/>
  <c r="F31" i="18" s="1"/>
  <c r="C32" i="18"/>
  <c r="E32" i="18" s="1"/>
  <c r="P33" i="11" l="1"/>
  <c r="R32" i="15"/>
  <c r="F32" i="18"/>
  <c r="F33" i="18"/>
  <c r="P34" i="11" l="1"/>
  <c r="R33" i="15"/>
  <c r="U36" i="11"/>
  <c r="W36" i="15" s="1"/>
  <c r="U37" i="11"/>
  <c r="W37" i="15" s="1"/>
  <c r="U19" i="11"/>
  <c r="W19" i="15" s="1"/>
  <c r="U17" i="11"/>
  <c r="W17" i="15" s="1"/>
  <c r="U31" i="11"/>
  <c r="W31" i="15" s="1"/>
  <c r="U21" i="11"/>
  <c r="W21" i="15" s="1"/>
  <c r="U33" i="11"/>
  <c r="W33" i="15" s="1"/>
  <c r="U20" i="11"/>
  <c r="W20" i="15" s="1"/>
  <c r="U11" i="11"/>
  <c r="W11" i="15" s="1"/>
  <c r="U25" i="11"/>
  <c r="W25" i="15" s="1"/>
  <c r="U22" i="11"/>
  <c r="W22" i="15" s="1"/>
  <c r="U24" i="11"/>
  <c r="W24" i="15" s="1"/>
  <c r="U32" i="11"/>
  <c r="W32" i="15" s="1"/>
  <c r="U27" i="11"/>
  <c r="W27" i="15" s="1"/>
  <c r="U29" i="11"/>
  <c r="W29" i="15" s="1"/>
  <c r="U13" i="11"/>
  <c r="W13" i="15" s="1"/>
  <c r="U23" i="11"/>
  <c r="W23" i="15" s="1"/>
  <c r="U34" i="11"/>
  <c r="W34" i="15" s="1"/>
  <c r="U28" i="11"/>
  <c r="W28" i="15" s="1"/>
  <c r="U30" i="11"/>
  <c r="W30" i="15" s="1"/>
  <c r="U15" i="11"/>
  <c r="W15" i="15" s="1"/>
  <c r="U26" i="11"/>
  <c r="W26" i="15" s="1"/>
  <c r="U14" i="11"/>
  <c r="W14" i="15" s="1"/>
  <c r="U18" i="11"/>
  <c r="W18" i="15" s="1"/>
  <c r="U35" i="11"/>
  <c r="W35" i="15" s="1"/>
  <c r="U16" i="11"/>
  <c r="W16" i="15" s="1"/>
  <c r="P35" i="11" l="1"/>
  <c r="R34" i="15"/>
  <c r="T15" i="11"/>
  <c r="V15" i="15" s="1"/>
  <c r="T32" i="11"/>
  <c r="V32" i="15" s="1"/>
  <c r="T21" i="11"/>
  <c r="V21" i="15" s="1"/>
  <c r="T30" i="11"/>
  <c r="V30" i="15" s="1"/>
  <c r="T24" i="11"/>
  <c r="V24" i="15" s="1"/>
  <c r="T31" i="11"/>
  <c r="V31" i="15" s="1"/>
  <c r="T28" i="11"/>
  <c r="V28" i="15" s="1"/>
  <c r="T22" i="11"/>
  <c r="V22" i="15" s="1"/>
  <c r="T17" i="11"/>
  <c r="V17" i="15" s="1"/>
  <c r="T16" i="11"/>
  <c r="V16" i="15" s="1"/>
  <c r="T34" i="11"/>
  <c r="V34" i="15" s="1"/>
  <c r="T25" i="11"/>
  <c r="V25" i="15" s="1"/>
  <c r="U38" i="11"/>
  <c r="W38" i="15" s="1"/>
  <c r="T35" i="11"/>
  <c r="V35" i="15" s="1"/>
  <c r="T23" i="11"/>
  <c r="V23" i="15" s="1"/>
  <c r="T11" i="11"/>
  <c r="V11" i="15" s="1"/>
  <c r="T18" i="11"/>
  <c r="V18" i="15" s="1"/>
  <c r="T13" i="11"/>
  <c r="V13" i="15" s="1"/>
  <c r="T19" i="11"/>
  <c r="V19" i="15" s="1"/>
  <c r="T14" i="11"/>
  <c r="V14" i="15" s="1"/>
  <c r="T29" i="11"/>
  <c r="V29" i="15" s="1"/>
  <c r="T20" i="11"/>
  <c r="V20" i="15" s="1"/>
  <c r="T37" i="11"/>
  <c r="V37" i="15" s="1"/>
  <c r="T26" i="11"/>
  <c r="V26" i="15" s="1"/>
  <c r="T27" i="11"/>
  <c r="V27" i="15" s="1"/>
  <c r="T33" i="11"/>
  <c r="V33" i="15" s="1"/>
  <c r="T36" i="11"/>
  <c r="V36" i="15" s="1"/>
  <c r="U41" i="11"/>
  <c r="W41" i="15" s="1"/>
  <c r="U42" i="11"/>
  <c r="W42" i="15" s="1"/>
  <c r="U40" i="11"/>
  <c r="W40" i="15" s="1"/>
  <c r="U44" i="11"/>
  <c r="W44" i="15" s="1"/>
  <c r="U39" i="11"/>
  <c r="W39" i="15" s="1"/>
  <c r="U43" i="11"/>
  <c r="W43" i="15" s="1"/>
  <c r="P36" i="11" l="1"/>
  <c r="R35" i="15"/>
  <c r="T40" i="11"/>
  <c r="V40" i="15" s="1"/>
  <c r="T43" i="11"/>
  <c r="V43" i="15" s="1"/>
  <c r="T44" i="11"/>
  <c r="V44" i="15" s="1"/>
  <c r="T42" i="11"/>
  <c r="V42" i="15" s="1"/>
  <c r="T39" i="11"/>
  <c r="V39" i="15" s="1"/>
  <c r="T38" i="11"/>
  <c r="V38" i="15" s="1"/>
  <c r="T41" i="11"/>
  <c r="V41" i="15" s="1"/>
  <c r="P37" i="11" l="1"/>
  <c r="R36" i="15"/>
  <c r="S42" i="11"/>
  <c r="U42" i="15" s="1"/>
  <c r="S37" i="11"/>
  <c r="U37" i="15" s="1"/>
  <c r="S36" i="11"/>
  <c r="U36" i="15" s="1"/>
  <c r="S39" i="11"/>
  <c r="U39" i="15" s="1"/>
  <c r="S35" i="11"/>
  <c r="U35" i="15" s="1"/>
  <c r="S41" i="11"/>
  <c r="U41" i="15" s="1"/>
  <c r="S38" i="11"/>
  <c r="U38" i="15" s="1"/>
  <c r="S44" i="11"/>
  <c r="U44" i="15" s="1"/>
  <c r="S43" i="11"/>
  <c r="U43" i="15" s="1"/>
  <c r="S40" i="11"/>
  <c r="U40" i="15" s="1"/>
  <c r="S24" i="11"/>
  <c r="U24" i="15" s="1"/>
  <c r="S33" i="11"/>
  <c r="U33" i="15" s="1"/>
  <c r="S31" i="11"/>
  <c r="U31" i="15" s="1"/>
  <c r="S17" i="11"/>
  <c r="U17" i="15" s="1"/>
  <c r="S32" i="11"/>
  <c r="U32" i="15" s="1"/>
  <c r="S13" i="11"/>
  <c r="U13" i="15" s="1"/>
  <c r="S9" i="11"/>
  <c r="U9" i="15" s="1"/>
  <c r="S18" i="11"/>
  <c r="U18" i="15" s="1"/>
  <c r="S7" i="11"/>
  <c r="U7" i="15" s="1"/>
  <c r="S26" i="11"/>
  <c r="U26" i="15" s="1"/>
  <c r="S6" i="11"/>
  <c r="U6" i="15" s="1"/>
  <c r="S29" i="11"/>
  <c r="U29" i="15" s="1"/>
  <c r="S27" i="11"/>
  <c r="U27" i="15" s="1"/>
  <c r="S23" i="11"/>
  <c r="U23" i="15" s="1"/>
  <c r="S11" i="11"/>
  <c r="U11" i="15" s="1"/>
  <c r="S25" i="11"/>
  <c r="U25" i="15" s="1"/>
  <c r="S12" i="11"/>
  <c r="U12" i="15" s="1"/>
  <c r="S10" i="11"/>
  <c r="U10" i="15" s="1"/>
  <c r="S30" i="11"/>
  <c r="U30" i="15" s="1"/>
  <c r="S22" i="11"/>
  <c r="U22" i="15" s="1"/>
  <c r="S34" i="11"/>
  <c r="U34" i="15" s="1"/>
  <c r="S14" i="11"/>
  <c r="U14" i="15" s="1"/>
  <c r="S20" i="11"/>
  <c r="U20" i="15" s="1"/>
  <c r="S8" i="11"/>
  <c r="U8" i="15" s="1"/>
  <c r="S19" i="11"/>
  <c r="U19" i="15" s="1"/>
  <c r="S21" i="11"/>
  <c r="U21" i="15" s="1"/>
  <c r="S28" i="11"/>
  <c r="U28" i="15" s="1"/>
  <c r="S15" i="11"/>
  <c r="U15" i="15" s="1"/>
  <c r="S16" i="11"/>
  <c r="U16" i="15" s="1"/>
  <c r="P38" i="11" l="1"/>
  <c r="R37" i="15"/>
  <c r="K4" i="11"/>
  <c r="I4" i="11"/>
  <c r="O4" i="11"/>
  <c r="P4" i="11"/>
  <c r="Q4" i="11"/>
  <c r="L4" i="11"/>
  <c r="M4" i="11"/>
  <c r="J4" i="11"/>
  <c r="N4" i="11"/>
  <c r="I5" i="11"/>
  <c r="E6" i="13" l="1"/>
  <c r="F6" i="13" s="1"/>
  <c r="J4" i="20" s="1"/>
  <c r="K5" i="15"/>
  <c r="K2" i="15" s="1"/>
  <c r="P39" i="11"/>
  <c r="R38" i="15"/>
  <c r="R4" i="20" l="1"/>
  <c r="P4" i="20"/>
  <c r="Q4" i="20"/>
  <c r="O4" i="20"/>
  <c r="N4" i="20"/>
  <c r="M4" i="20"/>
  <c r="K4" i="20"/>
  <c r="L4" i="20"/>
  <c r="S4" i="20"/>
  <c r="P40" i="11"/>
  <c r="R39" i="15"/>
  <c r="P41" i="11" l="1"/>
  <c r="R40" i="15"/>
  <c r="P42" i="11" l="1"/>
  <c r="R41" i="15"/>
  <c r="P43" i="11" l="1"/>
  <c r="R42" i="15"/>
  <c r="P44" i="11" l="1"/>
  <c r="R43" i="15"/>
  <c r="P45" i="11" l="1"/>
  <c r="R45" i="15" s="1"/>
  <c r="R2" i="15" s="1"/>
  <c r="R44" i="15"/>
  <c r="E3" i="21"/>
  <c r="E14" i="21" l="1"/>
  <c r="C6" i="15" s="1"/>
  <c r="E15" i="21" l="1"/>
  <c r="C7" i="15" s="1"/>
  <c r="E16" i="21" l="1"/>
  <c r="C8" i="15" s="1"/>
  <c r="E17" i="21" l="1"/>
  <c r="C9" i="15" s="1"/>
  <c r="E18" i="21" l="1"/>
  <c r="C10" i="15" s="1"/>
  <c r="E19" i="21" l="1"/>
  <c r="C11" i="15" s="1"/>
  <c r="E20" i="21" l="1"/>
  <c r="C12" i="15" s="1"/>
  <c r="E21" i="21" l="1"/>
  <c r="C13" i="15" s="1"/>
  <c r="E22" i="21" l="1"/>
  <c r="C14" i="15" s="1"/>
  <c r="E23" i="21" l="1"/>
  <c r="C15" i="15" s="1"/>
  <c r="E24" i="21" l="1"/>
  <c r="C16" i="15" s="1"/>
  <c r="E25" i="21" l="1"/>
  <c r="C17" i="15" s="1"/>
  <c r="E26" i="21" l="1"/>
  <c r="C18" i="15" s="1"/>
  <c r="E27" i="21" l="1"/>
  <c r="C19" i="15" s="1"/>
  <c r="C20" i="15" l="1"/>
  <c r="E29" i="21" l="1"/>
  <c r="C21" i="15" s="1"/>
  <c r="E30" i="21" l="1"/>
  <c r="C22" i="15" s="1"/>
  <c r="E31" i="21" l="1"/>
  <c r="C23" i="15" s="1"/>
  <c r="E32" i="21" l="1"/>
  <c r="C24" i="15" s="1"/>
  <c r="E33" i="21" l="1"/>
  <c r="C25" i="15" s="1"/>
  <c r="E34" i="21" l="1"/>
  <c r="C26" i="15" s="1"/>
  <c r="E35" i="21" l="1"/>
  <c r="C27" i="15" s="1"/>
  <c r="E36" i="21" l="1"/>
  <c r="C28" i="15" s="1"/>
  <c r="E37" i="21" l="1"/>
  <c r="C29" i="15" s="1"/>
  <c r="E38" i="21" l="1"/>
  <c r="C30" i="15" s="1"/>
  <c r="E39" i="21" l="1"/>
  <c r="C31" i="15" s="1"/>
  <c r="E40" i="21" l="1"/>
  <c r="C32" i="15" s="1"/>
  <c r="E41" i="21" l="1"/>
  <c r="C33" i="15" s="1"/>
  <c r="E43" i="21" l="1"/>
  <c r="C35" i="15" s="1"/>
  <c r="E42" i="21"/>
  <c r="C34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Li</author>
  </authors>
  <commentList>
    <comment ref="H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Ten acres recently purchased at 5250 West 5500 South in Hooper</t>
        </r>
      </text>
    </comment>
    <comment ref="F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0.79
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0.18</t>
        </r>
      </text>
    </comment>
    <comment ref="H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0.03
</t>
        </r>
      </text>
    </comment>
    <comment ref="V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http://www.heraldextra.com/news/local/education/college/article_441f8a51-f0c4-5cec-b97f-34fbaa6571a5.html
</t>
        </r>
      </text>
    </comment>
    <comment ref="U1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http://dfcmrfp.utah.gov/admin/upload/11317790%20AE%20Phase%202/UVU_Geneva_Site_Solicitation.pdf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</authors>
  <commentList>
    <comment ref="B1" authorId="0" shapeId="0" xr:uid="{00000000-0006-0000-0200-000001000000}">
      <text>
        <r>
          <rPr>
            <sz val="8"/>
            <color indexed="81"/>
            <rFont val="Tahoma"/>
            <family val="2"/>
          </rPr>
          <t>TAZ 141</t>
        </r>
      </text>
    </comment>
    <comment ref="C1" authorId="0" shapeId="0" xr:uid="{00000000-0006-0000-0200-000002000000}">
      <text>
        <r>
          <rPr>
            <sz val="8"/>
            <color indexed="81"/>
            <rFont val="Tahoma"/>
            <family val="2"/>
          </rPr>
          <t>TAZ 305</t>
        </r>
      </text>
    </comment>
    <comment ref="D1" authorId="0" shapeId="0" xr:uid="{00000000-0006-0000-0200-000003000000}">
      <text>
        <r>
          <rPr>
            <sz val="8"/>
            <color indexed="81"/>
            <rFont val="Tahoma"/>
            <family val="2"/>
          </rPr>
          <t>TAZ 383</t>
        </r>
      </text>
    </comment>
    <comment ref="E1" authorId="0" shapeId="0" xr:uid="{00000000-0006-0000-0200-000004000000}">
      <text>
        <r>
          <rPr>
            <sz val="8"/>
            <color indexed="81"/>
            <rFont val="Tahoma"/>
            <family val="2"/>
          </rPr>
          <t>TAZ 425</t>
        </r>
      </text>
    </comment>
    <comment ref="F1" authorId="0" shapeId="0" xr:uid="{00000000-0006-0000-0200-000005000000}">
      <text>
        <r>
          <rPr>
            <sz val="8"/>
            <color indexed="81"/>
            <rFont val="Tahoma"/>
            <family val="2"/>
          </rPr>
          <t>TAZ:
UofU Med 438
UofU Main 449</t>
        </r>
      </text>
    </comment>
    <comment ref="G1" authorId="0" shapeId="0" xr:uid="{00000000-0006-0000-0200-000006000000}">
      <text>
        <r>
          <rPr>
            <sz val="8"/>
            <color indexed="81"/>
            <rFont val="Tahoma"/>
            <family val="2"/>
          </rPr>
          <t>TAZ 455</t>
        </r>
      </text>
    </comment>
    <comment ref="H1" authorId="0" shapeId="0" xr:uid="{00000000-0006-0000-0200-000007000000}">
      <text>
        <r>
          <rPr>
            <sz val="8"/>
            <color indexed="81"/>
            <rFont val="Tahoma"/>
            <family val="2"/>
          </rPr>
          <t>TAZ 557</t>
        </r>
      </text>
    </comment>
    <comment ref="I1" authorId="0" shapeId="0" xr:uid="{00000000-0006-0000-0200-000008000000}">
      <text>
        <r>
          <rPr>
            <sz val="8"/>
            <color indexed="81"/>
            <rFont val="Tahoma"/>
            <family val="2"/>
          </rPr>
          <t>TAZ 581</t>
        </r>
      </text>
    </comment>
    <comment ref="J1" authorId="0" shapeId="0" xr:uid="{00000000-0006-0000-0200-000009000000}">
      <text>
        <r>
          <rPr>
            <sz val="8"/>
            <color indexed="81"/>
            <rFont val="Tahoma"/>
            <family val="2"/>
          </rPr>
          <t>TAZ 707</t>
        </r>
      </text>
    </comment>
    <comment ref="K1" authorId="0" shapeId="0" xr:uid="{00000000-0006-0000-0200-00000A000000}">
      <text>
        <r>
          <rPr>
            <sz val="8"/>
            <color indexed="81"/>
            <rFont val="Tahoma"/>
            <family val="2"/>
          </rPr>
          <t>TAZ 875</t>
        </r>
      </text>
    </comment>
    <comment ref="L1" authorId="0" shapeId="0" xr:uid="{00000000-0006-0000-0200-00000B000000}">
      <text>
        <r>
          <rPr>
            <sz val="8"/>
            <color indexed="81"/>
            <rFont val="Tahoma"/>
            <family val="2"/>
          </rPr>
          <t>TAZ:
UVU West 1141
UVU Main 1143</t>
        </r>
      </text>
    </comment>
    <comment ref="M1" authorId="0" shapeId="0" xr:uid="{00000000-0006-0000-0200-00000C000000}">
      <text>
        <r>
          <rPr>
            <sz val="8"/>
            <color indexed="81"/>
            <rFont val="Tahoma"/>
            <family val="2"/>
          </rPr>
          <t>TAZ 1213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  <author>Andy Li</author>
  </authors>
  <commentList>
    <comment ref="C4" authorId="0" shapeId="0" xr:uid="{EB408E45-87B4-42D2-BA2A-14689B48B49D}">
      <text>
        <r>
          <rPr>
            <sz val="8"/>
            <color indexed="81"/>
            <rFont val="Tahoma"/>
            <family val="2"/>
          </rPr>
          <t>Assume same 200 effective days/year Lagoon is in operation.</t>
        </r>
      </text>
    </comment>
    <comment ref="D4" authorId="0" shapeId="0" xr:uid="{3150A48C-CB38-41DC-9302-70F1AC9BD5DB}">
      <text>
        <r>
          <rPr>
            <sz val="8"/>
            <color indexed="81"/>
            <rFont val="Tahoma"/>
            <family val="2"/>
          </rPr>
          <t xml:space="preserve">Total 2001 visitors to Lagoon / day (1.3 M/yr and 200 days/yr)
(source: previous spreadsheet methd)
</t>
        </r>
      </text>
    </comment>
    <comment ref="B6" authorId="1" shapeId="0" xr:uid="{361399C8-A381-4643-8523-777DB0153F12}">
      <text>
        <r>
          <rPr>
            <b/>
            <sz val="9"/>
            <color indexed="81"/>
            <rFont val="Tahoma"/>
            <charset val="1"/>
          </rPr>
          <t>Andy Li:</t>
        </r>
        <r>
          <rPr>
            <sz val="9"/>
            <color indexed="81"/>
            <rFont val="Tahoma"/>
            <charset val="1"/>
          </rPr>
          <t xml:space="preserve">
https://www.deseretnews.com/article/970248/Lagoon-is-riding-economy-swing.html
</t>
        </r>
      </text>
    </comment>
    <comment ref="C6" authorId="0" shapeId="0" xr:uid="{FF224F57-B684-4EE3-BBE5-57616BF40529}">
      <text>
        <r>
          <rPr>
            <sz val="8"/>
            <color indexed="81"/>
            <rFont val="Tahoma"/>
            <family val="2"/>
          </rPr>
          <t>Assume same 200 effective days/year Lagoon is in operation.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</authors>
  <commentList>
    <comment ref="C4" authorId="0" shapeId="0" xr:uid="{A5AC5CB4-8B0E-491E-817B-DCC530A9B3CB}">
      <text>
        <r>
          <rPr>
            <sz val="8"/>
            <color indexed="81"/>
            <rFont val="Tahoma"/>
            <family val="2"/>
          </rPr>
          <t>Assume same 200 effective days/year Lagoon is in operation.</t>
        </r>
      </text>
    </comment>
    <comment ref="D4" authorId="0" shapeId="0" xr:uid="{8C418092-6961-4800-B6E2-E35986CF2A9F}">
      <text>
        <r>
          <rPr>
            <sz val="8"/>
            <color indexed="81"/>
            <rFont val="Tahoma"/>
            <family val="2"/>
          </rPr>
          <t xml:space="preserve">Total 2001 visitors to Lagoon / day (1.3 M/yr and 200 days/yr)
(source: previous spreadsheet methd)
</t>
        </r>
      </text>
    </comment>
    <comment ref="C33" authorId="0" shapeId="0" xr:uid="{29B37C32-8515-4B6A-B588-405A800FF124}">
      <text>
        <r>
          <rPr>
            <sz val="8"/>
            <color indexed="81"/>
            <rFont val="Tahoma"/>
            <family val="2"/>
          </rPr>
          <t>set target value (rough guess?)</t>
        </r>
      </text>
    </comment>
  </commentList>
</comments>
</file>

<file path=xl/sharedStrings.xml><?xml version="1.0" encoding="utf-8"?>
<sst xmlns="http://schemas.openxmlformats.org/spreadsheetml/2006/main" count="624" uniqueCount="347">
  <si>
    <t>YEAR</t>
  </si>
  <si>
    <t>WSU</t>
  </si>
  <si>
    <t>LAGOON</t>
  </si>
  <si>
    <t>SLCCJ</t>
  </si>
  <si>
    <t>AIRPORT</t>
  </si>
  <si>
    <t>UOFU</t>
  </si>
  <si>
    <t>LDSBC</t>
  </si>
  <si>
    <t>SLCCSC</t>
  </si>
  <si>
    <t>WESTMIN</t>
  </si>
  <si>
    <t>SLCCR</t>
  </si>
  <si>
    <t>SLCCS</t>
  </si>
  <si>
    <t>UVU</t>
  </si>
  <si>
    <t>BYU</t>
  </si>
  <si>
    <t>Year</t>
  </si>
  <si>
    <t>Headcount</t>
  </si>
  <si>
    <t>Tab-C-Enrollments</t>
  </si>
  <si>
    <t>tble3</t>
  </si>
  <si>
    <t>table 7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</si>
  <si>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</si>
  <si>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</si>
  <si>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</si>
  <si>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</si>
  <si>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</si>
  <si>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</si>
  <si>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</si>
  <si>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</si>
  <si>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</si>
  <si>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</si>
  <si>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</si>
  <si>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</si>
  <si>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</si>
  <si>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</si>
  <si>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</si>
  <si>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</si>
  <si>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</si>
  <si>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</si>
  <si>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</si>
  <si>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</si>
  <si>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</si>
  <si>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</si>
  <si>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</si>
  <si>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</si>
  <si>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</si>
  <si>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</si>
  <si>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</si>
  <si>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</si>
  <si>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</si>
  <si>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See</t>
  </si>
  <si>
    <t>Note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</si>
  <si>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</si>
  <si>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</si>
  <si>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</si>
  <si>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</si>
  <si>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</si>
  <si>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</si>
  <si>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</si>
  <si>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</si>
  <si>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</si>
  <si>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</si>
  <si>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</si>
  <si>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</si>
  <si>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</si>
  <si>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</si>
  <si>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U_ss1213A03b</t>
  </si>
  <si>
    <t>HC</t>
  </si>
  <si>
    <r>
      <t>= 5.7553x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- 22435x + 2E+07</t>
    </r>
  </si>
  <si>
    <r>
      <t>= 5.755313x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- 22,434.840851x + 21,866,950.217242</t>
    </r>
  </si>
  <si>
    <t>http://www.westminstercollege.edu/campus_news/index.cfm?id=952</t>
  </si>
  <si>
    <t>http://www.cappex.com/colleges/Westminster-College-Utah</t>
  </si>
  <si>
    <t>zz</t>
  </si>
  <si>
    <t>email between Jim Wsu and Greg:</t>
  </si>
  <si>
    <t>davis campus</t>
  </si>
  <si>
    <t>current 2012</t>
  </si>
  <si>
    <t>Students - 3300 - 3500 depending on the semester</t>
  </si>
  <si>
    <t>Faculty - 145</t>
  </si>
  <si>
    <t>Staff - 22 (not including hourly students)</t>
  </si>
  <si>
    <t>Hourly &amp; others, average - 30</t>
  </si>
  <si>
    <t xml:space="preserve">ogden </t>
  </si>
  <si>
    <t>build out</t>
  </si>
  <si>
    <t>26000~28000</t>
  </si>
  <si>
    <t>2008 sutdents coded as zip</t>
  </si>
  <si>
    <t>build-out at the Davis Campus at around 12,000 students, and approximately 1,200 faculty and staff. </t>
  </si>
  <si>
    <t>Fall Semester</t>
  </si>
  <si>
    <t>Institution</t>
  </si>
  <si>
    <t>Average Annual Growth</t>
  </si>
  <si>
    <t>University of Utah</t>
  </si>
  <si>
    <t>Annual Growth</t>
  </si>
  <si>
    <t>Utah State University</t>
  </si>
  <si>
    <t>Weber State University</t>
  </si>
  <si>
    <t>Southern Utah University</t>
  </si>
  <si>
    <t>Snow College</t>
  </si>
  <si>
    <t>Dixie State College</t>
  </si>
  <si>
    <t>Utah Valley University</t>
  </si>
  <si>
    <t>Salt Lake Community College</t>
  </si>
  <si>
    <t>USHE Totals</t>
  </si>
  <si>
    <t>Campus % Split</t>
  </si>
  <si>
    <t>redwood</t>
  </si>
  <si>
    <t>Jordan</t>
  </si>
  <si>
    <t>south city</t>
  </si>
  <si>
    <t>Division by Campus</t>
  </si>
  <si>
    <t>Miller</t>
  </si>
  <si>
    <t>Meadowbrook</t>
  </si>
  <si>
    <t>Ariport</t>
  </si>
  <si>
    <t>Redwood</t>
  </si>
  <si>
    <t>South City</t>
  </si>
  <si>
    <t>Higland</t>
  </si>
  <si>
    <t>Library Sq</t>
  </si>
  <si>
    <t>Westpointe</t>
  </si>
  <si>
    <t>total</t>
  </si>
  <si>
    <t>from Greg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</si>
  <si>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</si>
  <si>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</si>
  <si>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</si>
  <si>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</si>
  <si>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</si>
  <si>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</si>
  <si>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</si>
  <si>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</si>
  <si>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</si>
  <si>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</si>
  <si>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</si>
  <si>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</si>
  <si>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</si>
  <si>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</si>
  <si>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</si>
  <si>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</si>
  <si>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</si>
  <si>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</si>
  <si>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</si>
  <si>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</si>
  <si>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Full and 3/4 time students*</t>
  </si>
  <si>
    <t>All Day-time students*</t>
  </si>
  <si>
    <t>Daytime students only</t>
  </si>
  <si>
    <t>Fall Enrollment</t>
  </si>
  <si>
    <t>Winter Enrollment</t>
  </si>
  <si>
    <t>Day-time Enrollment</t>
  </si>
  <si>
    <t>---</t>
  </si>
  <si>
    <t>2009 </t>
  </si>
  <si>
    <t>30,533 </t>
  </si>
  <si>
    <t>2008 </t>
  </si>
  <si>
    <t>30,500 </t>
  </si>
  <si>
    <t>29,137 </t>
  </si>
  <si>
    <t>1945##</t>
  </si>
  <si>
    <t>1903#</t>
  </si>
  <si>
    <t>1897**</t>
  </si>
  <si>
    <t>1875*</t>
  </si>
  <si>
    <t>2040 headcount</t>
  </si>
  <si>
    <t xml:space="preserve">Craig Nelson [mailto:cnelson@ldsbc.edu] </t>
  </si>
  <si>
    <t xml:space="preserve">3750, Gary Daynes [mailto:gdaynes@westminstercollege.edu] </t>
  </si>
  <si>
    <t>http://www.ldsbc.edu/index.php?option=com_content&amp;view=category&amp;layout=blog&amp;id=18&amp;limitstart=95</t>
  </si>
  <si>
    <t>2003 headcount</t>
  </si>
  <si>
    <t>http://www.ldsbc.edu/index.php?option=com_content&amp;view=article&amp;id=749&amp;Itemid=515</t>
  </si>
  <si>
    <t>Colleges</t>
  </si>
  <si>
    <t>U</t>
  </si>
  <si>
    <t>SLCC</t>
  </si>
  <si>
    <t>Westminster</t>
  </si>
  <si>
    <t>Greg,2040</t>
  </si>
  <si>
    <t>Andy,2040</t>
  </si>
  <si>
    <t>Last time,2040</t>
  </si>
  <si>
    <t>USHE, 2021</t>
  </si>
  <si>
    <t>School,2040</t>
  </si>
  <si>
    <t xml:space="preserve">Proposed </t>
  </si>
  <si>
    <t xml:space="preserve"> communicate</t>
  </si>
  <si>
    <t>BYUSLC</t>
  </si>
  <si>
    <t>Greg%</t>
  </si>
  <si>
    <t>Last time%</t>
  </si>
  <si>
    <t>proposed%</t>
  </si>
  <si>
    <t>proposed</t>
  </si>
  <si>
    <t>Ogden</t>
  </si>
  <si>
    <t xml:space="preserve">campus projections </t>
  </si>
  <si>
    <t>current</t>
  </si>
  <si>
    <t>11 Cohort est</t>
  </si>
  <si>
    <t>40 Cohort est</t>
  </si>
  <si>
    <t>Weber</t>
  </si>
  <si>
    <t>Davis</t>
  </si>
  <si>
    <t>West</t>
  </si>
  <si>
    <t>Greg</t>
  </si>
  <si>
    <t>Spring 2009 3rd Week Enrollment</t>
  </si>
  <si>
    <t>Campus</t>
  </si>
  <si>
    <t xml:space="preserve">Headcount </t>
  </si>
  <si>
    <t xml:space="preserve">FTE </t>
  </si>
  <si>
    <t>Taylorsville Redwood Campus</t>
  </si>
  <si>
    <t>South City Campus</t>
  </si>
  <si>
    <t>Jordan Campus</t>
  </si>
  <si>
    <t>Miller Campus &amp; Miller Campus (Internet)</t>
  </si>
  <si>
    <t>Meadowbrook Campus</t>
  </si>
  <si>
    <t>Sandy Center</t>
  </si>
  <si>
    <t>Library Square Center (Opened Spring 06-07)</t>
  </si>
  <si>
    <t>Airport Center</t>
  </si>
  <si>
    <t>Utah State Prison</t>
  </si>
  <si>
    <t>Jordan Distr Tech Center (All)</t>
  </si>
  <si>
    <t>Granite District Tech Center</t>
  </si>
  <si>
    <t>Concurrent Enrollment Dist Ed</t>
  </si>
  <si>
    <t>Taylorsville Redwood Concurrent Budget Related</t>
  </si>
  <si>
    <t>Sandy Concurrent Budget Related</t>
  </si>
  <si>
    <t>Jordan Concurrent Budget Related</t>
  </si>
  <si>
    <t>Meadowbrook Concurrent Budget Related</t>
  </si>
  <si>
    <t>SLCC Online and Utah Electronic College</t>
  </si>
  <si>
    <t>Off Campus</t>
  </si>
  <si>
    <t>Fall 2008 3rd Week Enrollment</t>
  </si>
  <si>
    <t xml:space="preserve">Source:      </t>
  </si>
  <si>
    <t>Ray Emett, Director of Institutional Research</t>
  </si>
  <si>
    <t xml:space="preserve">Phone:  (801)-957-4403          E-mail: ray.emett@slcc.edu     </t>
  </si>
  <si>
    <t>offcampus ex</t>
  </si>
  <si>
    <t>concurrent ex</t>
  </si>
  <si>
    <t>online ex</t>
  </si>
  <si>
    <t>highland</t>
  </si>
  <si>
    <t>10% Geneva Site</t>
  </si>
  <si>
    <t>10% Thanksgiving Point Site</t>
  </si>
  <si>
    <t>1% Heber Site</t>
  </si>
  <si>
    <t>79% Main Campus Site</t>
  </si>
  <si>
    <t>UVU%</t>
  </si>
  <si>
    <t>2020 only 40k?</t>
  </si>
  <si>
    <t>Yes</t>
  </si>
  <si>
    <t>LDSBC/BYUsl</t>
  </si>
  <si>
    <t>WSU Ogden</t>
  </si>
  <si>
    <t>Westmintor</t>
  </si>
  <si>
    <t>main</t>
  </si>
  <si>
    <t>Geneva</t>
  </si>
  <si>
    <t>thankPoint</t>
  </si>
  <si>
    <t>west</t>
  </si>
  <si>
    <t>Notes</t>
  </si>
  <si>
    <t>when to pen</t>
  </si>
  <si>
    <t>when to open</t>
  </si>
  <si>
    <t>change ?</t>
  </si>
  <si>
    <t>which campus? Very close. 2 mile away</t>
  </si>
  <si>
    <t>see map tab</t>
  </si>
  <si>
    <t>Control Data</t>
  </si>
  <si>
    <t>Main Campus</t>
  </si>
  <si>
    <t>Enrollment</t>
  </si>
  <si>
    <t>Code</t>
  </si>
  <si>
    <t>College</t>
  </si>
  <si>
    <t>Estimates</t>
  </si>
  <si>
    <t>St. George</t>
  </si>
  <si>
    <t>LDS Bussiness College</t>
  </si>
  <si>
    <t>SL Community College</t>
  </si>
  <si>
    <t>Four Main</t>
  </si>
  <si>
    <t>Logan</t>
  </si>
  <si>
    <t>Orem</t>
  </si>
  <si>
    <t>Westminster College</t>
  </si>
  <si>
    <t>total headcount</t>
  </si>
  <si>
    <t>the data from RSG, total is used for expansion without concurrent, etc.</t>
  </si>
  <si>
    <t>Full-Time Equivalent</t>
  </si>
  <si>
    <t>Fall FTE</t>
  </si>
  <si>
    <t>Prev Control</t>
  </si>
  <si>
    <t>New Control</t>
  </si>
  <si>
    <t>Westerminster</t>
  </si>
  <si>
    <t>WSU_Davis</t>
  </si>
  <si>
    <t>WSU_Ogden</t>
  </si>
  <si>
    <t>WSU_West</t>
  </si>
  <si>
    <t>UVU_main</t>
  </si>
  <si>
    <t>UVU_Geneva</t>
  </si>
  <si>
    <t>UVU_ThankP</t>
  </si>
  <si>
    <t>SLCC_Mead</t>
  </si>
  <si>
    <t>SLCC_Airp</t>
  </si>
  <si>
    <t>SLCC_West</t>
  </si>
  <si>
    <t>FTERate</t>
  </si>
  <si>
    <t>HBCRates</t>
  </si>
  <si>
    <t>Pct_Remove</t>
  </si>
  <si>
    <t>Westmin</t>
  </si>
  <si>
    <t>SLCC_TL</t>
  </si>
  <si>
    <t>SLCC_SC</t>
  </si>
  <si>
    <t>SLCC_JD</t>
  </si>
  <si>
    <t>SLCC_ML</t>
  </si>
  <si>
    <t>SLCC_LB</t>
  </si>
  <si>
    <t>SLCC_HL</t>
  </si>
  <si>
    <t>Dixie State University</t>
  </si>
  <si>
    <t>Utah State University*</t>
  </si>
  <si>
    <t>Actual 2017</t>
  </si>
  <si>
    <t>Actual 2016</t>
  </si>
  <si>
    <t>Actual 2015</t>
  </si>
  <si>
    <t>Actual 2014</t>
  </si>
  <si>
    <t>Projection</t>
  </si>
  <si>
    <t>Actual</t>
  </si>
  <si>
    <t>Total</t>
  </si>
  <si>
    <t>USHE</t>
  </si>
  <si>
    <t>Less Duplicates</t>
  </si>
  <si>
    <t>Skill Center</t>
  </si>
  <si>
    <t>E&amp;G</t>
  </si>
  <si>
    <r>
      <rPr>
        <sz val="12"/>
        <rFont val="Arial Narrow"/>
        <family val="2"/>
      </rPr>
      <t>E&amp;G</t>
    </r>
    <r>
      <rPr>
        <b/>
        <sz val="12"/>
        <rFont val="Arial Narrow"/>
        <family val="2"/>
      </rPr>
      <t xml:space="preserve"> Total</t>
    </r>
  </si>
  <si>
    <t>Richfield Campus/ATE</t>
  </si>
  <si>
    <t>Division of Workforce Education</t>
  </si>
  <si>
    <t>Eastern - San Juan</t>
  </si>
  <si>
    <t>Eastern</t>
  </si>
  <si>
    <t>Tooele</t>
  </si>
  <si>
    <t>Brigham City</t>
  </si>
  <si>
    <t>Uintah Basin</t>
  </si>
  <si>
    <t>Southeast</t>
  </si>
  <si>
    <t>Med. School (PA)</t>
  </si>
  <si>
    <t>RDEP</t>
  </si>
  <si>
    <t>Med. School (Non MD)</t>
  </si>
  <si>
    <t>Med. School (MD)</t>
  </si>
  <si>
    <t>Non Res</t>
  </si>
  <si>
    <t>Res</t>
  </si>
  <si>
    <t>Fall 2017</t>
  </si>
  <si>
    <t>Fall 2106</t>
  </si>
  <si>
    <t>Fall 2015</t>
  </si>
  <si>
    <t>Fall 2014</t>
  </si>
  <si>
    <t>Fall 2013</t>
  </si>
  <si>
    <t>Fall 2012</t>
  </si>
  <si>
    <t>Fall 2011</t>
  </si>
  <si>
    <t>Fall 2010</t>
  </si>
  <si>
    <t>Fall 2009</t>
  </si>
  <si>
    <t>Headcount Total (Budget Related and Self Support)</t>
  </si>
  <si>
    <t>Table 4 (End of Term)</t>
  </si>
  <si>
    <t>HC_2019</t>
  </si>
  <si>
    <t xml:space="preserve">USHE  Long-term Enrollment Projection Model </t>
  </si>
  <si>
    <t>Heriman</t>
  </si>
  <si>
    <t>Payson</t>
  </si>
  <si>
    <t>Vineyard</t>
  </si>
  <si>
    <t>out of MPO area</t>
  </si>
  <si>
    <t>vineyard</t>
  </si>
  <si>
    <t>payson</t>
  </si>
  <si>
    <t>;Year</t>
  </si>
  <si>
    <t>Airport</t>
  </si>
  <si>
    <t>Estimated Daily Person Trips</t>
  </si>
  <si>
    <t>AARC</t>
  </si>
  <si>
    <t>Lagoon</t>
  </si>
  <si>
    <t>Total  Visitors</t>
  </si>
  <si>
    <t>Annualized Daily Visitor</t>
  </si>
  <si>
    <t>stright line interpolation between 2 targets</t>
  </si>
  <si>
    <t>https://www.slcairport.com/about-the-airport/airport-overview/air-traffic-statistics/</t>
  </si>
  <si>
    <t>year</t>
  </si>
  <si>
    <t>annual enplaned</t>
  </si>
  <si>
    <t>annual deplaned</t>
  </si>
  <si>
    <t>Main</t>
  </si>
  <si>
    <t>Med</t>
  </si>
  <si>
    <t>U of U</t>
  </si>
  <si>
    <t>UofU_Main</t>
  </si>
  <si>
    <t>UofU_Med</t>
  </si>
  <si>
    <t>SLCC_HM</t>
  </si>
  <si>
    <t>UVU_VINE</t>
  </si>
  <si>
    <t>UVU_PAYSON</t>
  </si>
  <si>
    <t>College Factors</t>
  </si>
  <si>
    <t>Trip Table Control Total</t>
  </si>
  <si>
    <t>;index</t>
  </si>
  <si>
    <t>Var_Name</t>
  </si>
  <si>
    <t>Note:</t>
  </si>
  <si>
    <t>Removal means concurrent, online degree etc.</t>
  </si>
  <si>
    <t>FTERate = FTE / Total Headcount,  Total Headcount includes online and concurrent enrollment</t>
  </si>
  <si>
    <t>transfer rate</t>
  </si>
  <si>
    <t>annual growth rate</t>
  </si>
  <si>
    <t>http://worldpopulationreview.com/states/utah-population/</t>
  </si>
  <si>
    <t>https://www.statista.com/statistics/206370/resident-population-in-utah/</t>
  </si>
  <si>
    <t>state population</t>
  </si>
  <si>
    <t>https://gardner.utah.edu/wp-content/uploads/Projections-Brief-Final.pdf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</si>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</sst>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#,##0;\-#,##0;\-"/>
    <numFmt numFmtId="166" formatCode="???,???"/>
    <numFmt numFmtId="167" formatCode="?0.0%"/>
    <numFmt numFmtId="168" formatCode="_(* #,##0.000_);_(* \(#,##0.000\);_(* &quot;-&quot;??_);_(@_)"/>
    <numFmt numFmtId="169" formatCode="0.0%"/>
    <numFmt numFmtId="170" formatCode="#,##0;#,##0"/>
    <numFmt numFmtId="171" formatCode="0.0"/>
    <numFmt numFmtId="172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1"/>
      <name val="Tahoma"/>
      <family val="2"/>
    </font>
    <font>
      <b/>
      <sz val="10"/>
      <name val="Calibri"/>
      <family val="2"/>
    </font>
    <font>
      <sz val="1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sz val="12"/>
      <color theme="0" tint="-4.9989318521683403E-2"/>
      <name val="Arial Narrow"/>
      <family val="2"/>
    </font>
    <font>
      <b/>
      <sz val="20"/>
      <name val="Calibri"/>
      <family val="2"/>
    </font>
    <font>
      <b/>
      <sz val="10"/>
      <name val="Arial"/>
      <family val="2"/>
    </font>
    <font>
      <sz val="10"/>
      <color indexed="12"/>
      <name val="Calibri"/>
      <family val="2"/>
    </font>
    <font>
      <sz val="11"/>
      <color rgb="FF0000FF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  <xf numFmtId="43" fontId="18" fillId="0" borderId="0" applyFont="0" applyFill="0" applyBorder="0" applyAlignment="0" applyProtection="0"/>
    <xf numFmtId="0" fontId="1" fillId="0" borderId="0"/>
  </cellStyleXfs>
  <cellXfs count="269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165" fontId="5" fillId="0" borderId="0" xfId="1" applyNumberFormat="1" applyFont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3" fontId="0" fillId="2" borderId="0" xfId="0" applyNumberFormat="1" applyFill="1"/>
    <xf numFmtId="10" fontId="0" fillId="0" borderId="0" xfId="0" applyNumberFormat="1"/>
    <xf numFmtId="165" fontId="0" fillId="0" borderId="0" xfId="0" applyNumberFormat="1"/>
    <xf numFmtId="165" fontId="2" fillId="2" borderId="0" xfId="0" applyNumberFormat="1" applyFont="1" applyFill="1"/>
    <xf numFmtId="164" fontId="0" fillId="2" borderId="0" xfId="1" applyNumberFormat="1" applyFont="1" applyFill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0" xfId="0" applyFont="1"/>
    <xf numFmtId="0" fontId="7" fillId="4" borderId="6" xfId="0" applyFont="1" applyFill="1" applyBorder="1"/>
    <xf numFmtId="0" fontId="7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wrapText="1"/>
    </xf>
    <xf numFmtId="166" fontId="9" fillId="0" borderId="0" xfId="1" applyNumberFormat="1" applyFont="1" applyAlignment="1">
      <alignment horizontal="center"/>
    </xf>
    <xf numFmtId="167" fontId="9" fillId="0" borderId="0" xfId="2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/>
    <xf numFmtId="167" fontId="9" fillId="0" borderId="7" xfId="2" applyNumberFormat="1" applyFont="1" applyBorder="1" applyAlignment="1">
      <alignment horizontal="center"/>
    </xf>
    <xf numFmtId="0" fontId="9" fillId="5" borderId="0" xfId="0" applyFont="1" applyFill="1"/>
    <xf numFmtId="166" fontId="9" fillId="5" borderId="0" xfId="1" applyNumberFormat="1" applyFont="1" applyFill="1" applyAlignment="1">
      <alignment horizontal="center"/>
    </xf>
    <xf numFmtId="0" fontId="9" fillId="5" borderId="7" xfId="0" applyFont="1" applyFill="1" applyBorder="1"/>
    <xf numFmtId="167" fontId="9" fillId="5" borderId="7" xfId="2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top"/>
    </xf>
    <xf numFmtId="9" fontId="0" fillId="0" borderId="0" xfId="2" applyFont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6" borderId="0" xfId="1" applyNumberFormat="1" applyFont="1" applyFill="1"/>
    <xf numFmtId="0" fontId="11" fillId="0" borderId="0" xfId="3"/>
    <xf numFmtId="0" fontId="0" fillId="0" borderId="8" xfId="0" applyBorder="1"/>
    <xf numFmtId="164" fontId="0" fillId="0" borderId="8" xfId="1" applyNumberFormat="1" applyFont="1" applyBorder="1"/>
    <xf numFmtId="0" fontId="0" fillId="0" borderId="8" xfId="0" applyBorder="1" applyAlignment="1">
      <alignment horizontal="left"/>
    </xf>
    <xf numFmtId="164" fontId="2" fillId="2" borderId="8" xfId="1" applyNumberFormat="1" applyFont="1" applyFill="1" applyBorder="1"/>
    <xf numFmtId="164" fontId="2" fillId="0" borderId="8" xfId="1" applyNumberFormat="1" applyFont="1" applyBorder="1"/>
    <xf numFmtId="9" fontId="0" fillId="2" borderId="0" xfId="2" applyFont="1" applyFill="1"/>
    <xf numFmtId="9" fontId="0" fillId="0" borderId="0" xfId="0" applyNumberFormat="1"/>
    <xf numFmtId="10" fontId="0" fillId="0" borderId="0" xfId="2" applyNumberFormat="1" applyFont="1"/>
    <xf numFmtId="43" fontId="0" fillId="0" borderId="0" xfId="0" applyNumberFormat="1"/>
    <xf numFmtId="0" fontId="0" fillId="0" borderId="0" xfId="0" applyAlignment="1">
      <alignment vertical="center"/>
    </xf>
    <xf numFmtId="0" fontId="12" fillId="0" borderId="0" xfId="0" applyFont="1"/>
    <xf numFmtId="9" fontId="0" fillId="2" borderId="0" xfId="0" applyNumberFormat="1" applyFill="1"/>
    <xf numFmtId="0" fontId="2" fillId="2" borderId="0" xfId="0" applyFont="1" applyFill="1"/>
    <xf numFmtId="168" fontId="9" fillId="0" borderId="0" xfId="1" applyNumberFormat="1" applyFont="1"/>
    <xf numFmtId="1" fontId="4" fillId="0" borderId="0" xfId="0" applyNumberFormat="1" applyFont="1" applyAlignment="1">
      <alignment horizontal="center" wrapText="1"/>
    </xf>
    <xf numFmtId="0" fontId="5" fillId="0" borderId="11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17" fillId="0" borderId="0" xfId="4"/>
    <xf numFmtId="0" fontId="5" fillId="3" borderId="2" xfId="4" applyFont="1" applyFill="1" applyBorder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4" fillId="0" borderId="0" xfId="4" applyFont="1" applyAlignment="1">
      <alignment horizontal="center"/>
    </xf>
    <xf numFmtId="164" fontId="0" fillId="0" borderId="0" xfId="5" applyNumberFormat="1" applyFont="1"/>
    <xf numFmtId="38" fontId="19" fillId="9" borderId="0" xfId="4" applyNumberFormat="1" applyFont="1" applyFill="1" applyAlignment="1">
      <alignment vertical="center"/>
    </xf>
    <xf numFmtId="0" fontId="20" fillId="9" borderId="0" xfId="4" applyFont="1" applyFill="1"/>
    <xf numFmtId="38" fontId="19" fillId="9" borderId="5" xfId="4" applyNumberFormat="1" applyFont="1" applyFill="1" applyBorder="1" applyAlignment="1">
      <alignment vertical="center"/>
    </xf>
    <xf numFmtId="38" fontId="19" fillId="9" borderId="4" xfId="4" applyNumberFormat="1" applyFont="1" applyFill="1" applyBorder="1" applyAlignment="1">
      <alignment vertical="center"/>
    </xf>
    <xf numFmtId="38" fontId="19" fillId="9" borderId="3" xfId="4" applyNumberFormat="1" applyFont="1" applyFill="1" applyBorder="1" applyAlignment="1">
      <alignment vertical="center"/>
    </xf>
    <xf numFmtId="38" fontId="19" fillId="9" borderId="5" xfId="4" applyNumberFormat="1" applyFont="1" applyFill="1" applyBorder="1" applyAlignment="1">
      <alignment horizontal="right" vertical="center"/>
    </xf>
    <xf numFmtId="38" fontId="19" fillId="9" borderId="4" xfId="4" applyNumberFormat="1" applyFont="1" applyFill="1" applyBorder="1" applyAlignment="1">
      <alignment horizontal="right" vertical="center"/>
    </xf>
    <xf numFmtId="38" fontId="19" fillId="7" borderId="14" xfId="4" applyNumberFormat="1" applyFont="1" applyFill="1" applyBorder="1" applyAlignment="1">
      <alignment vertical="center"/>
    </xf>
    <xf numFmtId="38" fontId="19" fillId="7" borderId="15" xfId="4" applyNumberFormat="1" applyFont="1" applyFill="1" applyBorder="1" applyAlignment="1">
      <alignment vertical="center"/>
    </xf>
    <xf numFmtId="38" fontId="19" fillId="7" borderId="16" xfId="4" applyNumberFormat="1" applyFont="1" applyFill="1" applyBorder="1" applyAlignment="1">
      <alignment vertical="center"/>
    </xf>
    <xf numFmtId="38" fontId="19" fillId="7" borderId="17" xfId="4" applyNumberFormat="1" applyFont="1" applyFill="1" applyBorder="1" applyAlignment="1">
      <alignment vertical="center"/>
    </xf>
    <xf numFmtId="38" fontId="19" fillId="7" borderId="0" xfId="4" applyNumberFormat="1" applyFont="1" applyFill="1" applyAlignment="1">
      <alignment vertical="center"/>
    </xf>
    <xf numFmtId="38" fontId="19" fillId="9" borderId="0" xfId="4" applyNumberFormat="1" applyFont="1" applyFill="1" applyAlignment="1">
      <alignment horizontal="right" vertical="center"/>
    </xf>
    <xf numFmtId="0" fontId="19" fillId="9" borderId="0" xfId="4" applyFont="1" applyFill="1" applyAlignment="1">
      <alignment horizontal="right" vertical="center"/>
    </xf>
    <xf numFmtId="0" fontId="19" fillId="9" borderId="0" xfId="4" applyFont="1" applyFill="1" applyAlignment="1">
      <alignment vertical="center"/>
    </xf>
    <xf numFmtId="38" fontId="20" fillId="10" borderId="17" xfId="4" applyNumberFormat="1" applyFont="1" applyFill="1" applyBorder="1" applyAlignment="1">
      <alignment vertical="center"/>
    </xf>
    <xf numFmtId="38" fontId="20" fillId="11" borderId="0" xfId="4" applyNumberFormat="1" applyFont="1" applyFill="1" applyAlignment="1">
      <alignment vertical="center"/>
    </xf>
    <xf numFmtId="38" fontId="20" fillId="12" borderId="18" xfId="4" applyNumberFormat="1" applyFont="1" applyFill="1" applyBorder="1" applyAlignment="1">
      <alignment vertical="center"/>
    </xf>
    <xf numFmtId="38" fontId="20" fillId="13" borderId="17" xfId="4" applyNumberFormat="1" applyFont="1" applyFill="1" applyBorder="1" applyAlignment="1">
      <alignment vertical="center"/>
    </xf>
    <xf numFmtId="38" fontId="20" fillId="14" borderId="0" xfId="4" applyNumberFormat="1" applyFont="1" applyFill="1" applyAlignment="1">
      <alignment vertical="center"/>
    </xf>
    <xf numFmtId="38" fontId="20" fillId="15" borderId="18" xfId="4" applyNumberFormat="1" applyFont="1" applyFill="1" applyBorder="1" applyAlignment="1">
      <alignment vertical="center"/>
    </xf>
    <xf numFmtId="38" fontId="20" fillId="16" borderId="17" xfId="4" applyNumberFormat="1" applyFont="1" applyFill="1" applyBorder="1" applyAlignment="1">
      <alignment vertical="center"/>
    </xf>
    <xf numFmtId="38" fontId="20" fillId="17" borderId="0" xfId="4" applyNumberFormat="1" applyFont="1" applyFill="1" applyAlignment="1">
      <alignment vertical="center"/>
    </xf>
    <xf numFmtId="38" fontId="20" fillId="18" borderId="18" xfId="4" applyNumberFormat="1" applyFont="1" applyFill="1" applyBorder="1" applyAlignment="1">
      <alignment vertical="center"/>
    </xf>
    <xf numFmtId="38" fontId="20" fillId="19" borderId="17" xfId="4" applyNumberFormat="1" applyFont="1" applyFill="1" applyBorder="1" applyAlignment="1">
      <alignment vertical="center"/>
    </xf>
    <xf numFmtId="38" fontId="20" fillId="20" borderId="0" xfId="4" applyNumberFormat="1" applyFont="1" applyFill="1" applyAlignment="1">
      <alignment vertical="center"/>
    </xf>
    <xf numFmtId="38" fontId="20" fillId="21" borderId="18" xfId="4" applyNumberFormat="1" applyFont="1" applyFill="1" applyBorder="1" applyAlignment="1">
      <alignment vertical="center"/>
    </xf>
    <xf numFmtId="38" fontId="20" fillId="22" borderId="17" xfId="4" applyNumberFormat="1" applyFont="1" applyFill="1" applyBorder="1" applyAlignment="1">
      <alignment vertical="center"/>
    </xf>
    <xf numFmtId="38" fontId="20" fillId="23" borderId="0" xfId="4" applyNumberFormat="1" applyFont="1" applyFill="1" applyAlignment="1">
      <alignment vertical="center"/>
    </xf>
    <xf numFmtId="38" fontId="20" fillId="24" borderId="18" xfId="4" applyNumberFormat="1" applyFont="1" applyFill="1" applyBorder="1" applyAlignment="1">
      <alignment vertical="center"/>
    </xf>
    <xf numFmtId="38" fontId="20" fillId="9" borderId="0" xfId="4" applyNumberFormat="1" applyFont="1" applyFill="1" applyAlignment="1">
      <alignment horizontal="right" vertical="center"/>
    </xf>
    <xf numFmtId="38" fontId="20" fillId="9" borderId="0" xfId="4" applyNumberFormat="1" applyFont="1" applyFill="1" applyAlignment="1">
      <alignment vertical="center"/>
    </xf>
    <xf numFmtId="38" fontId="19" fillId="7" borderId="18" xfId="4" applyNumberFormat="1" applyFont="1" applyFill="1" applyBorder="1" applyAlignment="1">
      <alignment vertical="center"/>
    </xf>
    <xf numFmtId="38" fontId="19" fillId="13" borderId="17" xfId="4" applyNumberFormat="1" applyFont="1" applyFill="1" applyBorder="1" applyAlignment="1">
      <alignment vertical="center"/>
    </xf>
    <xf numFmtId="0" fontId="20" fillId="9" borderId="0" xfId="4" applyFont="1" applyFill="1" applyAlignment="1">
      <alignment vertical="center"/>
    </xf>
    <xf numFmtId="38" fontId="19" fillId="10" borderId="17" xfId="4" applyNumberFormat="1" applyFont="1" applyFill="1" applyBorder="1" applyAlignment="1">
      <alignment vertical="center"/>
    </xf>
    <xf numFmtId="38" fontId="19" fillId="11" borderId="0" xfId="4" applyNumberFormat="1" applyFont="1" applyFill="1" applyAlignment="1">
      <alignment vertical="center"/>
    </xf>
    <xf numFmtId="38" fontId="19" fillId="12" borderId="18" xfId="4" applyNumberFormat="1" applyFont="1" applyFill="1" applyBorder="1" applyAlignment="1">
      <alignment vertical="center"/>
    </xf>
    <xf numFmtId="38" fontId="19" fillId="14" borderId="0" xfId="4" applyNumberFormat="1" applyFont="1" applyFill="1" applyAlignment="1">
      <alignment vertical="center"/>
    </xf>
    <xf numFmtId="38" fontId="19" fillId="15" borderId="18" xfId="4" applyNumberFormat="1" applyFont="1" applyFill="1" applyBorder="1" applyAlignment="1">
      <alignment vertical="center"/>
    </xf>
    <xf numFmtId="38" fontId="19" fillId="16" borderId="17" xfId="4" applyNumberFormat="1" applyFont="1" applyFill="1" applyBorder="1" applyAlignment="1">
      <alignment vertical="center"/>
    </xf>
    <xf numFmtId="38" fontId="19" fillId="17" borderId="0" xfId="4" applyNumberFormat="1" applyFont="1" applyFill="1" applyAlignment="1">
      <alignment vertical="center"/>
    </xf>
    <xf numFmtId="38" fontId="19" fillId="18" borderId="18" xfId="4" applyNumberFormat="1" applyFont="1" applyFill="1" applyBorder="1" applyAlignment="1">
      <alignment vertical="center"/>
    </xf>
    <xf numFmtId="38" fontId="19" fillId="19" borderId="17" xfId="4" applyNumberFormat="1" applyFont="1" applyFill="1" applyBorder="1" applyAlignment="1">
      <alignment vertical="center"/>
    </xf>
    <xf numFmtId="38" fontId="19" fillId="20" borderId="0" xfId="4" applyNumberFormat="1" applyFont="1" applyFill="1" applyAlignment="1">
      <alignment vertical="center"/>
    </xf>
    <xf numFmtId="38" fontId="19" fillId="21" borderId="18" xfId="4" applyNumberFormat="1" applyFont="1" applyFill="1" applyBorder="1" applyAlignment="1">
      <alignment vertical="center"/>
    </xf>
    <xf numFmtId="38" fontId="19" fillId="22" borderId="17" xfId="4" applyNumberFormat="1" applyFont="1" applyFill="1" applyBorder="1" applyAlignment="1">
      <alignment vertical="center"/>
    </xf>
    <xf numFmtId="38" fontId="19" fillId="23" borderId="0" xfId="4" applyNumberFormat="1" applyFont="1" applyFill="1" applyAlignment="1">
      <alignment vertical="center"/>
    </xf>
    <xf numFmtId="38" fontId="19" fillId="24" borderId="18" xfId="4" applyNumberFormat="1" applyFont="1" applyFill="1" applyBorder="1" applyAlignment="1">
      <alignment vertical="center"/>
    </xf>
    <xf numFmtId="38" fontId="21" fillId="23" borderId="0" xfId="6" applyNumberFormat="1" applyFont="1" applyFill="1" applyAlignment="1">
      <alignment vertical="center"/>
    </xf>
    <xf numFmtId="38" fontId="21" fillId="24" borderId="18" xfId="6" applyNumberFormat="1" applyFont="1" applyFill="1" applyBorder="1" applyAlignment="1">
      <alignment vertical="center"/>
    </xf>
    <xf numFmtId="38" fontId="20" fillId="10" borderId="19" xfId="4" applyNumberFormat="1" applyFont="1" applyFill="1" applyBorder="1" applyAlignment="1">
      <alignment vertical="center"/>
    </xf>
    <xf numFmtId="38" fontId="20" fillId="11" borderId="20" xfId="4" applyNumberFormat="1" applyFont="1" applyFill="1" applyBorder="1" applyAlignment="1">
      <alignment vertical="center"/>
    </xf>
    <xf numFmtId="38" fontId="20" fillId="12" borderId="21" xfId="4" applyNumberFormat="1" applyFont="1" applyFill="1" applyBorder="1" applyAlignment="1">
      <alignment vertical="center"/>
    </xf>
    <xf numFmtId="38" fontId="20" fillId="13" borderId="19" xfId="4" applyNumberFormat="1" applyFont="1" applyFill="1" applyBorder="1" applyAlignment="1">
      <alignment vertical="center"/>
    </xf>
    <xf numFmtId="38" fontId="20" fillId="14" borderId="20" xfId="4" applyNumberFormat="1" applyFont="1" applyFill="1" applyBorder="1" applyAlignment="1">
      <alignment vertical="center"/>
    </xf>
    <xf numFmtId="38" fontId="20" fillId="15" borderId="21" xfId="4" applyNumberFormat="1" applyFont="1" applyFill="1" applyBorder="1" applyAlignment="1">
      <alignment vertical="center"/>
    </xf>
    <xf numFmtId="38" fontId="20" fillId="16" borderId="19" xfId="4" applyNumberFormat="1" applyFont="1" applyFill="1" applyBorder="1" applyAlignment="1">
      <alignment vertical="center"/>
    </xf>
    <xf numFmtId="38" fontId="20" fillId="17" borderId="20" xfId="4" applyNumberFormat="1" applyFont="1" applyFill="1" applyBorder="1" applyAlignment="1">
      <alignment vertical="center"/>
    </xf>
    <xf numFmtId="38" fontId="20" fillId="18" borderId="21" xfId="4" applyNumberFormat="1" applyFont="1" applyFill="1" applyBorder="1" applyAlignment="1">
      <alignment vertical="center"/>
    </xf>
    <xf numFmtId="38" fontId="20" fillId="19" borderId="19" xfId="4" applyNumberFormat="1" applyFont="1" applyFill="1" applyBorder="1" applyAlignment="1">
      <alignment vertical="center"/>
    </xf>
    <xf numFmtId="38" fontId="20" fillId="20" borderId="20" xfId="4" applyNumberFormat="1" applyFont="1" applyFill="1" applyBorder="1" applyAlignment="1">
      <alignment vertical="center"/>
    </xf>
    <xf numFmtId="38" fontId="20" fillId="21" borderId="21" xfId="4" applyNumberFormat="1" applyFont="1" applyFill="1" applyBorder="1" applyAlignment="1">
      <alignment vertical="center"/>
    </xf>
    <xf numFmtId="38" fontId="20" fillId="22" borderId="19" xfId="4" applyNumberFormat="1" applyFont="1" applyFill="1" applyBorder="1" applyAlignment="1">
      <alignment vertical="center"/>
    </xf>
    <xf numFmtId="170" fontId="21" fillId="23" borderId="20" xfId="6" applyNumberFormat="1" applyFont="1" applyFill="1" applyBorder="1" applyAlignment="1">
      <alignment horizontal="right" vertical="center" wrapText="1"/>
    </xf>
    <xf numFmtId="170" fontId="21" fillId="24" borderId="21" xfId="6" applyNumberFormat="1" applyFont="1" applyFill="1" applyBorder="1" applyAlignment="1">
      <alignment horizontal="right" vertical="center" wrapText="1"/>
    </xf>
    <xf numFmtId="0" fontId="19" fillId="9" borderId="0" xfId="4" applyFont="1" applyFill="1"/>
    <xf numFmtId="0" fontId="20" fillId="10" borderId="22" xfId="4" applyFont="1" applyFill="1" applyBorder="1" applyAlignment="1">
      <alignment horizontal="center"/>
    </xf>
    <xf numFmtId="0" fontId="20" fillId="11" borderId="23" xfId="4" applyFont="1" applyFill="1" applyBorder="1" applyAlignment="1">
      <alignment horizontal="center"/>
    </xf>
    <xf numFmtId="0" fontId="20" fillId="12" borderId="23" xfId="4" applyFont="1" applyFill="1" applyBorder="1" applyAlignment="1">
      <alignment horizontal="center"/>
    </xf>
    <xf numFmtId="0" fontId="20" fillId="13" borderId="22" xfId="4" applyFont="1" applyFill="1" applyBorder="1" applyAlignment="1">
      <alignment horizontal="center"/>
    </xf>
    <xf numFmtId="0" fontId="20" fillId="14" borderId="23" xfId="4" applyFont="1" applyFill="1" applyBorder="1" applyAlignment="1">
      <alignment horizontal="center"/>
    </xf>
    <xf numFmtId="0" fontId="20" fillId="15" borderId="23" xfId="4" applyFont="1" applyFill="1" applyBorder="1" applyAlignment="1">
      <alignment horizontal="center"/>
    </xf>
    <xf numFmtId="0" fontId="20" fillId="16" borderId="22" xfId="4" applyFont="1" applyFill="1" applyBorder="1" applyAlignment="1">
      <alignment horizontal="center"/>
    </xf>
    <xf numFmtId="0" fontId="20" fillId="17" borderId="23" xfId="4" applyFont="1" applyFill="1" applyBorder="1" applyAlignment="1">
      <alignment horizontal="center"/>
    </xf>
    <xf numFmtId="0" fontId="20" fillId="18" borderId="23" xfId="4" applyFont="1" applyFill="1" applyBorder="1" applyAlignment="1">
      <alignment horizontal="center"/>
    </xf>
    <xf numFmtId="0" fontId="20" fillId="19" borderId="22" xfId="4" applyFont="1" applyFill="1" applyBorder="1" applyAlignment="1">
      <alignment horizontal="center"/>
    </xf>
    <xf numFmtId="0" fontId="20" fillId="20" borderId="23" xfId="4" applyFont="1" applyFill="1" applyBorder="1" applyAlignment="1">
      <alignment horizontal="center"/>
    </xf>
    <xf numFmtId="0" fontId="20" fillId="21" borderId="24" xfId="4" applyFont="1" applyFill="1" applyBorder="1" applyAlignment="1">
      <alignment horizontal="center"/>
    </xf>
    <xf numFmtId="0" fontId="20" fillId="22" borderId="22" xfId="4" applyFont="1" applyFill="1" applyBorder="1" applyAlignment="1">
      <alignment horizontal="center"/>
    </xf>
    <xf numFmtId="0" fontId="20" fillId="23" borderId="23" xfId="4" applyFont="1" applyFill="1" applyBorder="1" applyAlignment="1">
      <alignment horizontal="center"/>
    </xf>
    <xf numFmtId="0" fontId="20" fillId="24" borderId="23" xfId="4" applyFont="1" applyFill="1" applyBorder="1" applyAlignment="1">
      <alignment horizontal="center"/>
    </xf>
    <xf numFmtId="38" fontId="19" fillId="9" borderId="10" xfId="4" applyNumberFormat="1" applyFont="1" applyFill="1" applyBorder="1"/>
    <xf numFmtId="0" fontId="0" fillId="30" borderId="0" xfId="0" applyFill="1"/>
    <xf numFmtId="165" fontId="5" fillId="16" borderId="0" xfId="1" applyNumberFormat="1" applyFont="1" applyFill="1" applyAlignment="1">
      <alignment horizontal="center"/>
    </xf>
    <xf numFmtId="0" fontId="0" fillId="16" borderId="0" xfId="0" applyFill="1"/>
    <xf numFmtId="165" fontId="0" fillId="16" borderId="0" xfId="0" applyNumberFormat="1" applyFill="1"/>
    <xf numFmtId="3" fontId="0" fillId="16" borderId="0" xfId="0" applyNumberFormat="1" applyFill="1"/>
    <xf numFmtId="164" fontId="0" fillId="16" borderId="0" xfId="1" applyNumberFormat="1" applyFont="1" applyFill="1"/>
    <xf numFmtId="164" fontId="0" fillId="16" borderId="0" xfId="0" applyNumberFormat="1" applyFill="1"/>
    <xf numFmtId="164" fontId="0" fillId="20" borderId="0" xfId="0" applyNumberFormat="1" applyFill="1"/>
    <xf numFmtId="165" fontId="5" fillId="31" borderId="0" xfId="1" applyNumberFormat="1" applyFont="1" applyFill="1" applyAlignment="1">
      <alignment horizontal="center"/>
    </xf>
    <xf numFmtId="164" fontId="0" fillId="32" borderId="0" xfId="1" applyNumberFormat="1" applyFont="1" applyFill="1"/>
    <xf numFmtId="165" fontId="5" fillId="32" borderId="0" xfId="1" applyNumberFormat="1" applyFont="1" applyFill="1" applyAlignment="1">
      <alignment horizontal="center"/>
    </xf>
    <xf numFmtId="0" fontId="0" fillId="32" borderId="0" xfId="0" applyFill="1"/>
    <xf numFmtId="164" fontId="0" fillId="32" borderId="8" xfId="1" applyNumberFormat="1" applyFont="1" applyFill="1" applyBorder="1"/>
    <xf numFmtId="43" fontId="0" fillId="30" borderId="0" xfId="1" applyFont="1" applyFill="1"/>
    <xf numFmtId="0" fontId="23" fillId="0" borderId="0" xfId="0" applyFont="1"/>
    <xf numFmtId="0" fontId="5" fillId="0" borderId="0" xfId="0" applyFont="1"/>
    <xf numFmtId="1" fontId="5" fillId="0" borderId="0" xfId="0" applyNumberFormat="1" applyFont="1"/>
    <xf numFmtId="0" fontId="24" fillId="0" borderId="0" xfId="0" applyFont="1"/>
    <xf numFmtId="0" fontId="5" fillId="0" borderId="1" xfId="0" applyFont="1" applyBorder="1" applyAlignment="1">
      <alignment horizontal="center"/>
    </xf>
    <xf numFmtId="165" fontId="5" fillId="0" borderId="29" xfId="5" applyNumberFormat="1" applyFont="1" applyBorder="1" applyAlignment="1">
      <alignment horizontal="center"/>
    </xf>
    <xf numFmtId="165" fontId="5" fillId="0" borderId="30" xfId="5" applyNumberFormat="1" applyFont="1" applyBorder="1" applyAlignment="1">
      <alignment horizontal="center"/>
    </xf>
    <xf numFmtId="165" fontId="5" fillId="0" borderId="31" xfId="0" applyNumberFormat="1" applyFont="1" applyBorder="1" applyAlignment="1">
      <alignment horizontal="center"/>
    </xf>
    <xf numFmtId="169" fontId="5" fillId="0" borderId="0" xfId="2" applyNumberFormat="1" applyFont="1" applyAlignment="1">
      <alignment horizontal="center"/>
    </xf>
    <xf numFmtId="0" fontId="25" fillId="0" borderId="2" xfId="0" applyFont="1" applyBorder="1" applyAlignment="1">
      <alignment horizontal="center"/>
    </xf>
    <xf numFmtId="165" fontId="25" fillId="0" borderId="0" xfId="5" applyNumberFormat="1" applyFont="1" applyAlignment="1">
      <alignment horizontal="center"/>
    </xf>
    <xf numFmtId="165" fontId="25" fillId="0" borderId="13" xfId="5" applyNumberFormat="1" applyFont="1" applyBorder="1" applyAlignment="1">
      <alignment horizontal="center"/>
    </xf>
    <xf numFmtId="165" fontId="25" fillId="0" borderId="9" xfId="0" applyNumberFormat="1" applyFont="1" applyBorder="1" applyAlignment="1">
      <alignment horizontal="center"/>
    </xf>
    <xf numFmtId="165" fontId="5" fillId="0" borderId="0" xfId="5" applyNumberFormat="1" applyFont="1" applyAlignment="1">
      <alignment horizontal="center"/>
    </xf>
    <xf numFmtId="165" fontId="5" fillId="0" borderId="13" xfId="5" applyNumberFormat="1" applyFont="1" applyBorder="1" applyAlignment="1">
      <alignment horizontal="center"/>
    </xf>
    <xf numFmtId="165" fontId="5" fillId="0" borderId="10" xfId="5" applyNumberFormat="1" applyFont="1" applyBorder="1" applyAlignment="1">
      <alignment horizontal="center"/>
    </xf>
    <xf numFmtId="165" fontId="5" fillId="0" borderId="32" xfId="5" applyNumberFormat="1" applyFont="1" applyBorder="1" applyAlignment="1">
      <alignment horizontal="center"/>
    </xf>
    <xf numFmtId="165" fontId="5" fillId="0" borderId="30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169" fontId="5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5" fillId="0" borderId="29" xfId="0" applyFont="1" applyBorder="1" applyAlignment="1">
      <alignment horizontal="center"/>
    </xf>
    <xf numFmtId="164" fontId="25" fillId="0" borderId="0" xfId="5" applyNumberFormat="1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13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0" fillId="31" borderId="0" xfId="0" applyFill="1" applyAlignment="1">
      <alignment horizontal="center"/>
    </xf>
    <xf numFmtId="0" fontId="15" fillId="31" borderId="0" xfId="0" applyFont="1" applyFill="1"/>
    <xf numFmtId="164" fontId="26" fillId="0" borderId="8" xfId="1" applyNumberFormat="1" applyFont="1" applyBorder="1"/>
    <xf numFmtId="9" fontId="2" fillId="0" borderId="0" xfId="2" applyFont="1" applyAlignment="1">
      <alignment horizontal="center"/>
    </xf>
    <xf numFmtId="169" fontId="16" fillId="31" borderId="0" xfId="2" applyNumberFormat="1" applyFont="1" applyFill="1" applyAlignment="1">
      <alignment horizontal="center"/>
    </xf>
    <xf numFmtId="1" fontId="26" fillId="7" borderId="0" xfId="0" applyNumberFormat="1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1" fontId="26" fillId="7" borderId="18" xfId="0" applyNumberFormat="1" applyFont="1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1" fontId="26" fillId="7" borderId="33" xfId="0" applyNumberFormat="1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1" fontId="26" fillId="7" borderId="34" xfId="0" applyNumberFormat="1" applyFont="1" applyFill="1" applyBorder="1" applyAlignment="1">
      <alignment horizontal="center"/>
    </xf>
    <xf numFmtId="1" fontId="26" fillId="7" borderId="21" xfId="0" applyNumberFormat="1" applyFont="1" applyFill="1" applyBorder="1" applyAlignment="1">
      <alignment horizontal="center"/>
    </xf>
    <xf numFmtId="1" fontId="26" fillId="7" borderId="20" xfId="0" applyNumberFormat="1" applyFont="1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1" fontId="26" fillId="7" borderId="35" xfId="0" applyNumberFormat="1" applyFont="1" applyFill="1" applyBorder="1" applyAlignment="1">
      <alignment horizontal="center"/>
    </xf>
    <xf numFmtId="1" fontId="26" fillId="7" borderId="36" xfId="0" applyNumberFormat="1" applyFont="1" applyFill="1" applyBorder="1" applyAlignment="1">
      <alignment horizontal="center"/>
    </xf>
    <xf numFmtId="0" fontId="0" fillId="31" borderId="0" xfId="0" applyFill="1"/>
    <xf numFmtId="0" fontId="27" fillId="31" borderId="0" xfId="0" applyFont="1" applyFill="1"/>
    <xf numFmtId="0" fontId="0" fillId="7" borderId="0" xfId="0" applyFill="1"/>
    <xf numFmtId="172" fontId="26" fillId="7" borderId="18" xfId="1" applyNumberFormat="1" applyFont="1" applyFill="1" applyBorder="1"/>
    <xf numFmtId="172" fontId="26" fillId="7" borderId="18" xfId="0" applyNumberFormat="1" applyFont="1" applyFill="1" applyBorder="1"/>
    <xf numFmtId="0" fontId="28" fillId="7" borderId="0" xfId="0" applyFont="1" applyFill="1" applyAlignment="1">
      <alignment horizontal="center"/>
    </xf>
    <xf numFmtId="0" fontId="29" fillId="31" borderId="0" xfId="0" applyFont="1" applyFill="1"/>
    <xf numFmtId="0" fontId="29" fillId="31" borderId="0" xfId="0" applyFont="1" applyFill="1" applyAlignment="1">
      <alignment horizontal="left" indent="1"/>
    </xf>
    <xf numFmtId="0" fontId="9" fillId="8" borderId="0" xfId="0" applyFont="1" applyFill="1"/>
    <xf numFmtId="168" fontId="9" fillId="8" borderId="0" xfId="1" applyNumberFormat="1" applyFont="1" applyFill="1"/>
    <xf numFmtId="172" fontId="30" fillId="33" borderId="18" xfId="0" applyNumberFormat="1" applyFont="1" applyFill="1" applyBorder="1"/>
    <xf numFmtId="172" fontId="0" fillId="7" borderId="0" xfId="1" applyNumberFormat="1" applyFont="1" applyFill="1"/>
    <xf numFmtId="9" fontId="0" fillId="8" borderId="0" xfId="2" applyFont="1" applyFill="1"/>
    <xf numFmtId="164" fontId="26" fillId="0" borderId="0" xfId="1" applyNumberFormat="1" applyFont="1"/>
    <xf numFmtId="3" fontId="2" fillId="0" borderId="0" xfId="0" applyNumberFormat="1" applyFont="1"/>
    <xf numFmtId="172" fontId="26" fillId="7" borderId="0" xfId="1" applyNumberFormat="1" applyFont="1" applyFill="1"/>
    <xf numFmtId="172" fontId="2" fillId="7" borderId="18" xfId="0" applyNumberFormat="1" applyFont="1" applyFill="1" applyBorder="1"/>
    <xf numFmtId="172" fontId="2" fillId="7" borderId="0" xfId="1" applyNumberFormat="1" applyFont="1" applyFill="1"/>
    <xf numFmtId="169" fontId="0" fillId="0" borderId="0" xfId="2" applyNumberFormat="1" applyFont="1"/>
    <xf numFmtId="169" fontId="0" fillId="2" borderId="0" xfId="2" applyNumberFormat="1" applyFont="1" applyFill="1"/>
    <xf numFmtId="165" fontId="5" fillId="2" borderId="0" xfId="5" applyNumberFormat="1" applyFont="1" applyFill="1" applyAlignment="1">
      <alignment horizontal="center"/>
    </xf>
    <xf numFmtId="10" fontId="0" fillId="2" borderId="0" xfId="0" applyNumberFormat="1" applyFill="1"/>
    <xf numFmtId="169" fontId="2" fillId="0" borderId="0" xfId="2" applyNumberFormat="1" applyFont="1"/>
    <xf numFmtId="0" fontId="2" fillId="0" borderId="0" xfId="0" applyFont="1"/>
    <xf numFmtId="165" fontId="33" fillId="2" borderId="0" xfId="5" applyNumberFormat="1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2" fillId="25" borderId="27" xfId="4" applyFont="1" applyFill="1" applyBorder="1" applyAlignment="1">
      <alignment horizontal="center" vertical="center"/>
    </xf>
    <xf numFmtId="0" fontId="22" fillId="25" borderId="26" xfId="4" applyFont="1" applyFill="1" applyBorder="1" applyAlignment="1">
      <alignment horizontal="center" vertical="center"/>
    </xf>
    <xf numFmtId="0" fontId="22" fillId="25" borderId="25" xfId="4" applyFont="1" applyFill="1" applyBorder="1" applyAlignment="1">
      <alignment horizontal="center" vertical="center"/>
    </xf>
    <xf numFmtId="38" fontId="19" fillId="9" borderId="10" xfId="4" applyNumberFormat="1" applyFont="1" applyFill="1" applyBorder="1" applyAlignment="1">
      <alignment horizontal="left"/>
    </xf>
    <xf numFmtId="0" fontId="19" fillId="9" borderId="10" xfId="4" applyFont="1" applyFill="1" applyBorder="1" applyAlignment="1">
      <alignment horizontal="center" vertical="center"/>
    </xf>
    <xf numFmtId="0" fontId="22" fillId="28" borderId="27" xfId="4" applyFont="1" applyFill="1" applyBorder="1" applyAlignment="1">
      <alignment horizontal="center" vertical="center"/>
    </xf>
    <xf numFmtId="0" fontId="22" fillId="28" borderId="26" xfId="4" applyFont="1" applyFill="1" applyBorder="1" applyAlignment="1">
      <alignment horizontal="center" vertical="center"/>
    </xf>
    <xf numFmtId="0" fontId="22" fillId="28" borderId="25" xfId="4" applyFont="1" applyFill="1" applyBorder="1" applyAlignment="1">
      <alignment horizontal="center" vertical="center"/>
    </xf>
    <xf numFmtId="0" fontId="22" fillId="27" borderId="27" xfId="4" applyFont="1" applyFill="1" applyBorder="1" applyAlignment="1">
      <alignment horizontal="center" vertical="center"/>
    </xf>
    <xf numFmtId="0" fontId="22" fillId="27" borderId="26" xfId="4" applyFont="1" applyFill="1" applyBorder="1" applyAlignment="1">
      <alignment horizontal="center" vertical="center"/>
    </xf>
    <xf numFmtId="0" fontId="22" fillId="27" borderId="25" xfId="4" applyFont="1" applyFill="1" applyBorder="1" applyAlignment="1">
      <alignment horizontal="center" vertical="center"/>
    </xf>
    <xf numFmtId="0" fontId="22" fillId="26" borderId="27" xfId="4" applyFont="1" applyFill="1" applyBorder="1" applyAlignment="1">
      <alignment horizontal="center" vertical="center"/>
    </xf>
    <xf numFmtId="0" fontId="22" fillId="26" borderId="26" xfId="4" applyFont="1" applyFill="1" applyBorder="1" applyAlignment="1">
      <alignment horizontal="center" vertical="center"/>
    </xf>
    <xf numFmtId="0" fontId="22" fillId="26" borderId="25" xfId="4" applyFont="1" applyFill="1" applyBorder="1" applyAlignment="1">
      <alignment horizontal="center" vertical="center"/>
    </xf>
    <xf numFmtId="0" fontId="22" fillId="29" borderId="28" xfId="4" applyFont="1" applyFill="1" applyBorder="1" applyAlignment="1">
      <alignment horizontal="center" vertical="center"/>
    </xf>
    <xf numFmtId="0" fontId="22" fillId="29" borderId="26" xfId="4" applyFont="1" applyFill="1" applyBorder="1" applyAlignment="1">
      <alignment horizontal="center" vertical="center"/>
    </xf>
    <xf numFmtId="0" fontId="22" fillId="29" borderId="25" xfId="4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5" fillId="0" borderId="0" xfId="0" applyFont="1" applyAlignment="1">
      <alignment horizontal="right" wrapText="1"/>
    </xf>
  </cellXfs>
  <cellStyles count="7">
    <cellStyle name="Comma" xfId="1" builtinId="3"/>
    <cellStyle name="Comma 2" xfId="5" xr:uid="{2A244C0C-8435-4E6F-805D-6EE84AC5542A}"/>
    <cellStyle name="Hyperlink" xfId="3" builtinId="8"/>
    <cellStyle name="Normal" xfId="0" builtinId="0"/>
    <cellStyle name="Normal 2" xfId="4" xr:uid="{A3C9B803-9295-4694-B73B-AD908DAB113E}"/>
    <cellStyle name="Normal 7" xfId="6" xr:uid="{177DC4EE-3834-45EE-9648-46E78C7AD2C1}"/>
    <cellStyle name="Percent" xfId="2" builtinId="5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8081279242268634E-2"/>
          <c:y val="0.13660519240703747"/>
          <c:w val="0.88267959032294874"/>
          <c:h val="0.80521082258312526"/>
        </c:manualLayout>
      </c:layout>
      <c:scatterChart>
        <c:scatterStyle val="lineMarker"/>
        <c:varyColors val="0"/>
        <c:ser>
          <c:idx val="0"/>
          <c:order val="0"/>
          <c:tx>
            <c:strRef>
              <c:f>U!$F$1</c:f>
              <c:strCache>
                <c:ptCount val="1"/>
                <c:pt idx="0">
                  <c:v>HC_2019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inear"/>
            <c:forward val="20"/>
            <c:dispRSqr val="1"/>
            <c:dispEq val="1"/>
            <c:trendlineLbl>
              <c:layout>
                <c:manualLayout>
                  <c:x val="-0.54306159420289857"/>
                  <c:y val="-3.3893514734835567E-2"/>
                </c:manualLayout>
              </c:layout>
              <c:numFmt formatCode="General" sourceLinked="0"/>
            </c:trendlineLbl>
          </c:trendline>
          <c:xVal>
            <c:numRef>
              <c:f>U!$A$2:$A$82</c:f>
              <c:numCache>
                <c:formatCode>General</c:formatCode>
                <c:ptCount val="81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  <c:pt idx="56">
                  <c:v>2026</c:v>
                </c:pt>
                <c:pt idx="57">
                  <c:v>2027</c:v>
                </c:pt>
                <c:pt idx="58">
                  <c:v>2028</c:v>
                </c:pt>
                <c:pt idx="59">
                  <c:v>2029</c:v>
                </c:pt>
                <c:pt idx="60">
                  <c:v>2030</c:v>
                </c:pt>
                <c:pt idx="61">
                  <c:v>2031</c:v>
                </c:pt>
                <c:pt idx="62">
                  <c:v>2032</c:v>
                </c:pt>
                <c:pt idx="63">
                  <c:v>2033</c:v>
                </c:pt>
                <c:pt idx="64">
                  <c:v>2034</c:v>
                </c:pt>
                <c:pt idx="65">
                  <c:v>2035</c:v>
                </c:pt>
                <c:pt idx="66">
                  <c:v>2036</c:v>
                </c:pt>
                <c:pt idx="67">
                  <c:v>2037</c:v>
                </c:pt>
                <c:pt idx="68">
                  <c:v>2038</c:v>
                </c:pt>
                <c:pt idx="69">
                  <c:v>2039</c:v>
                </c:pt>
                <c:pt idx="70">
                  <c:v>2040</c:v>
                </c:pt>
                <c:pt idx="71">
                  <c:v>2041</c:v>
                </c:pt>
                <c:pt idx="72">
                  <c:v>2042</c:v>
                </c:pt>
                <c:pt idx="73">
                  <c:v>2043</c:v>
                </c:pt>
                <c:pt idx="74">
                  <c:v>2044</c:v>
                </c:pt>
                <c:pt idx="75">
                  <c:v>2045</c:v>
                </c:pt>
                <c:pt idx="76">
                  <c:v>2046</c:v>
                </c:pt>
                <c:pt idx="77">
                  <c:v>2047</c:v>
                </c:pt>
                <c:pt idx="78">
                  <c:v>2048</c:v>
                </c:pt>
                <c:pt idx="79">
                  <c:v>2049</c:v>
                </c:pt>
                <c:pt idx="80">
                  <c:v>2050</c:v>
                </c:pt>
              </c:numCache>
            </c:numRef>
          </c:xVal>
          <c:yVal>
            <c:numRef>
              <c:f>U!$F$2:$F$82</c:f>
              <c:numCache>
                <c:formatCode>#,##0;\-#,##0;\-</c:formatCode>
                <c:ptCount val="81"/>
                <c:pt idx="0">
                  <c:v>21795</c:v>
                </c:pt>
                <c:pt idx="1">
                  <c:v>23270</c:v>
                </c:pt>
                <c:pt idx="2">
                  <c:v>22985</c:v>
                </c:pt>
                <c:pt idx="3">
                  <c:v>22919</c:v>
                </c:pt>
                <c:pt idx="4">
                  <c:v>23384</c:v>
                </c:pt>
                <c:pt idx="5">
                  <c:v>24312</c:v>
                </c:pt>
                <c:pt idx="6">
                  <c:v>23115</c:v>
                </c:pt>
                <c:pt idx="7">
                  <c:v>23034</c:v>
                </c:pt>
                <c:pt idx="8">
                  <c:v>21975</c:v>
                </c:pt>
                <c:pt idx="9">
                  <c:v>22175</c:v>
                </c:pt>
                <c:pt idx="10">
                  <c:v>23208</c:v>
                </c:pt>
                <c:pt idx="11">
                  <c:v>23683</c:v>
                </c:pt>
                <c:pt idx="12">
                  <c:v>24793</c:v>
                </c:pt>
                <c:pt idx="13">
                  <c:v>25342</c:v>
                </c:pt>
                <c:pt idx="14">
                  <c:v>24568</c:v>
                </c:pt>
                <c:pt idx="15">
                  <c:v>24770</c:v>
                </c:pt>
                <c:pt idx="16">
                  <c:v>24721</c:v>
                </c:pt>
                <c:pt idx="17">
                  <c:v>24124</c:v>
                </c:pt>
                <c:pt idx="18">
                  <c:v>23626</c:v>
                </c:pt>
                <c:pt idx="19">
                  <c:v>23543</c:v>
                </c:pt>
                <c:pt idx="20">
                  <c:v>24311</c:v>
                </c:pt>
                <c:pt idx="21">
                  <c:v>25581</c:v>
                </c:pt>
                <c:pt idx="22">
                  <c:v>25868</c:v>
                </c:pt>
                <c:pt idx="23">
                  <c:v>25982</c:v>
                </c:pt>
                <c:pt idx="24">
                  <c:v>25645</c:v>
                </c:pt>
                <c:pt idx="25">
                  <c:v>26810</c:v>
                </c:pt>
                <c:pt idx="26">
                  <c:v>26079</c:v>
                </c:pt>
                <c:pt idx="27">
                  <c:v>25895</c:v>
                </c:pt>
                <c:pt idx="28">
                  <c:v>25018</c:v>
                </c:pt>
                <c:pt idx="29">
                  <c:v>25781</c:v>
                </c:pt>
                <c:pt idx="30">
                  <c:v>26163</c:v>
                </c:pt>
                <c:pt idx="31">
                  <c:v>27658</c:v>
                </c:pt>
                <c:pt idx="32">
                  <c:v>28369</c:v>
                </c:pt>
                <c:pt idx="33">
                  <c:v>28437</c:v>
                </c:pt>
                <c:pt idx="34">
                  <c:v>28933</c:v>
                </c:pt>
                <c:pt idx="35">
                  <c:v>29012</c:v>
                </c:pt>
                <c:pt idx="36">
                  <c:v>28619</c:v>
                </c:pt>
                <c:pt idx="37">
                  <c:v>28025</c:v>
                </c:pt>
                <c:pt idx="38">
                  <c:v>28211</c:v>
                </c:pt>
                <c:pt idx="39" formatCode="General">
                  <c:v>30110</c:v>
                </c:pt>
                <c:pt idx="40" formatCode="General">
                  <c:v>31643</c:v>
                </c:pt>
                <c:pt idx="41" formatCode="General">
                  <c:v>32722</c:v>
                </c:pt>
                <c:pt idx="42" formatCode="General">
                  <c:v>33291</c:v>
                </c:pt>
                <c:pt idx="43" formatCode="General">
                  <c:v>36226</c:v>
                </c:pt>
                <c:pt idx="44" formatCode="General">
                  <c:v>32003</c:v>
                </c:pt>
                <c:pt idx="45" formatCode="General">
                  <c:v>32155</c:v>
                </c:pt>
                <c:pt idx="46" formatCode="General">
                  <c:v>32451</c:v>
                </c:pt>
                <c:pt idx="47" formatCode="General">
                  <c:v>33153</c:v>
                </c:pt>
                <c:pt idx="48" formatCode="General">
                  <c:v>34247</c:v>
                </c:pt>
                <c:pt idx="49" formatCode="General">
                  <c:v>35246</c:v>
                </c:pt>
                <c:pt idx="50" formatCode="General">
                  <c:v>36078</c:v>
                </c:pt>
                <c:pt idx="51" formatCode="General">
                  <c:v>36459</c:v>
                </c:pt>
                <c:pt idx="52" formatCode="General">
                  <c:v>36749</c:v>
                </c:pt>
                <c:pt idx="53" formatCode="General">
                  <c:v>37058</c:v>
                </c:pt>
                <c:pt idx="54" formatCode="General">
                  <c:v>37512</c:v>
                </c:pt>
                <c:pt idx="55" formatCode="General">
                  <c:v>38075</c:v>
                </c:pt>
                <c:pt idx="56" formatCode="General">
                  <c:v>38635</c:v>
                </c:pt>
                <c:pt idx="57">
                  <c:v>39146</c:v>
                </c:pt>
                <c:pt idx="58">
                  <c:v>39608</c:v>
                </c:pt>
                <c:pt idx="59">
                  <c:v>40021</c:v>
                </c:pt>
                <c:pt idx="60">
                  <c:v>40385</c:v>
                </c:pt>
                <c:pt idx="61">
                  <c:v>40700</c:v>
                </c:pt>
                <c:pt idx="62">
                  <c:v>40966</c:v>
                </c:pt>
                <c:pt idx="63">
                  <c:v>41183</c:v>
                </c:pt>
                <c:pt idx="64">
                  <c:v>41351</c:v>
                </c:pt>
                <c:pt idx="65">
                  <c:v>41504</c:v>
                </c:pt>
                <c:pt idx="66">
                  <c:v>41642</c:v>
                </c:pt>
                <c:pt idx="67">
                  <c:v>41765</c:v>
                </c:pt>
                <c:pt idx="68">
                  <c:v>41873</c:v>
                </c:pt>
                <c:pt idx="69">
                  <c:v>41966</c:v>
                </c:pt>
                <c:pt idx="70">
                  <c:v>42044</c:v>
                </c:pt>
                <c:pt idx="71">
                  <c:v>42107</c:v>
                </c:pt>
                <c:pt idx="72">
                  <c:v>42155</c:v>
                </c:pt>
                <c:pt idx="73">
                  <c:v>42188</c:v>
                </c:pt>
                <c:pt idx="74">
                  <c:v>42216</c:v>
                </c:pt>
                <c:pt idx="75">
                  <c:v>42239</c:v>
                </c:pt>
                <c:pt idx="76">
                  <c:v>42257</c:v>
                </c:pt>
                <c:pt idx="77">
                  <c:v>42270</c:v>
                </c:pt>
                <c:pt idx="78">
                  <c:v>42278</c:v>
                </c:pt>
                <c:pt idx="79">
                  <c:v>42281</c:v>
                </c:pt>
                <c:pt idx="80">
                  <c:v>42281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B-4279-89C4-2AE403ECC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93152"/>
        <c:axId val="143554176"/>
      </c:scatterChart>
      <c:valAx>
        <c:axId val="120593152"/>
        <c:scaling>
          <c:orientation val="minMax"/>
          <c:max val="2040"/>
          <c:min val="1970"/>
        </c:scaling>
        <c:delete val="0"/>
        <c:axPos val="b"/>
        <c:numFmt formatCode="General" sourceLinked="1"/>
        <c:majorTickMark val="out"/>
        <c:minorTickMark val="none"/>
        <c:tickLblPos val="nextTo"/>
        <c:crossAx val="143554176"/>
        <c:crosses val="autoZero"/>
        <c:crossBetween val="midCat"/>
      </c:valAx>
      <c:valAx>
        <c:axId val="143554176"/>
        <c:scaling>
          <c:orientation val="minMax"/>
        </c:scaling>
        <c:delete val="0"/>
        <c:axPos val="l"/>
        <c:majorGridlines/>
        <c:numFmt formatCode="#,##0;\-#,##0;\-" sourceLinked="1"/>
        <c:majorTickMark val="out"/>
        <c:minorTickMark val="none"/>
        <c:tickLblPos val="nextTo"/>
        <c:crossAx val="120593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WSU!$C$1</c:f>
              <c:strCache>
                <c:ptCount val="1"/>
                <c:pt idx="0">
                  <c:v> HC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7.3175415573053362E-2"/>
                  <c:y val="-4.8257509477981917E-3"/>
                </c:manualLayout>
              </c:layout>
              <c:numFmt formatCode="#,##0.000000" sourceLinked="0"/>
            </c:trendlineLbl>
          </c:trendline>
          <c:xVal>
            <c:numRef>
              <c:f>WSU!$A$64:$A$163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xVal>
          <c:yVal>
            <c:numRef>
              <c:f>WSU!$F$64:$F$163</c:f>
              <c:numCache>
                <c:formatCode>_(* #,##0_);_(* \(#,##0\);_(* "-"??_);_(@_)</c:formatCode>
                <c:ptCount val="100"/>
                <c:pt idx="0">
                  <c:v>1302</c:v>
                </c:pt>
                <c:pt idx="1">
                  <c:v>1280</c:v>
                </c:pt>
                <c:pt idx="2">
                  <c:v>1411</c:v>
                </c:pt>
                <c:pt idx="3">
                  <c:v>1547</c:v>
                </c:pt>
                <c:pt idx="4">
                  <c:v>1762</c:v>
                </c:pt>
                <c:pt idx="5">
                  <c:v>1845</c:v>
                </c:pt>
                <c:pt idx="6">
                  <c:v>1950</c:v>
                </c:pt>
                <c:pt idx="7">
                  <c:v>2282</c:v>
                </c:pt>
                <c:pt idx="8">
                  <c:v>2420</c:v>
                </c:pt>
                <c:pt idx="9">
                  <c:v>2524</c:v>
                </c:pt>
                <c:pt idx="10">
                  <c:v>3050</c:v>
                </c:pt>
                <c:pt idx="11">
                  <c:v>4685</c:v>
                </c:pt>
                <c:pt idx="12">
                  <c:v>5503</c:v>
                </c:pt>
                <c:pt idx="13">
                  <c:v>6494</c:v>
                </c:pt>
                <c:pt idx="14">
                  <c:v>7565</c:v>
                </c:pt>
                <c:pt idx="15">
                  <c:v>8220</c:v>
                </c:pt>
                <c:pt idx="16">
                  <c:v>9232</c:v>
                </c:pt>
                <c:pt idx="17">
                  <c:v>10280</c:v>
                </c:pt>
                <c:pt idx="18">
                  <c:v>10661</c:v>
                </c:pt>
                <c:pt idx="19">
                  <c:v>10373</c:v>
                </c:pt>
                <c:pt idx="20">
                  <c:v>9772</c:v>
                </c:pt>
                <c:pt idx="21">
                  <c:v>8203</c:v>
                </c:pt>
                <c:pt idx="22">
                  <c:v>8303</c:v>
                </c:pt>
                <c:pt idx="23">
                  <c:v>8574</c:v>
                </c:pt>
                <c:pt idx="24">
                  <c:v>9458</c:v>
                </c:pt>
                <c:pt idx="25">
                  <c:v>8818</c:v>
                </c:pt>
                <c:pt idx="26">
                  <c:v>8741</c:v>
                </c:pt>
                <c:pt idx="27">
                  <c:v>8920</c:v>
                </c:pt>
                <c:pt idx="28">
                  <c:v>9674</c:v>
                </c:pt>
                <c:pt idx="29">
                  <c:v>10065</c:v>
                </c:pt>
                <c:pt idx="30">
                  <c:v>10230</c:v>
                </c:pt>
                <c:pt idx="31">
                  <c:v>10361</c:v>
                </c:pt>
                <c:pt idx="32">
                  <c:v>10314</c:v>
                </c:pt>
                <c:pt idx="33">
                  <c:v>10657</c:v>
                </c:pt>
                <c:pt idx="34">
                  <c:v>11117</c:v>
                </c:pt>
                <c:pt idx="35">
                  <c:v>11366</c:v>
                </c:pt>
                <c:pt idx="36">
                  <c:v>12002</c:v>
                </c:pt>
                <c:pt idx="37">
                  <c:v>12146</c:v>
                </c:pt>
                <c:pt idx="38">
                  <c:v>12920</c:v>
                </c:pt>
                <c:pt idx="39">
                  <c:v>13449</c:v>
                </c:pt>
                <c:pt idx="40">
                  <c:v>14495</c:v>
                </c:pt>
                <c:pt idx="41">
                  <c:v>14993</c:v>
                </c:pt>
                <c:pt idx="42">
                  <c:v>14447</c:v>
                </c:pt>
                <c:pt idx="43">
                  <c:v>14230</c:v>
                </c:pt>
                <c:pt idx="44">
                  <c:v>13996</c:v>
                </c:pt>
                <c:pt idx="45">
                  <c:v>13906</c:v>
                </c:pt>
                <c:pt idx="46">
                  <c:v>14613</c:v>
                </c:pt>
                <c:pt idx="47">
                  <c:v>13900</c:v>
                </c:pt>
                <c:pt idx="48">
                  <c:v>14984</c:v>
                </c:pt>
                <c:pt idx="49">
                  <c:v>16050</c:v>
                </c:pt>
                <c:pt idx="50">
                  <c:v>16871</c:v>
                </c:pt>
                <c:pt idx="51">
                  <c:v>18059</c:v>
                </c:pt>
                <c:pt idx="52">
                  <c:v>18821</c:v>
                </c:pt>
                <c:pt idx="53">
                  <c:v>18498</c:v>
                </c:pt>
                <c:pt idx="54">
                  <c:v>18142</c:v>
                </c:pt>
                <c:pt idx="55">
                  <c:v>18303</c:v>
                </c:pt>
                <c:pt idx="56">
                  <c:v>18081</c:v>
                </c:pt>
                <c:pt idx="57">
                  <c:v>21388</c:v>
                </c:pt>
                <c:pt idx="58">
                  <c:v>23777</c:v>
                </c:pt>
                <c:pt idx="59">
                  <c:v>24496</c:v>
                </c:pt>
                <c:pt idx="60">
                  <c:v>26256</c:v>
                </c:pt>
                <c:pt idx="61">
                  <c:v>27381</c:v>
                </c:pt>
                <c:pt idx="62">
                  <c:v>25886</c:v>
                </c:pt>
                <c:pt idx="63">
                  <c:v>26913</c:v>
                </c:pt>
                <c:pt idx="64">
                  <c:v>26252</c:v>
                </c:pt>
                <c:pt idx="65">
                  <c:v>27236</c:v>
                </c:pt>
                <c:pt idx="66">
                  <c:v>28379</c:v>
                </c:pt>
                <c:pt idx="67">
                  <c:v>30729.891041330084</c:v>
                </c:pt>
                <c:pt idx="68">
                  <c:v>32122.760957685678</c:v>
                </c:pt>
                <c:pt idx="69">
                  <c:v>33505.481251740115</c:v>
                </c:pt>
                <c:pt idx="70">
                  <c:v>34851.913815525972</c:v>
                </c:pt>
                <c:pt idx="71">
                  <c:v>36148.882122054325</c:v>
                </c:pt>
                <c:pt idx="72">
                  <c:v>37392.939473318133</c:v>
                </c:pt>
                <c:pt idx="73">
                  <c:v>38587.24209903233</c:v>
                </c:pt>
                <c:pt idx="74">
                  <c:v>39738.684411120659</c:v>
                </c:pt>
                <c:pt idx="75">
                  <c:v>40752.948684234725</c:v>
                </c:pt>
                <c:pt idx="76" formatCode="#,##0;\-#,##0;\-">
                  <c:v>41467.212957348791</c:v>
                </c:pt>
                <c:pt idx="77" formatCode="#,##0;\-#,##0;\-">
                  <c:v>41931.477230462857</c:v>
                </c:pt>
                <c:pt idx="78" formatCode="#,##0;\-#,##0;\-">
                  <c:v>42195.741503576923</c:v>
                </c:pt>
                <c:pt idx="79" formatCode="#,##0;\-#,##0;\-">
                  <c:v>42435.005776690989</c:v>
                </c:pt>
                <c:pt idx="80" formatCode="#,##0;\-#,##0;\-">
                  <c:v>42649.270049805054</c:v>
                </c:pt>
                <c:pt idx="81" formatCode="#,##0;\-#,##0;\-">
                  <c:v>42838.53432291912</c:v>
                </c:pt>
                <c:pt idx="82" formatCode="#,##0;\-#,##0;\-">
                  <c:v>43002.798596033186</c:v>
                </c:pt>
                <c:pt idx="83" formatCode="#,##0;\-#,##0;\-">
                  <c:v>43142.062869147252</c:v>
                </c:pt>
                <c:pt idx="84" formatCode="#,##0;\-#,##0;\-">
                  <c:v>43256.327142261318</c:v>
                </c:pt>
                <c:pt idx="85" formatCode="#,##0;\-#,##0;\-">
                  <c:v>43360.591415375384</c:v>
                </c:pt>
                <c:pt idx="86" formatCode="#,##0;\-#,##0;\-">
                  <c:v>43454.85568848945</c:v>
                </c:pt>
                <c:pt idx="87" formatCode="#,##0;\-#,##0;\-">
                  <c:v>43539.119961603516</c:v>
                </c:pt>
                <c:pt idx="88" formatCode="#,##0;\-#,##0;\-">
                  <c:v>43613.384234717581</c:v>
                </c:pt>
                <c:pt idx="89" formatCode="#,##0;\-#,##0;\-">
                  <c:v>43677.648507831647</c:v>
                </c:pt>
                <c:pt idx="90" formatCode="#,##0;\-#,##0;\-">
                  <c:v>43731.912780945713</c:v>
                </c:pt>
                <c:pt idx="91" formatCode="#,##0;\-#,##0;\-">
                  <c:v>43776.177054059779</c:v>
                </c:pt>
                <c:pt idx="92" formatCode="#,##0;\-#,##0;\-">
                  <c:v>43815.441327173845</c:v>
                </c:pt>
                <c:pt idx="93" formatCode="#,##0;\-#,##0;\-">
                  <c:v>43849.705600287911</c:v>
                </c:pt>
                <c:pt idx="94" formatCode="#,##0;\-#,##0;\-">
                  <c:v>43878.969873401977</c:v>
                </c:pt>
                <c:pt idx="95" formatCode="#,##0;\-#,##0;\-">
                  <c:v>43903.234146516043</c:v>
                </c:pt>
                <c:pt idx="96" formatCode="#,##0;\-#,##0;\-">
                  <c:v>43922.498419630108</c:v>
                </c:pt>
                <c:pt idx="97" formatCode="#,##0;\-#,##0;\-">
                  <c:v>43936.762692744174</c:v>
                </c:pt>
                <c:pt idx="98" formatCode="#,##0;\-#,##0;\-">
                  <c:v>43946.02696585824</c:v>
                </c:pt>
                <c:pt idx="99" formatCode="#,##0;\-#,##0;\-">
                  <c:v>43950.291238972306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CB-463F-ABFF-135B20B80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1984"/>
        <c:axId val="159122560"/>
      </c:scatterChart>
      <c:valAx>
        <c:axId val="159121984"/>
        <c:scaling>
          <c:orientation val="minMax"/>
          <c:max val="2040"/>
          <c:min val="1949"/>
        </c:scaling>
        <c:delete val="0"/>
        <c:axPos val="b"/>
        <c:numFmt formatCode="General" sourceLinked="1"/>
        <c:majorTickMark val="out"/>
        <c:minorTickMark val="none"/>
        <c:tickLblPos val="nextTo"/>
        <c:crossAx val="159122560"/>
        <c:crosses val="autoZero"/>
        <c:crossBetween val="midCat"/>
        <c:majorUnit val="10"/>
      </c:valAx>
      <c:valAx>
        <c:axId val="159122560"/>
        <c:scaling>
          <c:orientation val="minMax"/>
          <c:max val="6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59121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UVU!$B$1</c:f>
              <c:strCache>
                <c:ptCount val="1"/>
                <c:pt idx="0">
                  <c:v> Headcount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inear"/>
            <c:dispRSqr val="1"/>
            <c:dispEq val="1"/>
            <c:trendlineLbl>
              <c:numFmt formatCode="#,##0.000000" sourceLinked="0"/>
            </c:trendlineLbl>
          </c:trendline>
          <c:xVal>
            <c:numRef>
              <c:f>UVU!$A$2:$A$64</c:f>
              <c:numCache>
                <c:formatCode>General</c:formatCode>
                <c:ptCount val="6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  <c:pt idx="34">
                  <c:v>2022</c:v>
                </c:pt>
                <c:pt idx="35">
                  <c:v>2023</c:v>
                </c:pt>
                <c:pt idx="36">
                  <c:v>2024</c:v>
                </c:pt>
                <c:pt idx="37">
                  <c:v>2025</c:v>
                </c:pt>
                <c:pt idx="38">
                  <c:v>2026</c:v>
                </c:pt>
                <c:pt idx="39">
                  <c:v>2027</c:v>
                </c:pt>
                <c:pt idx="40">
                  <c:v>2028</c:v>
                </c:pt>
                <c:pt idx="41">
                  <c:v>2029</c:v>
                </c:pt>
                <c:pt idx="42">
                  <c:v>2030</c:v>
                </c:pt>
                <c:pt idx="43">
                  <c:v>2031</c:v>
                </c:pt>
                <c:pt idx="44">
                  <c:v>2032</c:v>
                </c:pt>
                <c:pt idx="45">
                  <c:v>2033</c:v>
                </c:pt>
                <c:pt idx="46">
                  <c:v>2034</c:v>
                </c:pt>
                <c:pt idx="47">
                  <c:v>2035</c:v>
                </c:pt>
                <c:pt idx="48">
                  <c:v>2036</c:v>
                </c:pt>
                <c:pt idx="49">
                  <c:v>2037</c:v>
                </c:pt>
                <c:pt idx="50">
                  <c:v>2038</c:v>
                </c:pt>
                <c:pt idx="51">
                  <c:v>2039</c:v>
                </c:pt>
                <c:pt idx="52">
                  <c:v>2040</c:v>
                </c:pt>
                <c:pt idx="53">
                  <c:v>2041</c:v>
                </c:pt>
                <c:pt idx="54">
                  <c:v>2042</c:v>
                </c:pt>
                <c:pt idx="55">
                  <c:v>2043</c:v>
                </c:pt>
                <c:pt idx="56">
                  <c:v>2044</c:v>
                </c:pt>
                <c:pt idx="57">
                  <c:v>2045</c:v>
                </c:pt>
                <c:pt idx="58">
                  <c:v>2046</c:v>
                </c:pt>
                <c:pt idx="59">
                  <c:v>2047</c:v>
                </c:pt>
                <c:pt idx="60">
                  <c:v>2048</c:v>
                </c:pt>
                <c:pt idx="61">
                  <c:v>2049</c:v>
                </c:pt>
                <c:pt idx="62">
                  <c:v>2050</c:v>
                </c:pt>
              </c:numCache>
            </c:numRef>
          </c:xVal>
          <c:yVal>
            <c:numRef>
              <c:f>UVU!$C$2:$C$64</c:f>
              <c:numCache>
                <c:formatCode>#,##0;\-#,##0;\-</c:formatCode>
                <c:ptCount val="63"/>
                <c:pt idx="0">
                  <c:v>6832</c:v>
                </c:pt>
                <c:pt idx="1">
                  <c:v>7758</c:v>
                </c:pt>
                <c:pt idx="2">
                  <c:v>7885</c:v>
                </c:pt>
                <c:pt idx="3">
                  <c:v>8777</c:v>
                </c:pt>
                <c:pt idx="4">
                  <c:v>9623</c:v>
                </c:pt>
                <c:pt idx="5">
                  <c:v>10512</c:v>
                </c:pt>
                <c:pt idx="6">
                  <c:v>13293</c:v>
                </c:pt>
                <c:pt idx="7">
                  <c:v>14040</c:v>
                </c:pt>
                <c:pt idx="8">
                  <c:v>14756</c:v>
                </c:pt>
                <c:pt idx="9">
                  <c:v>15994</c:v>
                </c:pt>
                <c:pt idx="10">
                  <c:v>18174</c:v>
                </c:pt>
                <c:pt idx="11">
                  <c:v>20062</c:v>
                </c:pt>
                <c:pt idx="12">
                  <c:v>20946</c:v>
                </c:pt>
                <c:pt idx="13">
                  <c:v>22609</c:v>
                </c:pt>
                <c:pt idx="14">
                  <c:v>23609</c:v>
                </c:pt>
                <c:pt idx="15">
                  <c:v>23803</c:v>
                </c:pt>
                <c:pt idx="16">
                  <c:v>24149</c:v>
                </c:pt>
                <c:pt idx="17">
                  <c:v>24487</c:v>
                </c:pt>
                <c:pt idx="18">
                  <c:v>23305</c:v>
                </c:pt>
                <c:pt idx="19">
                  <c:v>23840</c:v>
                </c:pt>
                <c:pt idx="20">
                  <c:v>27051.666666666664</c:v>
                </c:pt>
                <c:pt idx="21" formatCode="_(* #,##0_);_(* \(#,##0\);_(* &quot;-&quot;??_);_(@_)">
                  <c:v>29045</c:v>
                </c:pt>
                <c:pt idx="22" formatCode="_(* #,##0_);_(* \(#,##0\);_(* &quot;-&quot;??_);_(@_)">
                  <c:v>31739</c:v>
                </c:pt>
                <c:pt idx="23" formatCode="_(* #,##0_);_(* \(#,##0\);_(* &quot;-&quot;??_);_(@_)">
                  <c:v>32734</c:v>
                </c:pt>
                <c:pt idx="24" formatCode="_(* #,##0_);_(* \(#,##0\);_(* &quot;-&quot;??_);_(@_)">
                  <c:v>31810</c:v>
                </c:pt>
                <c:pt idx="25" formatCode="_(* #,##0_);_(* \(#,##0\);_(* &quot;-&quot;??_);_(@_)">
                  <c:v>30880</c:v>
                </c:pt>
                <c:pt idx="26" formatCode="_(* #,##0_);_(* \(#,##0\);_(* &quot;-&quot;??_);_(@_)">
                  <c:v>31589</c:v>
                </c:pt>
                <c:pt idx="27" formatCode="_(* #,##0_);_(* \(#,##0\);_(* &quot;-&quot;??_);_(@_)">
                  <c:v>33565</c:v>
                </c:pt>
                <c:pt idx="28" formatCode="_(* #,##0_);_(* \(#,##0\);_(* &quot;-&quot;??_);_(@_)">
                  <c:v>35126</c:v>
                </c:pt>
                <c:pt idx="29" formatCode="_(* #,##0_);_(* \(#,##0\);_(* &quot;-&quot;??_);_(@_)">
                  <c:v>37785</c:v>
                </c:pt>
                <c:pt idx="30" formatCode="_(* #,##0_);_(* \(#,##0\);_(* &quot;-&quot;??_);_(@_)">
                  <c:v>37742.193392000001</c:v>
                </c:pt>
                <c:pt idx="31" formatCode="_(* #,##0_);_(* \(#,##0\);_(* &quot;-&quot;??_);_(@_)">
                  <c:v>39140.642820720001</c:v>
                </c:pt>
                <c:pt idx="32" formatCode="_(* #,##0_);_(* \(#,##0\);_(* &quot;-&quot;??_);_(@_)">
                  <c:v>40594.186209744134</c:v>
                </c:pt>
                <c:pt idx="33" formatCode="_(* #,##0_);_(* \(#,##0\);_(* &quot;-&quot;??_);_(@_)">
                  <c:v>41879.820987142404</c:v>
                </c:pt>
                <c:pt idx="34" formatCode="_(* #,##0_);_(* \(#,##0\);_(* &quot;-&quot;??_);_(@_)">
                  <c:v>43347.166639471514</c:v>
                </c:pt>
                <c:pt idx="35" formatCode="_(* #,##0_);_(* \(#,##0\);_(* &quot;-&quot;??_);_(@_)">
                  <c:v>44869.775515979272</c:v>
                </c:pt>
                <c:pt idx="36" formatCode="_(* #,##0_);_(* \(#,##0\);_(* &quot;-&quot;??_);_(@_)">
                  <c:v>46450.837374546551</c:v>
                </c:pt>
                <c:pt idx="37" formatCode="_(* #,##0_);_(* \(#,##0\);_(* &quot;-&quot;??_);_(@_)">
                  <c:v>48091.631906653551</c:v>
                </c:pt>
                <c:pt idx="38" formatCode="_(* #,##0_);_(* \(#,##0\);_(* &quot;-&quot;??_);_(@_)">
                  <c:v>49795</c:v>
                </c:pt>
                <c:pt idx="39">
                  <c:v>50483.958333333336</c:v>
                </c:pt>
                <c:pt idx="40">
                  <c:v>51172.916666666664</c:v>
                </c:pt>
                <c:pt idx="41">
                  <c:v>51861.875</c:v>
                </c:pt>
                <c:pt idx="42">
                  <c:v>52550.833333333336</c:v>
                </c:pt>
                <c:pt idx="43">
                  <c:v>53239.791666666664</c:v>
                </c:pt>
                <c:pt idx="44">
                  <c:v>53928.75</c:v>
                </c:pt>
                <c:pt idx="45">
                  <c:v>54617.708333333336</c:v>
                </c:pt>
                <c:pt idx="46">
                  <c:v>55306.666666666664</c:v>
                </c:pt>
                <c:pt idx="47">
                  <c:v>55995.625</c:v>
                </c:pt>
                <c:pt idx="48">
                  <c:v>56684.583333333336</c:v>
                </c:pt>
                <c:pt idx="49">
                  <c:v>57373.541666666664</c:v>
                </c:pt>
                <c:pt idx="50">
                  <c:v>58062.5</c:v>
                </c:pt>
                <c:pt idx="51">
                  <c:v>58751.458333333336</c:v>
                </c:pt>
                <c:pt idx="52">
                  <c:v>59440.416666666664</c:v>
                </c:pt>
                <c:pt idx="53">
                  <c:v>60129.375</c:v>
                </c:pt>
                <c:pt idx="54">
                  <c:v>60818.333333333336</c:v>
                </c:pt>
                <c:pt idx="55">
                  <c:v>61507.291666666664</c:v>
                </c:pt>
                <c:pt idx="56">
                  <c:v>62196.25</c:v>
                </c:pt>
                <c:pt idx="57">
                  <c:v>62885.208333333336</c:v>
                </c:pt>
                <c:pt idx="58">
                  <c:v>63574.166666666664</c:v>
                </c:pt>
                <c:pt idx="59">
                  <c:v>64263.125</c:v>
                </c:pt>
                <c:pt idx="60">
                  <c:v>64952.083333333336</c:v>
                </c:pt>
                <c:pt idx="61">
                  <c:v>65641.041666666672</c:v>
                </c:pt>
                <c:pt idx="62" formatCode="General">
                  <c:v>66330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4-43E5-AFC1-1D52BCAC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4288"/>
        <c:axId val="159124864"/>
      </c:scatterChart>
      <c:valAx>
        <c:axId val="159124288"/>
        <c:scaling>
          <c:orientation val="minMax"/>
          <c:max val="2040"/>
          <c:min val="1988"/>
        </c:scaling>
        <c:delete val="0"/>
        <c:axPos val="b"/>
        <c:numFmt formatCode="General" sourceLinked="1"/>
        <c:majorTickMark val="out"/>
        <c:minorTickMark val="none"/>
        <c:tickLblPos val="nextTo"/>
        <c:crossAx val="159124864"/>
        <c:crosses val="autoZero"/>
        <c:crossBetween val="midCat"/>
      </c:valAx>
      <c:valAx>
        <c:axId val="159124864"/>
        <c:scaling>
          <c:orientation val="minMax"/>
        </c:scaling>
        <c:delete val="0"/>
        <c:axPos val="l"/>
        <c:majorGridlines/>
        <c:numFmt formatCode="#,##0;\-#,##0;\-" sourceLinked="1"/>
        <c:majorTickMark val="out"/>
        <c:minorTickMark val="none"/>
        <c:tickLblPos val="nextTo"/>
        <c:crossAx val="159124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slcc!$B$1</c:f>
              <c:strCache>
                <c:ptCount val="1"/>
                <c:pt idx="0">
                  <c:v> Headcount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slcc!$A$2:$A$35</c:f>
              <c:numCache>
                <c:formatCode>General</c:formatCode>
                <c:ptCount val="34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</c:numCache>
            </c:numRef>
          </c:xVal>
          <c:yVal>
            <c:numRef>
              <c:f>slcc!$B$2:$B$35</c:f>
              <c:numCache>
                <c:formatCode>_(* #,##0_);_(* \(#,##0\);_(* "-"??_);_(@_)</c:formatCode>
                <c:ptCount val="34"/>
                <c:pt idx="0">
                  <c:v>9368</c:v>
                </c:pt>
                <c:pt idx="1">
                  <c:v>11003</c:v>
                </c:pt>
                <c:pt idx="2">
                  <c:v>13344</c:v>
                </c:pt>
                <c:pt idx="3">
                  <c:v>15972</c:v>
                </c:pt>
                <c:pt idx="4">
                  <c:v>17766</c:v>
                </c:pt>
                <c:pt idx="5">
                  <c:v>18311</c:v>
                </c:pt>
                <c:pt idx="6">
                  <c:v>19440</c:v>
                </c:pt>
                <c:pt idx="7">
                  <c:v>20834</c:v>
                </c:pt>
                <c:pt idx="8">
                  <c:v>22394</c:v>
                </c:pt>
                <c:pt idx="9">
                  <c:v>24307</c:v>
                </c:pt>
                <c:pt idx="10">
                  <c:v>19754</c:v>
                </c:pt>
                <c:pt idx="11">
                  <c:v>21273</c:v>
                </c:pt>
                <c:pt idx="12">
                  <c:v>22109</c:v>
                </c:pt>
                <c:pt idx="13">
                  <c:v>24215</c:v>
                </c:pt>
                <c:pt idx="14">
                  <c:v>23825</c:v>
                </c:pt>
                <c:pt idx="15">
                  <c:v>24153</c:v>
                </c:pt>
                <c:pt idx="16">
                  <c:v>25711</c:v>
                </c:pt>
                <c:pt idx="17">
                  <c:v>25551</c:v>
                </c:pt>
                <c:pt idx="18">
                  <c:v>25129</c:v>
                </c:pt>
                <c:pt idx="19">
                  <c:v>25144</c:v>
                </c:pt>
                <c:pt idx="20">
                  <c:v>29867</c:v>
                </c:pt>
                <c:pt idx="21">
                  <c:v>33776</c:v>
                </c:pt>
                <c:pt idx="22">
                  <c:v>33983</c:v>
                </c:pt>
                <c:pt idx="23">
                  <c:v>33167</c:v>
                </c:pt>
                <c:pt idx="24">
                  <c:v>36871</c:v>
                </c:pt>
                <c:pt idx="25">
                  <c:v>37679</c:v>
                </c:pt>
                <c:pt idx="26">
                  <c:v>38375</c:v>
                </c:pt>
                <c:pt idx="27">
                  <c:v>39018</c:v>
                </c:pt>
                <c:pt idx="28">
                  <c:v>39641</c:v>
                </c:pt>
                <c:pt idx="29">
                  <c:v>39973</c:v>
                </c:pt>
                <c:pt idx="30">
                  <c:v>40179</c:v>
                </c:pt>
                <c:pt idx="31">
                  <c:v>40339</c:v>
                </c:pt>
                <c:pt idx="32">
                  <c:v>40452</c:v>
                </c:pt>
                <c:pt idx="33">
                  <c:v>40541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93-4086-80AD-4A5308809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7744"/>
        <c:axId val="159128320"/>
      </c:scatterChart>
      <c:valAx>
        <c:axId val="159127744"/>
        <c:scaling>
          <c:orientation val="minMax"/>
          <c:max val="2040"/>
          <c:min val="1980"/>
        </c:scaling>
        <c:delete val="0"/>
        <c:axPos val="b"/>
        <c:numFmt formatCode="General" sourceLinked="1"/>
        <c:majorTickMark val="out"/>
        <c:minorTickMark val="none"/>
        <c:tickLblPos val="nextTo"/>
        <c:crossAx val="159128320"/>
        <c:crosses val="autoZero"/>
        <c:crossBetween val="midCat"/>
      </c:valAx>
      <c:valAx>
        <c:axId val="1591283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59127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BYU!$H$1</c:f>
              <c:strCache>
                <c:ptCount val="1"/>
                <c:pt idx="0">
                  <c:v> Day-time Enrollment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poly"/>
            <c:order val="2"/>
            <c:dispRSqr val="0"/>
            <c:dispEq val="0"/>
          </c:trendline>
          <c:xVal>
            <c:numRef>
              <c:f>BYU!$G$2:$G$141</c:f>
              <c:numCache>
                <c:formatCode>General</c:formatCode>
                <c:ptCount val="140"/>
                <c:pt idx="0">
                  <c:v>1946</c:v>
                </c:pt>
                <c:pt idx="1">
                  <c:v>1947</c:v>
                </c:pt>
                <c:pt idx="2">
                  <c:v>1948</c:v>
                </c:pt>
                <c:pt idx="3">
                  <c:v>1949</c:v>
                </c:pt>
                <c:pt idx="4">
                  <c:v>1950</c:v>
                </c:pt>
                <c:pt idx="5">
                  <c:v>1951</c:v>
                </c:pt>
                <c:pt idx="6">
                  <c:v>1952</c:v>
                </c:pt>
                <c:pt idx="7">
                  <c:v>1953</c:v>
                </c:pt>
                <c:pt idx="8">
                  <c:v>1954</c:v>
                </c:pt>
                <c:pt idx="9">
                  <c:v>1955</c:v>
                </c:pt>
                <c:pt idx="10">
                  <c:v>1956</c:v>
                </c:pt>
                <c:pt idx="11">
                  <c:v>1957</c:v>
                </c:pt>
                <c:pt idx="12">
                  <c:v>1958</c:v>
                </c:pt>
                <c:pt idx="13">
                  <c:v>1959</c:v>
                </c:pt>
                <c:pt idx="14">
                  <c:v>1960</c:v>
                </c:pt>
                <c:pt idx="15">
                  <c:v>1961</c:v>
                </c:pt>
                <c:pt idx="16">
                  <c:v>1962</c:v>
                </c:pt>
                <c:pt idx="17">
                  <c:v>1963</c:v>
                </c:pt>
                <c:pt idx="18">
                  <c:v>1964</c:v>
                </c:pt>
                <c:pt idx="19">
                  <c:v>1965</c:v>
                </c:pt>
                <c:pt idx="20">
                  <c:v>1966</c:v>
                </c:pt>
                <c:pt idx="21">
                  <c:v>1967</c:v>
                </c:pt>
                <c:pt idx="22">
                  <c:v>1968</c:v>
                </c:pt>
                <c:pt idx="23">
                  <c:v>1969</c:v>
                </c:pt>
                <c:pt idx="24">
                  <c:v>1970</c:v>
                </c:pt>
                <c:pt idx="25">
                  <c:v>1971</c:v>
                </c:pt>
                <c:pt idx="26">
                  <c:v>1972</c:v>
                </c:pt>
                <c:pt idx="27">
                  <c:v>1973</c:v>
                </c:pt>
                <c:pt idx="28">
                  <c:v>1974</c:v>
                </c:pt>
                <c:pt idx="29">
                  <c:v>1975</c:v>
                </c:pt>
                <c:pt idx="30">
                  <c:v>1976</c:v>
                </c:pt>
                <c:pt idx="31">
                  <c:v>1977</c:v>
                </c:pt>
                <c:pt idx="32">
                  <c:v>1978</c:v>
                </c:pt>
                <c:pt idx="33">
                  <c:v>1979</c:v>
                </c:pt>
                <c:pt idx="34">
                  <c:v>1980</c:v>
                </c:pt>
                <c:pt idx="35">
                  <c:v>1981</c:v>
                </c:pt>
                <c:pt idx="36">
                  <c:v>1982</c:v>
                </c:pt>
                <c:pt idx="37">
                  <c:v>1983</c:v>
                </c:pt>
                <c:pt idx="38">
                  <c:v>1984</c:v>
                </c:pt>
                <c:pt idx="39">
                  <c:v>1985</c:v>
                </c:pt>
                <c:pt idx="40">
                  <c:v>1986</c:v>
                </c:pt>
                <c:pt idx="41">
                  <c:v>1987</c:v>
                </c:pt>
                <c:pt idx="42">
                  <c:v>1988</c:v>
                </c:pt>
                <c:pt idx="43">
                  <c:v>1989</c:v>
                </c:pt>
                <c:pt idx="44">
                  <c:v>1990</c:v>
                </c:pt>
                <c:pt idx="45">
                  <c:v>1991</c:v>
                </c:pt>
                <c:pt idx="46">
                  <c:v>1992</c:v>
                </c:pt>
                <c:pt idx="47">
                  <c:v>1993</c:v>
                </c:pt>
                <c:pt idx="48">
                  <c:v>1994</c:v>
                </c:pt>
                <c:pt idx="49">
                  <c:v>1995</c:v>
                </c:pt>
                <c:pt idx="50">
                  <c:v>1996</c:v>
                </c:pt>
                <c:pt idx="51">
                  <c:v>1997</c:v>
                </c:pt>
                <c:pt idx="52">
                  <c:v>1998</c:v>
                </c:pt>
                <c:pt idx="53">
                  <c:v>1999</c:v>
                </c:pt>
                <c:pt idx="54">
                  <c:v>2000</c:v>
                </c:pt>
                <c:pt idx="55">
                  <c:v>2001</c:v>
                </c:pt>
                <c:pt idx="56">
                  <c:v>2002</c:v>
                </c:pt>
                <c:pt idx="57">
                  <c:v>2003</c:v>
                </c:pt>
                <c:pt idx="58">
                  <c:v>2004</c:v>
                </c:pt>
                <c:pt idx="59">
                  <c:v>2005</c:v>
                </c:pt>
                <c:pt idx="60">
                  <c:v>2006</c:v>
                </c:pt>
                <c:pt idx="61">
                  <c:v>2007</c:v>
                </c:pt>
                <c:pt idx="62">
                  <c:v>2008</c:v>
                </c:pt>
                <c:pt idx="63">
                  <c:v>2009</c:v>
                </c:pt>
                <c:pt idx="64">
                  <c:v>2010</c:v>
                </c:pt>
                <c:pt idx="65">
                  <c:v>2011</c:v>
                </c:pt>
                <c:pt idx="66">
                  <c:v>2012</c:v>
                </c:pt>
                <c:pt idx="67">
                  <c:v>2013</c:v>
                </c:pt>
                <c:pt idx="68">
                  <c:v>2014</c:v>
                </c:pt>
                <c:pt idx="69">
                  <c:v>2015</c:v>
                </c:pt>
                <c:pt idx="70">
                  <c:v>2016</c:v>
                </c:pt>
                <c:pt idx="71">
                  <c:v>2017</c:v>
                </c:pt>
                <c:pt idx="72">
                  <c:v>2018</c:v>
                </c:pt>
                <c:pt idx="73">
                  <c:v>2019</c:v>
                </c:pt>
                <c:pt idx="74">
                  <c:v>2020</c:v>
                </c:pt>
                <c:pt idx="75">
                  <c:v>2021</c:v>
                </c:pt>
                <c:pt idx="76">
                  <c:v>2022</c:v>
                </c:pt>
                <c:pt idx="77">
                  <c:v>2023</c:v>
                </c:pt>
                <c:pt idx="78">
                  <c:v>2024</c:v>
                </c:pt>
                <c:pt idx="79">
                  <c:v>2025</c:v>
                </c:pt>
                <c:pt idx="80">
                  <c:v>2026</c:v>
                </c:pt>
                <c:pt idx="81">
                  <c:v>2027</c:v>
                </c:pt>
                <c:pt idx="82">
                  <c:v>2028</c:v>
                </c:pt>
                <c:pt idx="83">
                  <c:v>2029</c:v>
                </c:pt>
                <c:pt idx="84">
                  <c:v>2030</c:v>
                </c:pt>
                <c:pt idx="85">
                  <c:v>2031</c:v>
                </c:pt>
                <c:pt idx="86">
                  <c:v>2032</c:v>
                </c:pt>
                <c:pt idx="87">
                  <c:v>2033</c:v>
                </c:pt>
                <c:pt idx="88">
                  <c:v>2034</c:v>
                </c:pt>
                <c:pt idx="89">
                  <c:v>2035</c:v>
                </c:pt>
                <c:pt idx="90">
                  <c:v>2036</c:v>
                </c:pt>
                <c:pt idx="91">
                  <c:v>2037</c:v>
                </c:pt>
                <c:pt idx="92">
                  <c:v>2038</c:v>
                </c:pt>
                <c:pt idx="93">
                  <c:v>2039</c:v>
                </c:pt>
                <c:pt idx="94">
                  <c:v>2040</c:v>
                </c:pt>
              </c:numCache>
            </c:numRef>
          </c:xVal>
          <c:yVal>
            <c:numRef>
              <c:f>BYU!$H$2:$H$141</c:f>
              <c:numCache>
                <c:formatCode>_(* #,##0_);_(* \(#,##0\);_(* "-"??_);_(@_)</c:formatCode>
                <c:ptCount val="140"/>
                <c:pt idx="0">
                  <c:v>4366</c:v>
                </c:pt>
                <c:pt idx="1">
                  <c:v>4603</c:v>
                </c:pt>
                <c:pt idx="2">
                  <c:v>4810</c:v>
                </c:pt>
                <c:pt idx="3">
                  <c:v>4937</c:v>
                </c:pt>
                <c:pt idx="4">
                  <c:v>4510</c:v>
                </c:pt>
                <c:pt idx="5">
                  <c:v>5082</c:v>
                </c:pt>
                <c:pt idx="6">
                  <c:v>6359</c:v>
                </c:pt>
                <c:pt idx="7">
                  <c:v>6618</c:v>
                </c:pt>
                <c:pt idx="8">
                  <c:v>7213</c:v>
                </c:pt>
                <c:pt idx="9">
                  <c:v>8184</c:v>
                </c:pt>
                <c:pt idx="10">
                  <c:v>9050</c:v>
                </c:pt>
                <c:pt idx="11">
                  <c:v>9201</c:v>
                </c:pt>
                <c:pt idx="12">
                  <c:v>9903</c:v>
                </c:pt>
                <c:pt idx="13">
                  <c:v>10265</c:v>
                </c:pt>
                <c:pt idx="14">
                  <c:v>10305</c:v>
                </c:pt>
                <c:pt idx="15">
                  <c:v>11178</c:v>
                </c:pt>
                <c:pt idx="16">
                  <c:v>12399</c:v>
                </c:pt>
                <c:pt idx="17">
                  <c:v>14236</c:v>
                </c:pt>
                <c:pt idx="18">
                  <c:v>16444</c:v>
                </c:pt>
                <c:pt idx="19">
                  <c:v>18725</c:v>
                </c:pt>
                <c:pt idx="20">
                  <c:v>20028</c:v>
                </c:pt>
                <c:pt idx="21">
                  <c:v>20375</c:v>
                </c:pt>
                <c:pt idx="22">
                  <c:v>22304</c:v>
                </c:pt>
                <c:pt idx="23">
                  <c:v>24144</c:v>
                </c:pt>
                <c:pt idx="24">
                  <c:v>25021</c:v>
                </c:pt>
                <c:pt idx="25">
                  <c:v>25116</c:v>
                </c:pt>
                <c:pt idx="26">
                  <c:v>24565</c:v>
                </c:pt>
                <c:pt idx="27">
                  <c:v>24997</c:v>
                </c:pt>
                <c:pt idx="28">
                  <c:v>25218</c:v>
                </c:pt>
                <c:pt idx="29">
                  <c:v>25950</c:v>
                </c:pt>
                <c:pt idx="30">
                  <c:v>26421</c:v>
                </c:pt>
                <c:pt idx="31">
                  <c:v>26860</c:v>
                </c:pt>
                <c:pt idx="32">
                  <c:v>27390</c:v>
                </c:pt>
                <c:pt idx="33">
                  <c:v>27521</c:v>
                </c:pt>
                <c:pt idx="34">
                  <c:v>27772</c:v>
                </c:pt>
                <c:pt idx="35">
                  <c:v>28084</c:v>
                </c:pt>
                <c:pt idx="36">
                  <c:v>27990</c:v>
                </c:pt>
                <c:pt idx="37">
                  <c:v>27961</c:v>
                </c:pt>
                <c:pt idx="38">
                  <c:v>27668</c:v>
                </c:pt>
                <c:pt idx="39">
                  <c:v>27986</c:v>
                </c:pt>
                <c:pt idx="40">
                  <c:v>28264</c:v>
                </c:pt>
                <c:pt idx="41">
                  <c:v>27545</c:v>
                </c:pt>
                <c:pt idx="42">
                  <c:v>29613</c:v>
                </c:pt>
                <c:pt idx="43">
                  <c:v>30573</c:v>
                </c:pt>
                <c:pt idx="44">
                  <c:v>30465</c:v>
                </c:pt>
                <c:pt idx="45">
                  <c:v>31101</c:v>
                </c:pt>
                <c:pt idx="46">
                  <c:v>31108</c:v>
                </c:pt>
                <c:pt idx="47">
                  <c:v>30547</c:v>
                </c:pt>
                <c:pt idx="48">
                  <c:v>30413</c:v>
                </c:pt>
                <c:pt idx="49">
                  <c:v>30465</c:v>
                </c:pt>
                <c:pt idx="50">
                  <c:v>30563</c:v>
                </c:pt>
                <c:pt idx="51">
                  <c:v>31249</c:v>
                </c:pt>
                <c:pt idx="52">
                  <c:v>32202</c:v>
                </c:pt>
                <c:pt idx="53">
                  <c:v>32731</c:v>
                </c:pt>
                <c:pt idx="54">
                  <c:v>32554</c:v>
                </c:pt>
                <c:pt idx="55">
                  <c:v>32771</c:v>
                </c:pt>
                <c:pt idx="56">
                  <c:v>32408</c:v>
                </c:pt>
                <c:pt idx="57">
                  <c:v>33008</c:v>
                </c:pt>
                <c:pt idx="58">
                  <c:v>33427</c:v>
                </c:pt>
                <c:pt idx="59">
                  <c:v>32920</c:v>
                </c:pt>
                <c:pt idx="60">
                  <c:v>32679</c:v>
                </c:pt>
                <c:pt idx="61">
                  <c:v>32964</c:v>
                </c:pt>
                <c:pt idx="62">
                  <c:v>32992</c:v>
                </c:pt>
                <c:pt idx="63">
                  <c:v>32955</c:v>
                </c:pt>
                <c:pt idx="64">
                  <c:v>32947</c:v>
                </c:pt>
                <c:pt idx="65">
                  <c:v>32980</c:v>
                </c:pt>
                <c:pt idx="66">
                  <c:v>33336</c:v>
                </c:pt>
                <c:pt idx="67">
                  <c:v>34620.039932545274</c:v>
                </c:pt>
                <c:pt idx="68">
                  <c:v>34837.599663319532</c:v>
                </c:pt>
                <c:pt idx="69">
                  <c:v>35055.051397201605</c:v>
                </c:pt>
                <c:pt idx="70">
                  <c:v>35272.395241357852</c:v>
                </c:pt>
                <c:pt idx="71">
                  <c:v>35489.631302794442</c:v>
                </c:pt>
                <c:pt idx="72">
                  <c:v>35706.759688360151</c:v>
                </c:pt>
                <c:pt idx="73">
                  <c:v>35923.780504743569</c:v>
                </c:pt>
                <c:pt idx="74">
                  <c:v>36140.693858474959</c:v>
                </c:pt>
                <c:pt idx="75">
                  <c:v>36357.499855927192</c:v>
                </c:pt>
                <c:pt idx="76">
                  <c:v>36574.198603314348</c:v>
                </c:pt>
                <c:pt idx="77">
                  <c:v>36790.790206693579</c:v>
                </c:pt>
                <c:pt idx="78">
                  <c:v>37007.274771964177</c:v>
                </c:pt>
                <c:pt idx="79">
                  <c:v>37223.652404869441</c:v>
                </c:pt>
                <c:pt idx="80">
                  <c:v>37439.923210995272</c:v>
                </c:pt>
                <c:pt idx="81">
                  <c:v>37656.087295771111</c:v>
                </c:pt>
                <c:pt idx="82">
                  <c:v>37872.144764471799</c:v>
                </c:pt>
                <c:pt idx="83">
                  <c:v>38088.095722214784</c:v>
                </c:pt>
                <c:pt idx="84">
                  <c:v>38303.940273962915</c:v>
                </c:pt>
                <c:pt idx="85">
                  <c:v>38519.678524523973</c:v>
                </c:pt>
                <c:pt idx="86">
                  <c:v>38735.310578550678</c:v>
                </c:pt>
                <c:pt idx="87">
                  <c:v>38950.836540541612</c:v>
                </c:pt>
                <c:pt idx="88">
                  <c:v>39166.256514841225</c:v>
                </c:pt>
                <c:pt idx="89">
                  <c:v>39381.570605639368</c:v>
                </c:pt>
                <c:pt idx="90">
                  <c:v>39596.778916973621</c:v>
                </c:pt>
                <c:pt idx="91">
                  <c:v>39811.881552726962</c:v>
                </c:pt>
                <c:pt idx="92">
                  <c:v>40026.878616630565</c:v>
                </c:pt>
                <c:pt idx="93">
                  <c:v>40241.770212261938</c:v>
                </c:pt>
                <c:pt idx="94">
                  <c:v>40456.556443047244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6-4772-9FBC-B70FDA16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67328"/>
        <c:axId val="173467904"/>
      </c:scatterChart>
      <c:valAx>
        <c:axId val="17346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67904"/>
        <c:crosses val="autoZero"/>
        <c:crossBetween val="midCat"/>
      </c:valAx>
      <c:valAx>
        <c:axId val="1734679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73467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BYU!$H$1</c:f>
              <c:strCache>
                <c:ptCount val="1"/>
                <c:pt idx="0">
                  <c:v> Day-time Enrollment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og"/>
            <c:forward val="28"/>
            <c:dispRSqr val="1"/>
            <c:dispEq val="1"/>
            <c:trendlineLbl>
              <c:numFmt formatCode="#,##0.00000" sourceLinked="0"/>
            </c:trendlineLbl>
          </c:trendline>
          <c:xVal>
            <c:numRef>
              <c:f>BYU!$G$26:$G$68</c:f>
              <c:numCache>
                <c:formatCode>General</c:formatCode>
                <c:ptCount val="4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</c:numCache>
            </c:numRef>
          </c:xVal>
          <c:yVal>
            <c:numRef>
              <c:f>BYU!$H$26:$H$68</c:f>
              <c:numCache>
                <c:formatCode>_(* #,##0_);_(* \(#,##0\);_(* "-"??_);_(@_)</c:formatCode>
                <c:ptCount val="43"/>
                <c:pt idx="0">
                  <c:v>25021</c:v>
                </c:pt>
                <c:pt idx="1">
                  <c:v>25116</c:v>
                </c:pt>
                <c:pt idx="2">
                  <c:v>24565</c:v>
                </c:pt>
                <c:pt idx="3">
                  <c:v>24997</c:v>
                </c:pt>
                <c:pt idx="4">
                  <c:v>25218</c:v>
                </c:pt>
                <c:pt idx="5">
                  <c:v>25950</c:v>
                </c:pt>
                <c:pt idx="6">
                  <c:v>26421</c:v>
                </c:pt>
                <c:pt idx="7">
                  <c:v>26860</c:v>
                </c:pt>
                <c:pt idx="8">
                  <c:v>27390</c:v>
                </c:pt>
                <c:pt idx="9">
                  <c:v>27521</c:v>
                </c:pt>
                <c:pt idx="10">
                  <c:v>27772</c:v>
                </c:pt>
                <c:pt idx="11">
                  <c:v>28084</c:v>
                </c:pt>
                <c:pt idx="12">
                  <c:v>27990</c:v>
                </c:pt>
                <c:pt idx="13">
                  <c:v>27961</c:v>
                </c:pt>
                <c:pt idx="14">
                  <c:v>27668</c:v>
                </c:pt>
                <c:pt idx="15">
                  <c:v>27986</c:v>
                </c:pt>
                <c:pt idx="16">
                  <c:v>28264</c:v>
                </c:pt>
                <c:pt idx="17">
                  <c:v>27545</c:v>
                </c:pt>
                <c:pt idx="18">
                  <c:v>29613</c:v>
                </c:pt>
                <c:pt idx="19">
                  <c:v>30573</c:v>
                </c:pt>
                <c:pt idx="20">
                  <c:v>30465</c:v>
                </c:pt>
                <c:pt idx="21">
                  <c:v>31101</c:v>
                </c:pt>
                <c:pt idx="22">
                  <c:v>31108</c:v>
                </c:pt>
                <c:pt idx="23">
                  <c:v>30547</c:v>
                </c:pt>
                <c:pt idx="24">
                  <c:v>30413</c:v>
                </c:pt>
                <c:pt idx="25">
                  <c:v>30465</c:v>
                </c:pt>
                <c:pt idx="26">
                  <c:v>30563</c:v>
                </c:pt>
                <c:pt idx="27">
                  <c:v>31249</c:v>
                </c:pt>
                <c:pt idx="28">
                  <c:v>32202</c:v>
                </c:pt>
                <c:pt idx="29">
                  <c:v>32731</c:v>
                </c:pt>
                <c:pt idx="30">
                  <c:v>32554</c:v>
                </c:pt>
                <c:pt idx="31">
                  <c:v>32771</c:v>
                </c:pt>
                <c:pt idx="32">
                  <c:v>32408</c:v>
                </c:pt>
                <c:pt idx="33">
                  <c:v>33008</c:v>
                </c:pt>
                <c:pt idx="34">
                  <c:v>33427</c:v>
                </c:pt>
                <c:pt idx="35">
                  <c:v>32920</c:v>
                </c:pt>
                <c:pt idx="36">
                  <c:v>32679</c:v>
                </c:pt>
                <c:pt idx="37">
                  <c:v>32964</c:v>
                </c:pt>
                <c:pt idx="38">
                  <c:v>32992</c:v>
                </c:pt>
                <c:pt idx="39">
                  <c:v>32955</c:v>
                </c:pt>
                <c:pt idx="40">
                  <c:v>32947</c:v>
                </c:pt>
                <c:pt idx="41">
                  <c:v>32980</c:v>
                </c:pt>
                <c:pt idx="42">
                  <c:v>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14-419A-B45E-95AE792A9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69632"/>
        <c:axId val="202135744"/>
      </c:scatterChart>
      <c:valAx>
        <c:axId val="173469632"/>
        <c:scaling>
          <c:orientation val="minMax"/>
          <c:max val="2040"/>
          <c:min val="1970"/>
        </c:scaling>
        <c:delete val="0"/>
        <c:axPos val="b"/>
        <c:numFmt formatCode="General" sourceLinked="1"/>
        <c:majorTickMark val="out"/>
        <c:minorTickMark val="none"/>
        <c:tickLblPos val="nextTo"/>
        <c:crossAx val="202135744"/>
        <c:crosses val="autoZero"/>
        <c:crossBetween val="midCat"/>
      </c:valAx>
      <c:valAx>
        <c:axId val="2021357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73469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Westminstor!$A$8:$A$25</c:f>
              <c:numCache>
                <c:formatCode>General</c:formatCode>
                <c:ptCount val="18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</c:numCache>
            </c:numRef>
          </c:xVal>
          <c:yVal>
            <c:numRef>
              <c:f>Westminstor!$B$8:$B$25</c:f>
              <c:numCache>
                <c:formatCode>_(* #,##0_);_(* \(#,##0\);_(* "-"??_);_(@_)</c:formatCode>
                <c:ptCount val="18"/>
                <c:pt idx="0">
                  <c:v>2113</c:v>
                </c:pt>
                <c:pt idx="1">
                  <c:v>2009</c:v>
                </c:pt>
                <c:pt idx="2">
                  <c:v>1922</c:v>
                </c:pt>
                <c:pt idx="3">
                  <c:v>2140</c:v>
                </c:pt>
                <c:pt idx="4">
                  <c:v>2250</c:v>
                </c:pt>
                <c:pt idx="5">
                  <c:v>2298</c:v>
                </c:pt>
                <c:pt idx="6">
                  <c:v>2430</c:v>
                </c:pt>
                <c:pt idx="7">
                  <c:v>2500</c:v>
                </c:pt>
                <c:pt idx="8">
                  <c:v>2380</c:v>
                </c:pt>
                <c:pt idx="9">
                  <c:v>2512</c:v>
                </c:pt>
                <c:pt idx="10">
                  <c:v>2482</c:v>
                </c:pt>
                <c:pt idx="11">
                  <c:v>2447</c:v>
                </c:pt>
                <c:pt idx="12">
                  <c:v>2465</c:v>
                </c:pt>
                <c:pt idx="13">
                  <c:v>2652</c:v>
                </c:pt>
                <c:pt idx="14">
                  <c:v>2857</c:v>
                </c:pt>
                <c:pt idx="15">
                  <c:v>3028.5</c:v>
                </c:pt>
                <c:pt idx="16">
                  <c:v>3200</c:v>
                </c:pt>
                <c:pt idx="17">
                  <c:v>3207.5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029-A639-8321DC12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69952"/>
        <c:axId val="627870528"/>
      </c:scatterChart>
      <c:valAx>
        <c:axId val="62786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7870528"/>
        <c:crosses val="autoZero"/>
        <c:crossBetween val="midCat"/>
      </c:valAx>
      <c:valAx>
        <c:axId val="6278705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627869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'USHE Source 2018'!$D$47</c:f>
              <c:strCache>
                <c:ptCount val="1"/>
                <c:pt idx="0">
                  <c:v>University of Utah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2018'!$E$47:$V$47</c:f>
              <c:numCache>
                <c:formatCode>_(* #,##0_);_(* \(#,##0\);_(* "-"??_);_(@_)</c:formatCode>
                <c:ptCount val="18"/>
                <c:pt idx="0">
                  <c:v>30110</c:v>
                </c:pt>
                <c:pt idx="1">
                  <c:v>31643</c:v>
                </c:pt>
                <c:pt idx="2">
                  <c:v>32722</c:v>
                </c:pt>
                <c:pt idx="3">
                  <c:v>33291</c:v>
                </c:pt>
                <c:pt idx="4">
                  <c:v>36226</c:v>
                </c:pt>
                <c:pt idx="5">
                  <c:v>32003</c:v>
                </c:pt>
                <c:pt idx="6">
                  <c:v>32155</c:v>
                </c:pt>
                <c:pt idx="7">
                  <c:v>32451</c:v>
                </c:pt>
                <c:pt idx="8">
                  <c:v>33153</c:v>
                </c:pt>
                <c:pt idx="9">
                  <c:v>34247</c:v>
                </c:pt>
                <c:pt idx="10">
                  <c:v>35246</c:v>
                </c:pt>
                <c:pt idx="11">
                  <c:v>36078</c:v>
                </c:pt>
                <c:pt idx="12">
                  <c:v>36459</c:v>
                </c:pt>
                <c:pt idx="13">
                  <c:v>36749</c:v>
                </c:pt>
                <c:pt idx="14">
                  <c:v>37058</c:v>
                </c:pt>
                <c:pt idx="15">
                  <c:v>37512</c:v>
                </c:pt>
                <c:pt idx="16">
                  <c:v>38075</c:v>
                </c:pt>
                <c:pt idx="17">
                  <c:v>38635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1B-40CE-99DB-AAD7F4DFC28C}"/>
            </c:ext>
          </c:extLst>
        </c:ser>
        <c:ser>
          <c:idx val="1"/>
          <c:order val="1"/>
          <c:tx>
            <c:strRef>
              <c:f>'USHE Source 2018'!$D$48</c:f>
              <c:strCache>
                <c:ptCount val="1"/>
                <c:pt idx="0">
                  <c:v>Utah State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2018'!$E$48:$V$48</c:f>
              <c:numCache>
                <c:formatCode>_(* #,##0_);_(* \(#,##0\);_(* "-"??_);_(@_)</c:formatCode>
                <c:ptCount val="18"/>
                <c:pt idx="0">
                  <c:v>28690</c:v>
                </c:pt>
                <c:pt idx="1">
                  <c:v>29561</c:v>
                </c:pt>
                <c:pt idx="2">
                  <c:v>29908</c:v>
                </c:pt>
                <c:pt idx="3">
                  <c:v>29694</c:v>
                </c:pt>
                <c:pt idx="4">
                  <c:v>28698</c:v>
                </c:pt>
                <c:pt idx="5">
                  <c:v>28707</c:v>
                </c:pt>
                <c:pt idx="6">
                  <c:v>29319</c:v>
                </c:pt>
                <c:pt idx="7">
                  <c:v>28986</c:v>
                </c:pt>
                <c:pt idx="8">
                  <c:v>29026</c:v>
                </c:pt>
                <c:pt idx="9">
                  <c:v>29565.72</c:v>
                </c:pt>
                <c:pt idx="10">
                  <c:v>30157.0344</c:v>
                </c:pt>
                <c:pt idx="11">
                  <c:v>30760.175088</c:v>
                </c:pt>
                <c:pt idx="12">
                  <c:v>31375.378589759999</c:v>
                </c:pt>
                <c:pt idx="13">
                  <c:v>32002.886161555201</c:v>
                </c:pt>
                <c:pt idx="14">
                  <c:v>32642.943884786306</c:v>
                </c:pt>
                <c:pt idx="15">
                  <c:v>33295.802762482032</c:v>
                </c:pt>
                <c:pt idx="16">
                  <c:v>33961.718817731671</c:v>
                </c:pt>
                <c:pt idx="17">
                  <c:v>34640.953194086302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B-40CE-99DB-AAD7F4DFC28C}"/>
            </c:ext>
          </c:extLst>
        </c:ser>
        <c:ser>
          <c:idx val="2"/>
          <c:order val="2"/>
          <c:tx>
            <c:strRef>
              <c:f>'USHE Source 2018'!$D$49</c:f>
              <c:strCache>
                <c:ptCount val="1"/>
                <c:pt idx="0">
                  <c:v>Weber State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2018'!$E$49:$V$49</c:f>
              <c:numCache>
                <c:formatCode>_(* #,##0_);_(* \(#,##0\);_(* "-"??_);_(@_)</c:formatCode>
                <c:ptCount val="18"/>
                <c:pt idx="0">
                  <c:v>23777</c:v>
                </c:pt>
                <c:pt idx="1">
                  <c:v>24496</c:v>
                </c:pt>
                <c:pt idx="2">
                  <c:v>26256</c:v>
                </c:pt>
                <c:pt idx="3">
                  <c:v>27381</c:v>
                </c:pt>
                <c:pt idx="4">
                  <c:v>25886</c:v>
                </c:pt>
                <c:pt idx="5">
                  <c:v>26913</c:v>
                </c:pt>
                <c:pt idx="6">
                  <c:v>26252</c:v>
                </c:pt>
                <c:pt idx="7">
                  <c:v>27236</c:v>
                </c:pt>
                <c:pt idx="8">
                  <c:v>28379</c:v>
                </c:pt>
                <c:pt idx="9">
                  <c:v>30729.891041330084</c:v>
                </c:pt>
                <c:pt idx="10">
                  <c:v>32122.760957685678</c:v>
                </c:pt>
                <c:pt idx="11">
                  <c:v>33505.481251740115</c:v>
                </c:pt>
                <c:pt idx="12">
                  <c:v>34851.913815525972</c:v>
                </c:pt>
                <c:pt idx="13">
                  <c:v>36148.882122054325</c:v>
                </c:pt>
                <c:pt idx="14">
                  <c:v>37392.939473318133</c:v>
                </c:pt>
                <c:pt idx="15">
                  <c:v>38587.24209903233</c:v>
                </c:pt>
                <c:pt idx="16">
                  <c:v>39738.684411120659</c:v>
                </c:pt>
                <c:pt idx="17">
                  <c:v>40752.948684234725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1B-40CE-99DB-AAD7F4DFC28C}"/>
            </c:ext>
          </c:extLst>
        </c:ser>
        <c:ser>
          <c:idx val="3"/>
          <c:order val="3"/>
          <c:tx>
            <c:strRef>
              <c:f>'USHE Source 2018'!$D$50</c:f>
              <c:strCache>
                <c:ptCount val="1"/>
                <c:pt idx="0">
                  <c:v>Southern Utah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2018'!$E$50:$V$50</c:f>
              <c:numCache>
                <c:formatCode>_(* #,##0_);_(* \(#,##0\);_(* "-"??_);_(@_)</c:formatCode>
                <c:ptCount val="18"/>
                <c:pt idx="0">
                  <c:v>8427</c:v>
                </c:pt>
                <c:pt idx="1">
                  <c:v>8329</c:v>
                </c:pt>
                <c:pt idx="2">
                  <c:v>8264</c:v>
                </c:pt>
                <c:pt idx="3">
                  <c:v>8706</c:v>
                </c:pt>
                <c:pt idx="4">
                  <c:v>8227</c:v>
                </c:pt>
                <c:pt idx="5">
                  <c:v>8200</c:v>
                </c:pt>
                <c:pt idx="6">
                  <c:v>9145</c:v>
                </c:pt>
                <c:pt idx="7">
                  <c:v>9598</c:v>
                </c:pt>
                <c:pt idx="8">
                  <c:v>10245</c:v>
                </c:pt>
                <c:pt idx="9">
                  <c:v>10222.100352000001</c:v>
                </c:pt>
                <c:pt idx="10">
                  <c:v>10549.207563264001</c:v>
                </c:pt>
                <c:pt idx="11">
                  <c:v>10886.782205288449</c:v>
                </c:pt>
                <c:pt idx="12">
                  <c:v>11235.15923585768</c:v>
                </c:pt>
                <c:pt idx="13">
                  <c:v>11538.508535225836</c:v>
                </c:pt>
                <c:pt idx="14">
                  <c:v>11850.048265676933</c:v>
                </c:pt>
                <c:pt idx="15">
                  <c:v>12181.849617115888</c:v>
                </c:pt>
                <c:pt idx="16">
                  <c:v>12522.941406395134</c:v>
                </c:pt>
                <c:pt idx="17">
                  <c:v>12873.583765774198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1B-40CE-99DB-AAD7F4DFC28C}"/>
            </c:ext>
          </c:extLst>
        </c:ser>
        <c:ser>
          <c:idx val="4"/>
          <c:order val="4"/>
          <c:tx>
            <c:strRef>
              <c:f>'USHE Source 2018'!$D$51</c:f>
              <c:strCache>
                <c:ptCount val="1"/>
                <c:pt idx="0">
                  <c:v>Snow College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2018'!$E$51:$V$51</c:f>
              <c:numCache>
                <c:formatCode>_(* #,##0_);_(* \(#,##0\);_(* "-"??_);_(@_)</c:formatCode>
                <c:ptCount val="18"/>
                <c:pt idx="0">
                  <c:v>4394</c:v>
                </c:pt>
                <c:pt idx="1">
                  <c:v>4411</c:v>
                </c:pt>
                <c:pt idx="2">
                  <c:v>4459</c:v>
                </c:pt>
                <c:pt idx="3">
                  <c:v>4598</c:v>
                </c:pt>
                <c:pt idx="4">
                  <c:v>4581</c:v>
                </c:pt>
                <c:pt idx="5">
                  <c:v>4805</c:v>
                </c:pt>
                <c:pt idx="6">
                  <c:v>5107</c:v>
                </c:pt>
                <c:pt idx="7">
                  <c:v>5414</c:v>
                </c:pt>
                <c:pt idx="8">
                  <c:v>5589</c:v>
                </c:pt>
                <c:pt idx="9">
                  <c:v>5819</c:v>
                </c:pt>
                <c:pt idx="10">
                  <c:v>6063</c:v>
                </c:pt>
                <c:pt idx="11">
                  <c:v>6340</c:v>
                </c:pt>
                <c:pt idx="12">
                  <c:v>6652</c:v>
                </c:pt>
                <c:pt idx="13">
                  <c:v>7004</c:v>
                </c:pt>
                <c:pt idx="14">
                  <c:v>7402</c:v>
                </c:pt>
                <c:pt idx="15">
                  <c:v>7849</c:v>
                </c:pt>
                <c:pt idx="16">
                  <c:v>8351</c:v>
                </c:pt>
                <c:pt idx="17">
                  <c:v>8917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1B-40CE-99DB-AAD7F4DFC28C}"/>
            </c:ext>
          </c:extLst>
        </c:ser>
        <c:ser>
          <c:idx val="5"/>
          <c:order val="5"/>
          <c:tx>
            <c:strRef>
              <c:f>'USHE Source 2018'!$D$52</c:f>
              <c:strCache>
                <c:ptCount val="1"/>
                <c:pt idx="0">
                  <c:v>Dixie State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2018'!$E$52:$V$52</c:f>
              <c:numCache>
                <c:formatCode>_(* #,##0_);_(* \(#,##0\);_(* "-"??_);_(@_)</c:formatCode>
                <c:ptCount val="18"/>
                <c:pt idx="0">
                  <c:v>8252</c:v>
                </c:pt>
                <c:pt idx="1">
                  <c:v>8349</c:v>
                </c:pt>
                <c:pt idx="2">
                  <c:v>8840</c:v>
                </c:pt>
                <c:pt idx="3">
                  <c:v>8587</c:v>
                </c:pt>
                <c:pt idx="4">
                  <c:v>8147</c:v>
                </c:pt>
                <c:pt idx="5">
                  <c:v>8342</c:v>
                </c:pt>
                <c:pt idx="6">
                  <c:v>8464</c:v>
                </c:pt>
                <c:pt idx="7">
                  <c:v>8991</c:v>
                </c:pt>
                <c:pt idx="8">
                  <c:v>9707</c:v>
                </c:pt>
                <c:pt idx="9">
                  <c:v>10665</c:v>
                </c:pt>
                <c:pt idx="10">
                  <c:v>11541</c:v>
                </c:pt>
                <c:pt idx="11">
                  <c:v>12530</c:v>
                </c:pt>
                <c:pt idx="12">
                  <c:v>13229</c:v>
                </c:pt>
                <c:pt idx="13">
                  <c:v>13911</c:v>
                </c:pt>
                <c:pt idx="14">
                  <c:v>14629</c:v>
                </c:pt>
                <c:pt idx="15">
                  <c:v>15433</c:v>
                </c:pt>
                <c:pt idx="16">
                  <c:v>16246</c:v>
                </c:pt>
                <c:pt idx="17">
                  <c:v>17078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1B-40CE-99DB-AAD7F4DFC28C}"/>
            </c:ext>
          </c:extLst>
        </c:ser>
        <c:ser>
          <c:idx val="6"/>
          <c:order val="6"/>
          <c:tx>
            <c:strRef>
              <c:f>'USHE Source 2018'!$D$53</c:f>
              <c:strCache>
                <c:ptCount val="1"/>
                <c:pt idx="0">
                  <c:v>Utah Valley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331762361821563E-2"/>
                  <c:y val="-7.0592337200453492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2018'!$E$53:$V$53</c:f>
              <c:numCache>
                <c:formatCode>_(* #,##0_);_(* \(#,##0\);_(* "-"??_);_(@_)</c:formatCode>
                <c:ptCount val="18"/>
                <c:pt idx="0">
                  <c:v>29045</c:v>
                </c:pt>
                <c:pt idx="1">
                  <c:v>31739</c:v>
                </c:pt>
                <c:pt idx="2">
                  <c:v>32734</c:v>
                </c:pt>
                <c:pt idx="3">
                  <c:v>31810</c:v>
                </c:pt>
                <c:pt idx="4">
                  <c:v>30880</c:v>
                </c:pt>
                <c:pt idx="5">
                  <c:v>31589</c:v>
                </c:pt>
                <c:pt idx="6">
                  <c:v>33565</c:v>
                </c:pt>
                <c:pt idx="7">
                  <c:v>35126</c:v>
                </c:pt>
                <c:pt idx="8">
                  <c:v>37785</c:v>
                </c:pt>
                <c:pt idx="9">
                  <c:v>37742.193392000001</c:v>
                </c:pt>
                <c:pt idx="10">
                  <c:v>39140.642820720001</c:v>
                </c:pt>
                <c:pt idx="11">
                  <c:v>40594.186209744134</c:v>
                </c:pt>
                <c:pt idx="12">
                  <c:v>41879.820987142404</c:v>
                </c:pt>
                <c:pt idx="13">
                  <c:v>43347.166639471514</c:v>
                </c:pt>
                <c:pt idx="14">
                  <c:v>44869.775515979272</c:v>
                </c:pt>
                <c:pt idx="15">
                  <c:v>46450.837374546551</c:v>
                </c:pt>
                <c:pt idx="16">
                  <c:v>48091.631906653551</c:v>
                </c:pt>
                <c:pt idx="17">
                  <c:v>49795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1B-40CE-99DB-AAD7F4DFC28C}"/>
            </c:ext>
          </c:extLst>
        </c:ser>
        <c:ser>
          <c:idx val="7"/>
          <c:order val="7"/>
          <c:tx>
            <c:strRef>
              <c:f>'USHE Source 2018'!$D$54</c:f>
              <c:strCache>
                <c:ptCount val="1"/>
                <c:pt idx="0">
                  <c:v>Salt Lake Community College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2018'!$E$54:$V$54</c:f>
              <c:numCache>
                <c:formatCode>_(* #,##0_);_(* \(#,##0\);_(* "-"??_);_(@_)</c:formatCode>
                <c:ptCount val="18"/>
                <c:pt idx="0">
                  <c:v>39903</c:v>
                </c:pt>
                <c:pt idx="1">
                  <c:v>38288</c:v>
                </c:pt>
                <c:pt idx="2">
                  <c:v>36782</c:v>
                </c:pt>
                <c:pt idx="3">
                  <c:v>35804</c:v>
                </c:pt>
                <c:pt idx="4">
                  <c:v>35043</c:v>
                </c:pt>
                <c:pt idx="5">
                  <c:v>33451</c:v>
                </c:pt>
                <c:pt idx="6">
                  <c:v>31131</c:v>
                </c:pt>
                <c:pt idx="7">
                  <c:v>32133</c:v>
                </c:pt>
                <c:pt idx="8">
                  <c:v>32277</c:v>
                </c:pt>
                <c:pt idx="9">
                  <c:v>32985</c:v>
                </c:pt>
                <c:pt idx="10">
                  <c:v>33658</c:v>
                </c:pt>
                <c:pt idx="11">
                  <c:v>34348</c:v>
                </c:pt>
                <c:pt idx="12">
                  <c:v>35052</c:v>
                </c:pt>
                <c:pt idx="13">
                  <c:v>35760</c:v>
                </c:pt>
                <c:pt idx="14">
                  <c:v>36468</c:v>
                </c:pt>
                <c:pt idx="15">
                  <c:v>37168</c:v>
                </c:pt>
                <c:pt idx="16">
                  <c:v>37869</c:v>
                </c:pt>
                <c:pt idx="17">
                  <c:v>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1B-40CE-99DB-AAD7F4DFC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36760"/>
        <c:axId val="1"/>
      </c:scatterChart>
      <c:valAx>
        <c:axId val="62113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3676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lagoon2019!$C$2</c:f>
              <c:strCache>
                <c:ptCount val="1"/>
                <c:pt idx="0">
                  <c:v>Annualized Daily Visitor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lagoon2019!$A$3:$A$53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xVal>
          <c:yVal>
            <c:numRef>
              <c:f>lagoon2019!$C$3:$C$53</c:f>
              <c:numCache>
                <c:formatCode>#,##0;\-#,##0;\-</c:formatCode>
                <c:ptCount val="51"/>
                <c:pt idx="0">
                  <c:v>6379</c:v>
                </c:pt>
                <c:pt idx="1">
                  <c:v>6500</c:v>
                </c:pt>
                <c:pt idx="2">
                  <c:v>6000</c:v>
                </c:pt>
                <c:pt idx="3">
                  <c:v>5500</c:v>
                </c:pt>
                <c:pt idx="4">
                  <c:v>5638.6554621848745</c:v>
                </c:pt>
                <c:pt idx="5">
                  <c:v>5777.3109243697481</c:v>
                </c:pt>
                <c:pt idx="6">
                  <c:v>5962.1848739495799</c:v>
                </c:pt>
                <c:pt idx="7">
                  <c:v>6147.0588235294126</c:v>
                </c:pt>
                <c:pt idx="8">
                  <c:v>6308.8235294117649</c:v>
                </c:pt>
                <c:pt idx="9">
                  <c:v>6447.4789915966385</c:v>
                </c:pt>
                <c:pt idx="10">
                  <c:v>6424.3697478991589</c:v>
                </c:pt>
                <c:pt idx="11">
                  <c:v>6505.2521008403364</c:v>
                </c:pt>
                <c:pt idx="12">
                  <c:v>6595.3781512605046</c:v>
                </c:pt>
                <c:pt idx="13">
                  <c:v>6701.680672268908</c:v>
                </c:pt>
                <c:pt idx="14">
                  <c:v>6791.8067226890762</c:v>
                </c:pt>
                <c:pt idx="15">
                  <c:v>6898.1092436974795</c:v>
                </c:pt>
                <c:pt idx="16">
                  <c:v>7034.453781512605</c:v>
                </c:pt>
                <c:pt idx="17">
                  <c:v>7168.4873949579833</c:v>
                </c:pt>
                <c:pt idx="18">
                  <c:v>7300.2100840336134</c:v>
                </c:pt>
                <c:pt idx="19">
                  <c:v>7434.2436974789916</c:v>
                </c:pt>
                <c:pt idx="20">
                  <c:v>7565.9663865546217</c:v>
                </c:pt>
                <c:pt idx="21">
                  <c:v>7717.4033245132496</c:v>
                </c:pt>
                <c:pt idx="22">
                  <c:v>7871.8713552638092</c:v>
                </c:pt>
                <c:pt idx="23">
                  <c:v>8029.4311477793872</c:v>
                </c:pt>
                <c:pt idx="24">
                  <c:v>8190.1445853556088</c:v>
                </c:pt>
                <c:pt idx="25">
                  <c:v>8354.0747899159669</c:v>
                </c:pt>
                <c:pt idx="26">
                  <c:v>8475.9275321846944</c:v>
                </c:pt>
                <c:pt idx="27">
                  <c:v>8599.5576215770488</c:v>
                </c:pt>
                <c:pt idx="28">
                  <c:v>8724.9909825222949</c:v>
                </c:pt>
                <c:pt idx="29">
                  <c:v>8852.2539175840666</c:v>
                </c:pt>
                <c:pt idx="30">
                  <c:v>8981.3731129758471</c:v>
                </c:pt>
                <c:pt idx="31">
                  <c:v>9112.3756441568894</c:v>
                </c:pt>
                <c:pt idx="32">
                  <c:v>9245.2889815097697</c:v>
                </c:pt>
                <c:pt idx="33">
                  <c:v>9380.1409961007412</c:v>
                </c:pt>
                <c:pt idx="34">
                  <c:v>9516.9599655241273</c:v>
                </c:pt>
                <c:pt idx="35">
                  <c:v>9655.7745798319411</c:v>
                </c:pt>
                <c:pt idx="36">
                  <c:v>9779.3755225726018</c:v>
                </c:pt>
                <c:pt idx="37">
                  <c:v>9904.5586473453786</c:v>
                </c:pt>
                <c:pt idx="38">
                  <c:v>10031.344207231901</c:v>
                </c:pt>
                <c:pt idx="39">
                  <c:v>10159.752714567985</c:v>
                </c:pt>
                <c:pt idx="40">
                  <c:v>10289.804944262274</c:v>
                </c:pt>
                <c:pt idx="41">
                  <c:v>10421.521937157366</c:v>
                </c:pt>
                <c:pt idx="42">
                  <c:v>10554.925003433955</c:v>
                </c:pt>
                <c:pt idx="43">
                  <c:v>10690.035726058562</c:v>
                </c:pt>
                <c:pt idx="44">
                  <c:v>10826.875964275388</c:v>
                </c:pt>
                <c:pt idx="45">
                  <c:v>10965.467857142872</c:v>
                </c:pt>
                <c:pt idx="46">
                  <c:v>11087.667721247086</c:v>
                </c:pt>
                <c:pt idx="47">
                  <c:v>11211.22938832967</c:v>
                </c:pt>
                <c:pt idx="48">
                  <c:v>11336.168034408745</c:v>
                </c:pt>
                <c:pt idx="49">
                  <c:v>11462.499004624933</c:v>
                </c:pt>
                <c:pt idx="50">
                  <c:v>11590.237815126067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3-4436-857B-97649E97AB75}"/>
            </c:ext>
          </c:extLst>
        </c:ser>
        <c:ser>
          <c:idx val="0"/>
          <c:order val="1"/>
          <c:tx>
            <c:strRef>
              <c:f>lagoon2019!$D$2</c:f>
              <c:strCache>
                <c:ptCount val="1"/>
                <c:pt idx="0">
                  <c:v>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lagoon2019!$A$3:$A$53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xVal>
          <c:yVal>
            <c:numRef>
              <c:f>lagoon2019!$D$3:$D$53</c:f>
              <c:numCache>
                <c:formatCode>#,##0;\-#,##0;\-</c:formatCode>
                <c:ptCount val="51"/>
                <c:pt idx="0">
                  <c:v>6379.3103448275861</c:v>
                </c:pt>
                <c:pt idx="1">
                  <c:v>6500</c:v>
                </c:pt>
                <c:pt idx="2">
                  <c:v>6620.6896551724139</c:v>
                </c:pt>
                <c:pt idx="3">
                  <c:v>6741.3793103448279</c:v>
                </c:pt>
                <c:pt idx="4">
                  <c:v>6862.0689655172418</c:v>
                </c:pt>
                <c:pt idx="5">
                  <c:v>6982.7586206896558</c:v>
                </c:pt>
                <c:pt idx="6">
                  <c:v>7103.4482758620697</c:v>
                </c:pt>
                <c:pt idx="7">
                  <c:v>7224.1379310344837</c:v>
                </c:pt>
                <c:pt idx="8">
                  <c:v>7344.8275862068976</c:v>
                </c:pt>
                <c:pt idx="9">
                  <c:v>7465.5172413793116</c:v>
                </c:pt>
                <c:pt idx="10">
                  <c:v>7586.2068965517255</c:v>
                </c:pt>
                <c:pt idx="11">
                  <c:v>7706.8965517241395</c:v>
                </c:pt>
                <c:pt idx="12">
                  <c:v>7827.5862068965534</c:v>
                </c:pt>
                <c:pt idx="13">
                  <c:v>7948.2758620689674</c:v>
                </c:pt>
                <c:pt idx="14">
                  <c:v>8068.9655172413813</c:v>
                </c:pt>
                <c:pt idx="15">
                  <c:v>8189.6551724137953</c:v>
                </c:pt>
                <c:pt idx="16">
                  <c:v>8310.3448275862083</c:v>
                </c:pt>
                <c:pt idx="17">
                  <c:v>8431.0344827586214</c:v>
                </c:pt>
                <c:pt idx="18">
                  <c:v>8551.7241379310344</c:v>
                </c:pt>
                <c:pt idx="19">
                  <c:v>8672.4137931034475</c:v>
                </c:pt>
                <c:pt idx="20">
                  <c:v>8793.1034482758605</c:v>
                </c:pt>
                <c:pt idx="21">
                  <c:v>8913.7931034482735</c:v>
                </c:pt>
                <c:pt idx="22">
                  <c:v>9034.4827586206866</c:v>
                </c:pt>
                <c:pt idx="23">
                  <c:v>9155.1724137930996</c:v>
                </c:pt>
                <c:pt idx="24">
                  <c:v>9275.8620689655127</c:v>
                </c:pt>
                <c:pt idx="25">
                  <c:v>9396.5517241379257</c:v>
                </c:pt>
                <c:pt idx="26">
                  <c:v>9517.2413793103387</c:v>
                </c:pt>
                <c:pt idx="27">
                  <c:v>9637.9310344827518</c:v>
                </c:pt>
                <c:pt idx="28">
                  <c:v>9758.6206896551648</c:v>
                </c:pt>
                <c:pt idx="29">
                  <c:v>9879.3103448275779</c:v>
                </c:pt>
                <c:pt idx="30">
                  <c:v>10000</c:v>
                </c:pt>
                <c:pt idx="31">
                  <c:v>10120.689655172413</c:v>
                </c:pt>
                <c:pt idx="32">
                  <c:v>10241.379310344826</c:v>
                </c:pt>
                <c:pt idx="33">
                  <c:v>10362.068965517239</c:v>
                </c:pt>
                <c:pt idx="34">
                  <c:v>10482.758620689652</c:v>
                </c:pt>
                <c:pt idx="35">
                  <c:v>10603.448275862065</c:v>
                </c:pt>
                <c:pt idx="36">
                  <c:v>10724.137931034478</c:v>
                </c:pt>
                <c:pt idx="37">
                  <c:v>10844.827586206891</c:v>
                </c:pt>
                <c:pt idx="38">
                  <c:v>10965.517241379304</c:v>
                </c:pt>
                <c:pt idx="39">
                  <c:v>11086.206896551717</c:v>
                </c:pt>
                <c:pt idx="40">
                  <c:v>11206.89655172413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D3-4436-857B-97649E97A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40072"/>
        <c:axId val="666037448"/>
      </c:scatterChart>
      <c:valAx>
        <c:axId val="66604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37448"/>
        <c:crosses val="autoZero"/>
        <c:crossBetween val="midCat"/>
      </c:valAx>
      <c:valAx>
        <c:axId val="66603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4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Lagoon Visitor Projection</a:t>
            </a:r>
          </a:p>
        </c:rich>
      </c:tx>
      <c:layout>
        <c:manualLayout>
          <c:xMode val="edge"/>
          <c:yMode val="edge"/>
          <c:x val="0.34987915573053363"/>
          <c:y val="5.39272327029502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15301030987262"/>
          <c:y val="0.20234604105571846"/>
          <c:w val="0.80034857915001623"/>
          <c:h val="0.59530791788856308"/>
        </c:manualLayout>
      </c:layout>
      <c:scatterChart>
        <c:scatterStyle val="lineMarker"/>
        <c:varyColors val="0"/>
        <c:ser>
          <c:idx val="1"/>
          <c:order val="0"/>
          <c:tx>
            <c:v>Annualized Daily Visitor</c:v>
          </c:tx>
          <c:spPr>
            <a:ln w="3175">
              <a:solidFill>
                <a:srgbClr val="3366FF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6379.3103448275861</c:v>
              </c:pt>
              <c:pt idx="1">
                <c:v>6500</c:v>
              </c:pt>
              <c:pt idx="2">
                <c:v>6620.6896551724139</c:v>
              </c:pt>
              <c:pt idx="3">
                <c:v>6741.3793103448279</c:v>
              </c:pt>
              <c:pt idx="4">
                <c:v>6862.0689655172418</c:v>
              </c:pt>
              <c:pt idx="5">
                <c:v>6982.7586206896558</c:v>
              </c:pt>
              <c:pt idx="6">
                <c:v>7103.4482758620697</c:v>
              </c:pt>
              <c:pt idx="7">
                <c:v>7224.1379310344837</c:v>
              </c:pt>
              <c:pt idx="8">
                <c:v>7344.8275862068976</c:v>
              </c:pt>
              <c:pt idx="9">
                <c:v>7465.5172413793116</c:v>
              </c:pt>
              <c:pt idx="10">
                <c:v>7586.2068965517255</c:v>
              </c:pt>
              <c:pt idx="11">
                <c:v>7706.8965517241395</c:v>
              </c:pt>
              <c:pt idx="12">
                <c:v>7827.5862068965534</c:v>
              </c:pt>
              <c:pt idx="13">
                <c:v>7948.2758620689674</c:v>
              </c:pt>
              <c:pt idx="14">
                <c:v>8068.9655172413813</c:v>
              </c:pt>
              <c:pt idx="15">
                <c:v>8189.6551724137953</c:v>
              </c:pt>
              <c:pt idx="16">
                <c:v>8310.3448275862083</c:v>
              </c:pt>
              <c:pt idx="17">
                <c:v>8431.0344827586214</c:v>
              </c:pt>
              <c:pt idx="18">
                <c:v>8551.7241379310344</c:v>
              </c:pt>
              <c:pt idx="19">
                <c:v>8672.4137931034475</c:v>
              </c:pt>
              <c:pt idx="20">
                <c:v>8793.1034482758605</c:v>
              </c:pt>
              <c:pt idx="21">
                <c:v>8913.7931034482735</c:v>
              </c:pt>
              <c:pt idx="22">
                <c:v>9034.4827586206866</c:v>
              </c:pt>
              <c:pt idx="23">
                <c:v>9155.1724137930996</c:v>
              </c:pt>
              <c:pt idx="24">
                <c:v>9275.8620689655127</c:v>
              </c:pt>
              <c:pt idx="25">
                <c:v>9396.5517241379257</c:v>
              </c:pt>
              <c:pt idx="26">
                <c:v>9517.2413793103387</c:v>
              </c:pt>
              <c:pt idx="27">
                <c:v>9637.9310344827518</c:v>
              </c:pt>
              <c:pt idx="28">
                <c:v>9758.6206896551648</c:v>
              </c:pt>
              <c:pt idx="29">
                <c:v>9879.3103448275779</c:v>
              </c:pt>
              <c:pt idx="30">
                <c:v>10000</c:v>
              </c:pt>
              <c:pt idx="31">
                <c:v>10120.689655172413</c:v>
              </c:pt>
              <c:pt idx="32">
                <c:v>10241.379310344826</c:v>
              </c:pt>
              <c:pt idx="33">
                <c:v>10362.068965517239</c:v>
              </c:pt>
              <c:pt idx="34">
                <c:v>10482.758620689652</c:v>
              </c:pt>
              <c:pt idx="35">
                <c:v>10603.448275862065</c:v>
              </c:pt>
              <c:pt idx="36">
                <c:v>10724.137931034478</c:v>
              </c:pt>
              <c:pt idx="37">
                <c:v>10844.827586206891</c:v>
              </c:pt>
              <c:pt idx="38">
                <c:v>10965.517241379304</c:v>
              </c:pt>
              <c:pt idx="39">
                <c:v>11086.206896551717</c:v>
              </c:pt>
              <c:pt idx="40">
                <c:v>11206.89655172413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74C-4718-87F5-DB9C1D421896}"/>
            </c:ext>
          </c:extLst>
        </c:ser>
        <c:ser>
          <c:idx val="3"/>
          <c:order val="1"/>
          <c:tx>
            <c:v>Prev Control</c:v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6373</c:v>
              </c:pt>
              <c:pt idx="1">
                <c:v>6500</c:v>
              </c:pt>
              <c:pt idx="2">
                <c:v>6630.4692000000005</c:v>
              </c:pt>
              <c:pt idx="3">
                <c:v>6763.0785840000008</c:v>
              </c:pt>
              <c:pt idx="4">
                <c:v>6898.3401556800009</c:v>
              </c:pt>
              <c:pt idx="5">
                <c:v>7036.3069587936006</c:v>
              </c:pt>
              <c:pt idx="6">
                <c:v>7177.0330979694727</c:v>
              </c:pt>
              <c:pt idx="7">
                <c:v>7320.5737599288623</c:v>
              </c:pt>
              <c:pt idx="8">
                <c:v>7466.9852351274394</c:v>
              </c:pt>
              <c:pt idx="9">
                <c:v>7616.3249398299886</c:v>
              </c:pt>
              <c:pt idx="10">
                <c:v>7768.6514386265881</c:v>
              </c:pt>
              <c:pt idx="11">
                <c:v>7924.0244673991201</c:v>
              </c:pt>
              <c:pt idx="12">
                <c:v>8082.5049567471024</c:v>
              </c:pt>
              <c:pt idx="13">
                <c:v>8244.1550558820454</c:v>
              </c:pt>
              <c:pt idx="14">
                <c:v>8409.0381569996862</c:v>
              </c:pt>
              <c:pt idx="15">
                <c:v>8577.2189201396795</c:v>
              </c:pt>
              <c:pt idx="16">
                <c:v>8748.7632985424734</c:v>
              </c:pt>
              <c:pt idx="17">
                <c:v>8923.7385645133236</c:v>
              </c:pt>
              <c:pt idx="18">
                <c:v>9102.2133358035899</c:v>
              </c:pt>
              <c:pt idx="19">
                <c:v>9284.2576025196613</c:v>
              </c:pt>
              <c:pt idx="20">
                <c:v>9469.9427545700546</c:v>
              </c:pt>
              <c:pt idx="21">
                <c:v>9659.3416096614565</c:v>
              </c:pt>
              <c:pt idx="22">
                <c:v>9852.5284418546853</c:v>
              </c:pt>
              <c:pt idx="23">
                <c:v>10049.579010691779</c:v>
              </c:pt>
              <c:pt idx="24">
                <c:v>10250.570590905616</c:v>
              </c:pt>
              <c:pt idx="25">
                <c:v>10455.582002723728</c:v>
              </c:pt>
              <c:pt idx="26">
                <c:v>10664.693642778202</c:v>
              </c:pt>
              <c:pt idx="27">
                <c:v>10877.987515633766</c:v>
              </c:pt>
              <c:pt idx="28">
                <c:v>11095.547265946441</c:v>
              </c:pt>
              <c:pt idx="29">
                <c:v>11317.45821126537</c:v>
              </c:pt>
              <c:pt idx="30">
                <c:v>11543.807375490678</c:v>
              </c:pt>
              <c:pt idx="31">
                <c:v>11774.683523000493</c:v>
              </c:pt>
              <c:pt idx="32">
                <c:v>12010.177193460502</c:v>
              </c:pt>
              <c:pt idx="33">
                <c:v>12250.380737329713</c:v>
              </c:pt>
              <c:pt idx="34">
                <c:v>12495.388352076308</c:v>
              </c:pt>
              <c:pt idx="35">
                <c:v>12745.296119117835</c:v>
              </c:pt>
              <c:pt idx="36">
                <c:v>13000.202041500192</c:v>
              </c:pt>
              <c:pt idx="37">
                <c:v>13260.206082330196</c:v>
              </c:pt>
              <c:pt idx="38">
                <c:v>13525.4102039768</c:v>
              </c:pt>
              <c:pt idx="39">
                <c:v>13795.918408056337</c:v>
              </c:pt>
              <c:pt idx="40">
                <c:v>14071.836776217464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74C-4718-87F5-DB9C1D421896}"/>
            </c:ext>
          </c:extLst>
        </c:ser>
        <c:ser>
          <c:idx val="4"/>
          <c:order val="2"/>
          <c:tx>
            <c:v>New Control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6379.3103448275861</c:v>
              </c:pt>
              <c:pt idx="1">
                <c:v>6500</c:v>
              </c:pt>
              <c:pt idx="2">
                <c:v>6620.6896551724139</c:v>
              </c:pt>
              <c:pt idx="3">
                <c:v>6741.3793103448279</c:v>
              </c:pt>
              <c:pt idx="4">
                <c:v>6862.0689655172418</c:v>
              </c:pt>
              <c:pt idx="5">
                <c:v>6982.7586206896558</c:v>
              </c:pt>
              <c:pt idx="6">
                <c:v>7103.4482758620697</c:v>
              </c:pt>
              <c:pt idx="7">
                <c:v>7224.1379310344837</c:v>
              </c:pt>
              <c:pt idx="8">
                <c:v>7344.8275862068976</c:v>
              </c:pt>
              <c:pt idx="9">
                <c:v>7465.5172413793116</c:v>
              </c:pt>
              <c:pt idx="10">
                <c:v>7586.2068965517255</c:v>
              </c:pt>
              <c:pt idx="11">
                <c:v>7706.8965517241395</c:v>
              </c:pt>
              <c:pt idx="12">
                <c:v>7827.5862068965534</c:v>
              </c:pt>
              <c:pt idx="13">
                <c:v>7948.2758620689674</c:v>
              </c:pt>
              <c:pt idx="14">
                <c:v>8068.9655172413813</c:v>
              </c:pt>
              <c:pt idx="15">
                <c:v>8189.6551724137953</c:v>
              </c:pt>
              <c:pt idx="16">
                <c:v>8310.3448275862083</c:v>
              </c:pt>
              <c:pt idx="17">
                <c:v>8431.0344827586214</c:v>
              </c:pt>
              <c:pt idx="18">
                <c:v>8551.7241379310344</c:v>
              </c:pt>
              <c:pt idx="19">
                <c:v>8672.4137931034475</c:v>
              </c:pt>
              <c:pt idx="20">
                <c:v>8793.1034482758605</c:v>
              </c:pt>
              <c:pt idx="21">
                <c:v>8913.7931034482735</c:v>
              </c:pt>
              <c:pt idx="22">
                <c:v>9034.4827586206866</c:v>
              </c:pt>
              <c:pt idx="23">
                <c:v>9155.1724137930996</c:v>
              </c:pt>
              <c:pt idx="24">
                <c:v>9275.8620689655127</c:v>
              </c:pt>
              <c:pt idx="25">
                <c:v>9396.5517241379257</c:v>
              </c:pt>
              <c:pt idx="26">
                <c:v>9517.2413793103387</c:v>
              </c:pt>
              <c:pt idx="27">
                <c:v>9637.9310344827518</c:v>
              </c:pt>
              <c:pt idx="28">
                <c:v>9758.6206896551648</c:v>
              </c:pt>
              <c:pt idx="29">
                <c:v>9879.3103448275779</c:v>
              </c:pt>
              <c:pt idx="30">
                <c:v>10000</c:v>
              </c:pt>
              <c:pt idx="31">
                <c:v>10120.689655172413</c:v>
              </c:pt>
              <c:pt idx="32">
                <c:v>10241.379310344826</c:v>
              </c:pt>
              <c:pt idx="33">
                <c:v>10362.068965517239</c:v>
              </c:pt>
              <c:pt idx="34">
                <c:v>10482.758620689652</c:v>
              </c:pt>
              <c:pt idx="35">
                <c:v>10603.448275862065</c:v>
              </c:pt>
              <c:pt idx="36">
                <c:v>10724.137931034478</c:v>
              </c:pt>
              <c:pt idx="37">
                <c:v>10844.827586206891</c:v>
              </c:pt>
              <c:pt idx="38">
                <c:v>10965.517241379304</c:v>
              </c:pt>
              <c:pt idx="39">
                <c:v>11086.206896551717</c:v>
              </c:pt>
              <c:pt idx="40">
                <c:v>11206.89655172413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74C-4718-87F5-DB9C1D421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72272"/>
        <c:axId val="1"/>
      </c:scatterChart>
      <c:valAx>
        <c:axId val="434572272"/>
        <c:scaling>
          <c:orientation val="minMax"/>
          <c:max val="2040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Enrollment</a:t>
                </a:r>
              </a:p>
            </c:rich>
          </c:tx>
          <c:layout>
            <c:manualLayout>
              <c:xMode val="edge"/>
              <c:yMode val="edge"/>
              <c:x val="1.5272491980169145E-2"/>
              <c:y val="0.363423003209642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4572272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10590296004666083"/>
          <c:y val="0.90322580645161288"/>
          <c:w val="0.86805701370661992"/>
          <c:h val="5.86510263929619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Airport Visitor Projection</a:t>
            </a:r>
          </a:p>
        </c:rich>
      </c:tx>
      <c:layout>
        <c:manualLayout>
          <c:xMode val="edge"/>
          <c:yMode val="edge"/>
          <c:x val="0.34987915573053363"/>
          <c:y val="5.58348362879221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09746652809402"/>
          <c:y val="0.19832429284366931"/>
          <c:w val="0.79340412293179474"/>
          <c:h val="0.60335277822862776"/>
        </c:manualLayout>
      </c:layout>
      <c:scatterChart>
        <c:scatterStyle val="lineMarker"/>
        <c:varyColors val="0"/>
        <c:ser>
          <c:idx val="1"/>
          <c:order val="0"/>
          <c:tx>
            <c:v>Estimated Daily Person Trips</c:v>
          </c:tx>
          <c:spPr>
            <a:ln w="3175">
              <a:solidFill>
                <a:srgbClr val="3366FF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23415</c:v>
              </c:pt>
              <c:pt idx="1">
                <c:v>24000</c:v>
              </c:pt>
              <c:pt idx="2">
                <c:v>24600.384374999994</c:v>
              </c:pt>
              <c:pt idx="3">
                <c:v>25215.39398437499</c:v>
              </c:pt>
              <c:pt idx="4">
                <c:v>25845.778833984365</c:v>
              </c:pt>
              <c:pt idx="5">
                <c:v>26491.92330483397</c:v>
              </c:pt>
              <c:pt idx="6">
                <c:v>27154.221387454818</c:v>
              </c:pt>
              <c:pt idx="7">
                <c:v>27833.076922141187</c:v>
              </c:pt>
              <c:pt idx="8">
                <c:v>28528.903845194713</c:v>
              </c:pt>
              <c:pt idx="9">
                <c:v>29242.126441324577</c:v>
              </c:pt>
              <c:pt idx="10">
                <c:v>29973.17960235769</c:v>
              </c:pt>
              <c:pt idx="11">
                <c:v>30722.509092416629</c:v>
              </c:pt>
              <c:pt idx="12">
                <c:v>31490.571819727043</c:v>
              </c:pt>
              <c:pt idx="13">
                <c:v>32277.836115220216</c:v>
              </c:pt>
              <c:pt idx="14">
                <c:v>33084.782018100719</c:v>
              </c:pt>
              <c:pt idx="15">
                <c:v>33911.901568553236</c:v>
              </c:pt>
              <c:pt idx="16">
                <c:v>34759.699107767061</c:v>
              </c:pt>
              <c:pt idx="17">
                <c:v>35628.691585461238</c:v>
              </c:pt>
              <c:pt idx="18">
                <c:v>36519.408875097768</c:v>
              </c:pt>
              <c:pt idx="19">
                <c:v>37432.394096975208</c:v>
              </c:pt>
              <c:pt idx="20">
                <c:v>38368.203949399584</c:v>
              </c:pt>
              <c:pt idx="21">
                <c:v>39327.40904813457</c:v>
              </c:pt>
              <c:pt idx="22">
                <c:v>40310.594274337927</c:v>
              </c:pt>
              <c:pt idx="23">
                <c:v>41318.359131196376</c:v>
              </c:pt>
              <c:pt idx="24">
                <c:v>42351.318109476284</c:v>
              </c:pt>
              <c:pt idx="25">
                <c:v>43410.101062213187</c:v>
              </c:pt>
              <c:pt idx="26">
                <c:v>44495.353588768514</c:v>
              </c:pt>
              <c:pt idx="27">
                <c:v>45607.737428487722</c:v>
              </c:pt>
              <c:pt idx="28">
                <c:v>46747.930864199909</c:v>
              </c:pt>
              <c:pt idx="29">
                <c:v>47916.629135804906</c:v>
              </c:pt>
              <c:pt idx="30">
                <c:v>49114.544864200026</c:v>
              </c:pt>
              <c:pt idx="31">
                <c:v>50342.408485805026</c:v>
              </c:pt>
              <c:pt idx="32">
                <c:v>51600.968697950149</c:v>
              </c:pt>
              <c:pt idx="33">
                <c:v>52890.9929153989</c:v>
              </c:pt>
              <c:pt idx="34">
                <c:v>54213.267738283866</c:v>
              </c:pt>
              <c:pt idx="35">
                <c:v>55568.599431740957</c:v>
              </c:pt>
              <c:pt idx="36">
                <c:v>56957.814417534479</c:v>
              </c:pt>
              <c:pt idx="37">
                <c:v>58381.759777972838</c:v>
              </c:pt>
              <c:pt idx="38">
                <c:v>59841.303772422158</c:v>
              </c:pt>
              <c:pt idx="39">
                <c:v>61337.336366732707</c:v>
              </c:pt>
              <c:pt idx="40">
                <c:v>62870.769775901019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F21-4349-80B4-D035436F2255}"/>
            </c:ext>
          </c:extLst>
        </c:ser>
        <c:ser>
          <c:idx val="3"/>
          <c:order val="1"/>
          <c:tx>
            <c:v>Prev Control</c:v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23415</c:v>
              </c:pt>
              <c:pt idx="1">
                <c:v>24000.374999999996</c:v>
              </c:pt>
              <c:pt idx="2">
                <c:v>24600.384374999994</c:v>
              </c:pt>
              <c:pt idx="3">
                <c:v>25215.39398437499</c:v>
              </c:pt>
              <c:pt idx="4">
                <c:v>25845.778833984365</c:v>
              </c:pt>
              <c:pt idx="5">
                <c:v>26491.92330483397</c:v>
              </c:pt>
              <c:pt idx="6">
                <c:v>27154.221387454818</c:v>
              </c:pt>
              <c:pt idx="7">
                <c:v>27833.076922141187</c:v>
              </c:pt>
              <c:pt idx="8">
                <c:v>28528.903845194713</c:v>
              </c:pt>
              <c:pt idx="9">
                <c:v>29242.126441324577</c:v>
              </c:pt>
              <c:pt idx="10">
                <c:v>29973.17960235769</c:v>
              </c:pt>
              <c:pt idx="11">
                <c:v>30722.509092416629</c:v>
              </c:pt>
              <c:pt idx="12">
                <c:v>31490.571819727043</c:v>
              </c:pt>
              <c:pt idx="13">
                <c:v>32277.836115220216</c:v>
              </c:pt>
              <c:pt idx="14">
                <c:v>33084.782018100719</c:v>
              </c:pt>
              <c:pt idx="15">
                <c:v>33911.901568553236</c:v>
              </c:pt>
              <c:pt idx="16">
                <c:v>34759.699107767061</c:v>
              </c:pt>
              <c:pt idx="17">
                <c:v>35628.691585461238</c:v>
              </c:pt>
              <c:pt idx="18">
                <c:v>36519.408875097768</c:v>
              </c:pt>
              <c:pt idx="19">
                <c:v>37432.394096975208</c:v>
              </c:pt>
              <c:pt idx="20">
                <c:v>38368.203949399584</c:v>
              </c:pt>
              <c:pt idx="21">
                <c:v>39327.40904813457</c:v>
              </c:pt>
              <c:pt idx="22">
                <c:v>40310.594274337927</c:v>
              </c:pt>
              <c:pt idx="23">
                <c:v>41318.359131196376</c:v>
              </c:pt>
              <c:pt idx="24">
                <c:v>42351.318109476284</c:v>
              </c:pt>
              <c:pt idx="25">
                <c:v>43410.101062213187</c:v>
              </c:pt>
              <c:pt idx="26">
                <c:v>44495.353588768514</c:v>
              </c:pt>
              <c:pt idx="27">
                <c:v>45607.737428487722</c:v>
              </c:pt>
              <c:pt idx="28">
                <c:v>46747.930864199909</c:v>
              </c:pt>
              <c:pt idx="29">
                <c:v>47916.629135804906</c:v>
              </c:pt>
              <c:pt idx="30">
                <c:v>49114.544864200026</c:v>
              </c:pt>
              <c:pt idx="31">
                <c:v>50342.408485805026</c:v>
              </c:pt>
              <c:pt idx="32">
                <c:v>51600.968697950149</c:v>
              </c:pt>
              <c:pt idx="33">
                <c:v>52890.9929153989</c:v>
              </c:pt>
              <c:pt idx="34">
                <c:v>54213.267738283866</c:v>
              </c:pt>
              <c:pt idx="35">
                <c:v>55568.599431740957</c:v>
              </c:pt>
              <c:pt idx="36">
                <c:v>56957.814417534479</c:v>
              </c:pt>
              <c:pt idx="37">
                <c:v>58381.759777972838</c:v>
              </c:pt>
              <c:pt idx="38">
                <c:v>59841.303772422158</c:v>
              </c:pt>
              <c:pt idx="39">
                <c:v>61337.336366732707</c:v>
              </c:pt>
              <c:pt idx="40">
                <c:v>62870.769775901019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F21-4349-80B4-D035436F2255}"/>
            </c:ext>
          </c:extLst>
        </c:ser>
        <c:ser>
          <c:idx val="4"/>
          <c:order val="2"/>
          <c:tx>
            <c:v>New Control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23415</c:v>
              </c:pt>
              <c:pt idx="1">
                <c:v>24000</c:v>
              </c:pt>
              <c:pt idx="2">
                <c:v>24600.384374999994</c:v>
              </c:pt>
              <c:pt idx="3">
                <c:v>25215.39398437499</c:v>
              </c:pt>
              <c:pt idx="4">
                <c:v>25845.778833984365</c:v>
              </c:pt>
              <c:pt idx="5">
                <c:v>26491.92330483397</c:v>
              </c:pt>
              <c:pt idx="6">
                <c:v>27154.221387454818</c:v>
              </c:pt>
              <c:pt idx="7">
                <c:v>27833.076922141187</c:v>
              </c:pt>
              <c:pt idx="8">
                <c:v>28528.903845194713</c:v>
              </c:pt>
              <c:pt idx="9">
                <c:v>29242.126441324577</c:v>
              </c:pt>
              <c:pt idx="10">
                <c:v>29973.17960235769</c:v>
              </c:pt>
              <c:pt idx="11">
                <c:v>30722.509092416629</c:v>
              </c:pt>
              <c:pt idx="12">
                <c:v>31490.571819727043</c:v>
              </c:pt>
              <c:pt idx="13">
                <c:v>32277.836115220216</c:v>
              </c:pt>
              <c:pt idx="14">
                <c:v>33084.782018100719</c:v>
              </c:pt>
              <c:pt idx="15">
                <c:v>33911.901568553236</c:v>
              </c:pt>
              <c:pt idx="16">
                <c:v>34759.699107767061</c:v>
              </c:pt>
              <c:pt idx="17">
                <c:v>35628.691585461238</c:v>
              </c:pt>
              <c:pt idx="18">
                <c:v>36519.408875097768</c:v>
              </c:pt>
              <c:pt idx="19">
                <c:v>37432.394096975208</c:v>
              </c:pt>
              <c:pt idx="20">
                <c:v>38368.203949399584</c:v>
              </c:pt>
              <c:pt idx="21">
                <c:v>39327.40904813457</c:v>
              </c:pt>
              <c:pt idx="22">
                <c:v>40310.594274337927</c:v>
              </c:pt>
              <c:pt idx="23">
                <c:v>41318.359131196376</c:v>
              </c:pt>
              <c:pt idx="24">
                <c:v>42351.318109476284</c:v>
              </c:pt>
              <c:pt idx="25">
                <c:v>43410.101062213187</c:v>
              </c:pt>
              <c:pt idx="26">
                <c:v>44495.353588768514</c:v>
              </c:pt>
              <c:pt idx="27">
                <c:v>45607.737428487722</c:v>
              </c:pt>
              <c:pt idx="28">
                <c:v>46747.930864199909</c:v>
              </c:pt>
              <c:pt idx="29">
                <c:v>47916.629135804906</c:v>
              </c:pt>
              <c:pt idx="30">
                <c:v>49114.544864200026</c:v>
              </c:pt>
              <c:pt idx="31">
                <c:v>50342.408485805026</c:v>
              </c:pt>
              <c:pt idx="32">
                <c:v>51600.968697950149</c:v>
              </c:pt>
              <c:pt idx="33">
                <c:v>52890.9929153989</c:v>
              </c:pt>
              <c:pt idx="34">
                <c:v>54213.267738283866</c:v>
              </c:pt>
              <c:pt idx="35">
                <c:v>55568.599431740957</c:v>
              </c:pt>
              <c:pt idx="36">
                <c:v>56957.814417534479</c:v>
              </c:pt>
              <c:pt idx="37">
                <c:v>58381.759777972838</c:v>
              </c:pt>
              <c:pt idx="38">
                <c:v>59841.303772422158</c:v>
              </c:pt>
              <c:pt idx="39">
                <c:v>61337.336366732707</c:v>
              </c:pt>
              <c:pt idx="40">
                <c:v>62870.769775901019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F21-4349-80B4-D035436F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834784"/>
        <c:axId val="1"/>
      </c:scatterChart>
      <c:valAx>
        <c:axId val="586834784"/>
        <c:scaling>
          <c:orientation val="minMax"/>
          <c:max val="2040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Enrollment</a:t>
                </a:r>
              </a:p>
            </c:rich>
          </c:tx>
          <c:layout>
            <c:manualLayout>
              <c:xMode val="edge"/>
              <c:yMode val="edge"/>
              <c:x val="2.0826042578011083E-2"/>
              <c:y val="0.364042874528952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6834784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10763907115777194"/>
          <c:y val="0.90223580990923613"/>
          <c:w val="0.86805701370661992"/>
          <c:h val="5.586592178770943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5</xdr:row>
      <xdr:rowOff>57150</xdr:rowOff>
    </xdr:from>
    <xdr:to>
      <xdr:col>26</xdr:col>
      <xdr:colOff>457200</xdr:colOff>
      <xdr:row>28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1</xdr:row>
      <xdr:rowOff>166687</xdr:rowOff>
    </xdr:from>
    <xdr:to>
      <xdr:col>18</xdr:col>
      <xdr:colOff>180975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481012</xdr:colOff>
      <xdr:row>5</xdr:row>
      <xdr:rowOff>114300</xdr:rowOff>
    </xdr:from>
    <xdr:to>
      <xdr:col>12</xdr:col>
      <xdr:colOff>176212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66674</xdr:colOff>
      <xdr:row>20</xdr:row>
      <xdr:rowOff>104775</xdr:rowOff>
    </xdr:from>
    <xdr:to>
      <xdr:col>20</xdr:col>
      <xdr:colOff>104774</xdr:colOff>
      <xdr:row>36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0</xdr:row>
      <xdr:rowOff>147637</xdr:rowOff>
    </xdr:from>
    <xdr:to>
      <xdr:col>15</xdr:col>
      <xdr:colOff>523875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15</xdr:row>
      <xdr:rowOff>147637</xdr:rowOff>
    </xdr:from>
    <xdr:to>
      <xdr:col>15</xdr:col>
      <xdr:colOff>581025</xdr:colOff>
      <xdr:row>30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576262</xdr:colOff>
      <xdr:row>5</xdr:row>
      <xdr:rowOff>114300</xdr:rowOff>
    </xdr:from>
    <xdr:to>
      <xdr:col>12</xdr:col>
      <xdr:colOff>271462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323850</xdr:colOff>
      <xdr:row>43</xdr:row>
      <xdr:rowOff>104775</xdr:rowOff>
    </xdr:from>
    <xdr:to>
      <xdr:col>44</xdr:col>
      <xdr:colOff>571500</xdr:colOff>
      <xdr:row>81</xdr:row>
      <xdr:rowOff>47625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FEB9903-4F2D-4082-9129-7E2E7C8A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103315</xdr:colOff>
      <xdr:row>36</xdr:row>
      <xdr:rowOff>94381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85715" cy="69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109537</xdr:colOff>
      <xdr:row>14</xdr:row>
      <xdr:rowOff>76200</xdr:rowOff>
    </xdr:from>
    <xdr:to>
      <xdr:col>19</xdr:col>
      <xdr:colOff>414337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2299C7-3640-4B01-976A-D43CEFF78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323850</xdr:rowOff>
    </xdr:from>
    <xdr:to>
      <xdr:col>17</xdr:col>
      <xdr:colOff>9525</xdr:colOff>
      <xdr:row>21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28E828C-5191-40E7-9E95-876EA3AEF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1</xdr:row>
      <xdr:rowOff>323850</xdr:rowOff>
    </xdr:from>
    <xdr:to>
      <xdr:col>16</xdr:col>
      <xdr:colOff>9525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981BC-7657-4440-9D8C-64A0942EC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[mailto:cnelson@ldsbc.edu]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45"/>
  <sheetViews>
    <sheetView tabSelected="1" zoomScale="80" zoomScaleNormal="80" workbookViewId="0">
      <pane xSplit="1" ySplit="4" topLeftCell="B26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ColWidth="8.7109375" defaultRowHeight="15" x14ac:dyDescent="0.25"/>
  <cols>
    <col min="1" max="1" width="12.7109375" style="197" customWidth="1"/>
    <col min="2" max="3" width="11" style="197" customWidth="1"/>
    <col min="4" max="4" width="10.7109375" style="197" customWidth="1"/>
    <col min="5" max="5" width="11" style="197" customWidth="1"/>
    <col min="6" max="7" width="12.5703125" style="197" customWidth="1"/>
    <col min="8" max="10" width="12.28515625" style="197" customWidth="1"/>
    <col min="11" max="11" width="10.85546875" style="197" bestFit="1" customWidth="1"/>
    <col min="12" max="12" width="11.28515625" style="197" bestFit="1" customWidth="1"/>
    <col min="13" max="14" width="12" style="197" bestFit="1" customWidth="1"/>
    <col min="15" max="15" width="11.42578125" style="197" bestFit="1" customWidth="1"/>
    <col min="16" max="16" width="12.140625" style="197" bestFit="1" customWidth="1"/>
    <col min="17" max="17" width="14" style="197" bestFit="1" customWidth="1"/>
    <col min="18" max="18" width="12.42578125" style="197" bestFit="1" customWidth="1"/>
    <col min="19" max="19" width="16.7109375" style="197" bestFit="1" customWidth="1"/>
    <col min="20" max="20" width="10.85546875" style="197" customWidth="1"/>
    <col min="21" max="21" width="12.28515625" style="197" customWidth="1"/>
    <col min="22" max="26" width="13.5703125" style="197" customWidth="1"/>
    <col min="27" max="29" width="8.7109375" style="197"/>
    <col min="30" max="30" width="8.7109375" style="214"/>
    <col min="31" max="16384" width="8.7109375" style="197"/>
  </cols>
  <sheetData>
    <row r="1" spans="1:26" s="215" customFormat="1" ht="23.25" x14ac:dyDescent="0.35">
      <c r="A1" s="215" t="s">
        <v>334</v>
      </c>
    </row>
    <row r="2" spans="1:26" x14ac:dyDescent="0.25">
      <c r="B2" s="201"/>
      <c r="C2" s="201"/>
      <c r="D2" s="201">
        <f>(D45/D5)^(1/35)-1</f>
        <v>3.3326207905537197E-2</v>
      </c>
      <c r="E2" s="201">
        <f t="shared" ref="E2:U2" si="0">(E45/E5)^(1/35)-1</f>
        <v>2.5636278796481449E-3</v>
      </c>
      <c r="F2" s="201">
        <f t="shared" si="0"/>
        <v>8.3149748895583464E-3</v>
      </c>
      <c r="G2" s="201">
        <f t="shared" si="0"/>
        <v>8.3149748895583464E-3</v>
      </c>
      <c r="H2" s="201">
        <f t="shared" si="0"/>
        <v>1.0894515042468189E-2</v>
      </c>
      <c r="I2" s="201">
        <f t="shared" si="0"/>
        <v>2.9652836584794784E-2</v>
      </c>
      <c r="J2" s="201">
        <f t="shared" si="0"/>
        <v>3.5147019734428353E-2</v>
      </c>
      <c r="K2" s="201">
        <f t="shared" si="0"/>
        <v>1.5415105359307013E-2</v>
      </c>
      <c r="L2" s="201">
        <f t="shared" si="0"/>
        <v>1.5415295796238127E-2</v>
      </c>
      <c r="M2" s="201">
        <f t="shared" si="0"/>
        <v>1.5414219910172333E-2</v>
      </c>
      <c r="N2" s="201">
        <f t="shared" si="0"/>
        <v>1.5428732745518259E-2</v>
      </c>
      <c r="O2" s="201">
        <f t="shared" si="0"/>
        <v>1.5416611201357844E-2</v>
      </c>
      <c r="P2" s="201">
        <f t="shared" si="0"/>
        <v>1.5406844638695461E-2</v>
      </c>
      <c r="Q2" s="201">
        <f t="shared" si="0"/>
        <v>1.541289216461017E-2</v>
      </c>
      <c r="R2" s="201">
        <f t="shared" si="0"/>
        <v>4.7057595448906753E-2</v>
      </c>
      <c r="S2" s="201">
        <f t="shared" si="0"/>
        <v>1.5409768207987229E-2</v>
      </c>
      <c r="T2" s="201">
        <f>(T45/T19)^(1/35)-1</f>
        <v>8.1576934292205916E-2</v>
      </c>
      <c r="U2" s="201">
        <f t="shared" si="0"/>
        <v>8.9927023991198674E-4</v>
      </c>
      <c r="V2" s="201">
        <f>(V45/V5)^(1/35)-1</f>
        <v>1.9195821251880796E-2</v>
      </c>
      <c r="W2" s="201">
        <f>(W45/W10)^(1/35)-1</f>
        <v>1.9569946176771102E-2</v>
      </c>
      <c r="X2" s="201">
        <f t="shared" ref="X2" si="1">(X45/X5)^(1/35)-1</f>
        <v>1.4919234101737455E-2</v>
      </c>
      <c r="Y2" s="201">
        <f>(Y45/Y18)^(1/35)-1</f>
        <v>6.2602894875374737E-2</v>
      </c>
      <c r="Z2" s="201">
        <f>(Z45/Z28)^(1/35)-1</f>
        <v>5.0363969778468132E-2</v>
      </c>
    </row>
    <row r="3" spans="1:26" x14ac:dyDescent="0.25"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 spans="1:26" x14ac:dyDescent="0.25">
      <c r="A4" s="59" t="s">
        <v>313</v>
      </c>
      <c r="B4" s="205" t="s">
        <v>314</v>
      </c>
      <c r="C4" s="205" t="s">
        <v>317</v>
      </c>
      <c r="D4" s="211" t="s">
        <v>6</v>
      </c>
      <c r="E4" s="205" t="s">
        <v>259</v>
      </c>
      <c r="F4" s="203" t="s">
        <v>328</v>
      </c>
      <c r="G4" s="59" t="s">
        <v>329</v>
      </c>
      <c r="H4" s="203" t="s">
        <v>248</v>
      </c>
      <c r="I4" s="59" t="s">
        <v>247</v>
      </c>
      <c r="J4" s="59" t="s">
        <v>249</v>
      </c>
      <c r="K4" s="203" t="s">
        <v>260</v>
      </c>
      <c r="L4" s="59" t="s">
        <v>261</v>
      </c>
      <c r="M4" s="59" t="s">
        <v>262</v>
      </c>
      <c r="N4" s="59" t="s">
        <v>253</v>
      </c>
      <c r="O4" s="59" t="s">
        <v>263</v>
      </c>
      <c r="P4" s="59" t="s">
        <v>264</v>
      </c>
      <c r="Q4" s="59" t="s">
        <v>265</v>
      </c>
      <c r="R4" s="59" t="s">
        <v>254</v>
      </c>
      <c r="S4" s="59" t="s">
        <v>255</v>
      </c>
      <c r="T4" s="59" t="s">
        <v>330</v>
      </c>
      <c r="U4" s="203" t="s">
        <v>12</v>
      </c>
      <c r="V4" s="203" t="s">
        <v>250</v>
      </c>
      <c r="W4" s="59" t="s">
        <v>251</v>
      </c>
      <c r="X4" s="59" t="s">
        <v>252</v>
      </c>
      <c r="Y4" s="59" t="s">
        <v>331</v>
      </c>
      <c r="Z4" s="59" t="s">
        <v>332</v>
      </c>
    </row>
    <row r="5" spans="1:26" x14ac:dyDescent="0.25">
      <c r="A5" s="59">
        <v>2010</v>
      </c>
      <c r="B5" s="206">
        <f>airport2019!G7</f>
        <v>26389.105335365359</v>
      </c>
      <c r="C5" s="206">
        <f>lagoon2019!E13</f>
        <v>6424.3697478991589</v>
      </c>
      <c r="D5" s="212">
        <f>Result!B5</f>
        <v>2000</v>
      </c>
      <c r="E5" s="206">
        <f>Result!C5</f>
        <v>3200</v>
      </c>
      <c r="F5" s="204">
        <f>Result!D5</f>
        <v>26896.55</v>
      </c>
      <c r="G5" s="202">
        <f>Result!E5</f>
        <v>4746.45</v>
      </c>
      <c r="H5" s="204">
        <f>Result!F5</f>
        <v>19352</v>
      </c>
      <c r="I5" s="202">
        <f>Result!G5</f>
        <v>4409</v>
      </c>
      <c r="J5" s="202">
        <f>Result!H5</f>
        <v>735</v>
      </c>
      <c r="K5" s="204">
        <f>Result!I5</f>
        <v>18914</v>
      </c>
      <c r="L5" s="202">
        <f>Result!J5</f>
        <v>6394</v>
      </c>
      <c r="M5" s="202">
        <f>Result!K5</f>
        <v>7160</v>
      </c>
      <c r="N5" s="202">
        <f>Result!L5</f>
        <v>268</v>
      </c>
      <c r="O5" s="202">
        <f>Result!M5</f>
        <v>2718</v>
      </c>
      <c r="P5" s="202">
        <f>Result!N5</f>
        <v>1187</v>
      </c>
      <c r="Q5" s="202">
        <f>Result!O5</f>
        <v>1072</v>
      </c>
      <c r="R5" s="202">
        <f>Result!P5</f>
        <v>200</v>
      </c>
      <c r="S5" s="202">
        <f>Result!Q5</f>
        <v>421</v>
      </c>
      <c r="T5" s="202">
        <f>Result!R5</f>
        <v>0</v>
      </c>
      <c r="U5" s="204">
        <f>Result!S5</f>
        <v>32947</v>
      </c>
      <c r="V5" s="204">
        <f>Result!T5</f>
        <v>31340</v>
      </c>
      <c r="W5" s="202">
        <f>Result!U5</f>
        <v>0</v>
      </c>
      <c r="X5" s="202">
        <f>Result!V5</f>
        <v>399</v>
      </c>
      <c r="Y5" s="202">
        <f>Result!W5</f>
        <v>0</v>
      </c>
      <c r="Z5" s="202">
        <f>Result!X5</f>
        <v>0</v>
      </c>
    </row>
    <row r="6" spans="1:26" x14ac:dyDescent="0.25">
      <c r="A6" s="207">
        <v>2011</v>
      </c>
      <c r="B6" s="208">
        <f>airport2019!G8</f>
        <v>25742.608311012078</v>
      </c>
      <c r="C6" s="208">
        <f>lagoon2019!E14</f>
        <v>6505.2521008403364</v>
      </c>
      <c r="D6" s="213">
        <f>Result!B6</f>
        <v>2100</v>
      </c>
      <c r="E6" s="208">
        <f>Result!C6</f>
        <v>3207.5</v>
      </c>
      <c r="F6" s="209">
        <f>Result!D6</f>
        <v>27813.7</v>
      </c>
      <c r="G6" s="210">
        <f>Result!E6</f>
        <v>4908.3</v>
      </c>
      <c r="H6" s="209">
        <f>Result!F6</f>
        <v>20742</v>
      </c>
      <c r="I6" s="210">
        <f>Result!G6</f>
        <v>4726</v>
      </c>
      <c r="J6" s="210">
        <f>Result!H6</f>
        <v>788</v>
      </c>
      <c r="K6" s="209">
        <f>Result!I6</f>
        <v>18170</v>
      </c>
      <c r="L6" s="210">
        <f>Result!J6</f>
        <v>6143</v>
      </c>
      <c r="M6" s="210">
        <f>Result!K6</f>
        <v>6878</v>
      </c>
      <c r="N6" s="210">
        <f>Result!L6</f>
        <v>257</v>
      </c>
      <c r="O6" s="210">
        <f>Result!M6</f>
        <v>2612</v>
      </c>
      <c r="P6" s="210">
        <f>Result!N6</f>
        <v>1140</v>
      </c>
      <c r="Q6" s="210">
        <f>Result!O6</f>
        <v>1030</v>
      </c>
      <c r="R6" s="210">
        <f>Result!P6</f>
        <v>220</v>
      </c>
      <c r="S6" s="210">
        <f>Result!Q6</f>
        <v>405</v>
      </c>
      <c r="T6" s="210">
        <f>Result!R6</f>
        <v>0</v>
      </c>
      <c r="U6" s="209">
        <f>Result!S6</f>
        <v>32973</v>
      </c>
      <c r="V6" s="209">
        <f>Result!T6</f>
        <v>32334</v>
      </c>
      <c r="W6" s="210">
        <f>Result!U6</f>
        <v>0</v>
      </c>
      <c r="X6" s="210">
        <f>Result!V6</f>
        <v>400</v>
      </c>
      <c r="Y6" s="210">
        <f>Result!W6</f>
        <v>0</v>
      </c>
      <c r="Z6" s="210">
        <f>Result!X6</f>
        <v>0</v>
      </c>
    </row>
    <row r="7" spans="1:26" x14ac:dyDescent="0.25">
      <c r="A7" s="59">
        <v>2012</v>
      </c>
      <c r="B7" s="206">
        <f>airport2019!G9</f>
        <v>25379.758212076144</v>
      </c>
      <c r="C7" s="206">
        <f>lagoon2019!E15</f>
        <v>6595.3781512605046</v>
      </c>
      <c r="D7" s="212">
        <f>Result!B7</f>
        <v>2200</v>
      </c>
      <c r="E7" s="206">
        <f>Result!C7</f>
        <v>3215</v>
      </c>
      <c r="F7" s="204">
        <f>Result!D7</f>
        <v>28297.35</v>
      </c>
      <c r="G7" s="202">
        <f>Result!E7</f>
        <v>4993.6499999999996</v>
      </c>
      <c r="H7" s="204">
        <f>Result!F7</f>
        <v>21248.25</v>
      </c>
      <c r="I7" s="202">
        <f>Result!G7</f>
        <v>5232.25</v>
      </c>
      <c r="J7" s="202">
        <f>Result!H7</f>
        <v>900.5</v>
      </c>
      <c r="K7" s="204">
        <f>Result!I7</f>
        <v>17687</v>
      </c>
      <c r="L7" s="202">
        <f>Result!J7</f>
        <v>5979</v>
      </c>
      <c r="M7" s="202">
        <f>Result!K7</f>
        <v>6695</v>
      </c>
      <c r="N7" s="202">
        <f>Result!L7</f>
        <v>251</v>
      </c>
      <c r="O7" s="202">
        <f>Result!M7</f>
        <v>2542</v>
      </c>
      <c r="P7" s="202">
        <f>Result!N7</f>
        <v>1110</v>
      </c>
      <c r="Q7" s="202">
        <f>Result!O7</f>
        <v>1003</v>
      </c>
      <c r="R7" s="202">
        <f>Result!P7</f>
        <v>240</v>
      </c>
      <c r="S7" s="202">
        <f>Result!Q7</f>
        <v>394</v>
      </c>
      <c r="T7" s="202">
        <f>Result!R7</f>
        <v>0</v>
      </c>
      <c r="U7" s="204">
        <f>Result!S7</f>
        <v>33000</v>
      </c>
      <c r="V7" s="204">
        <f>Result!T7</f>
        <v>31403</v>
      </c>
      <c r="W7" s="202">
        <f>Result!U7</f>
        <v>0</v>
      </c>
      <c r="X7" s="202">
        <f>Result!V7</f>
        <v>407</v>
      </c>
      <c r="Y7" s="202">
        <f>Result!W7</f>
        <v>0</v>
      </c>
      <c r="Z7" s="202">
        <f>Result!X7</f>
        <v>0</v>
      </c>
    </row>
    <row r="8" spans="1:26" x14ac:dyDescent="0.25">
      <c r="A8" s="59">
        <v>2013</v>
      </c>
      <c r="B8" s="206">
        <f>airport2019!G10</f>
        <v>25486.31187653145</v>
      </c>
      <c r="C8" s="206">
        <f>lagoon2019!E16</f>
        <v>6701.680672268908</v>
      </c>
      <c r="D8" s="212">
        <f>Result!B8</f>
        <v>2307.8947368421054</v>
      </c>
      <c r="E8" s="206">
        <f>Result!C8</f>
        <v>3222.5</v>
      </c>
      <c r="F8" s="204">
        <f>Result!D8</f>
        <v>30792.1</v>
      </c>
      <c r="G8" s="202">
        <f>Result!E8</f>
        <v>5433.9</v>
      </c>
      <c r="H8" s="204">
        <f>Result!F8</f>
        <v>20575.5</v>
      </c>
      <c r="I8" s="202">
        <f>Result!G8</f>
        <v>4559.5</v>
      </c>
      <c r="J8" s="202">
        <f>Result!H8</f>
        <v>751</v>
      </c>
      <c r="K8" s="204">
        <f>Result!I8</f>
        <v>17311</v>
      </c>
      <c r="L8" s="202">
        <f>Result!J8</f>
        <v>5852</v>
      </c>
      <c r="M8" s="202">
        <f>Result!K8</f>
        <v>6553</v>
      </c>
      <c r="N8" s="202">
        <f>Result!L8</f>
        <v>245</v>
      </c>
      <c r="O8" s="202">
        <f>Result!M8</f>
        <v>2488</v>
      </c>
      <c r="P8" s="202">
        <f>Result!N8</f>
        <v>1086</v>
      </c>
      <c r="Q8" s="202">
        <f>Result!O8</f>
        <v>981</v>
      </c>
      <c r="R8" s="202">
        <f>Result!P8</f>
        <v>260</v>
      </c>
      <c r="S8" s="202">
        <f>Result!Q8</f>
        <v>385</v>
      </c>
      <c r="T8" s="202">
        <f>Result!R8</f>
        <v>0</v>
      </c>
      <c r="U8" s="204">
        <f>Result!S8</f>
        <v>33026</v>
      </c>
      <c r="V8" s="204">
        <f>Result!T8</f>
        <v>30466</v>
      </c>
      <c r="W8" s="202">
        <f>Result!U8</f>
        <v>0</v>
      </c>
      <c r="X8" s="202">
        <f>Result!V8</f>
        <v>414</v>
      </c>
      <c r="Y8" s="202">
        <f>Result!W8</f>
        <v>0</v>
      </c>
      <c r="Z8" s="202">
        <f>Result!X8</f>
        <v>0</v>
      </c>
    </row>
    <row r="9" spans="1:26" x14ac:dyDescent="0.25">
      <c r="A9" s="59">
        <v>2014</v>
      </c>
      <c r="B9" s="206">
        <f>airport2019!G11</f>
        <v>26692.213114187056</v>
      </c>
      <c r="C9" s="206">
        <f>lagoon2019!E17</f>
        <v>6791.8067226890762</v>
      </c>
      <c r="D9" s="212">
        <f>Result!B9</f>
        <v>2415.7894736842109</v>
      </c>
      <c r="E9" s="206">
        <f>Result!C9</f>
        <v>3230</v>
      </c>
      <c r="F9" s="204">
        <f>Result!D9</f>
        <v>27202.55</v>
      </c>
      <c r="G9" s="202">
        <f>Result!E9</f>
        <v>4800.45</v>
      </c>
      <c r="H9" s="204">
        <f>Result!F9</f>
        <v>21037.65</v>
      </c>
      <c r="I9" s="202">
        <f>Result!G9</f>
        <v>5021.6499999999996</v>
      </c>
      <c r="J9" s="202">
        <f>Result!H9</f>
        <v>853.7</v>
      </c>
      <c r="K9" s="204">
        <f>Result!I9</f>
        <v>16525</v>
      </c>
      <c r="L9" s="202">
        <f>Result!J9</f>
        <v>5586</v>
      </c>
      <c r="M9" s="202">
        <f>Result!K9</f>
        <v>6255</v>
      </c>
      <c r="N9" s="202">
        <f>Result!L9</f>
        <v>234</v>
      </c>
      <c r="O9" s="202">
        <f>Result!M9</f>
        <v>2375</v>
      </c>
      <c r="P9" s="202">
        <f>Result!N9</f>
        <v>1037</v>
      </c>
      <c r="Q9" s="202">
        <f>Result!O9</f>
        <v>937</v>
      </c>
      <c r="R9" s="202">
        <f>Result!P9</f>
        <v>280</v>
      </c>
      <c r="S9" s="202">
        <f>Result!Q9</f>
        <v>368</v>
      </c>
      <c r="T9" s="202">
        <f>Result!R9</f>
        <v>0</v>
      </c>
      <c r="U9" s="204">
        <f>Result!S9</f>
        <v>33052</v>
      </c>
      <c r="V9" s="204">
        <f>Result!T9</f>
        <v>31168</v>
      </c>
      <c r="W9" s="202">
        <f>Result!U9</f>
        <v>0</v>
      </c>
      <c r="X9" s="202">
        <f>Result!V9</f>
        <v>421</v>
      </c>
      <c r="Y9" s="202">
        <f>Result!W9</f>
        <v>0</v>
      </c>
      <c r="Z9" s="202">
        <f>Result!X9</f>
        <v>0</v>
      </c>
    </row>
    <row r="10" spans="1:26" x14ac:dyDescent="0.25">
      <c r="A10" s="207">
        <v>2015</v>
      </c>
      <c r="B10" s="208">
        <f>airport2019!G12</f>
        <v>27954.019800703762</v>
      </c>
      <c r="C10" s="208">
        <f>lagoon2019!E18</f>
        <v>6898.1092436974795</v>
      </c>
      <c r="D10" s="213">
        <f>Result!B10</f>
        <v>2523.6842105263163</v>
      </c>
      <c r="E10" s="208">
        <f>Result!C10</f>
        <v>3237.5</v>
      </c>
      <c r="F10" s="209">
        <f>Result!D10</f>
        <v>27331.75</v>
      </c>
      <c r="G10" s="210">
        <f>Result!E10</f>
        <v>4823.25</v>
      </c>
      <c r="H10" s="209">
        <f>Result!F10</f>
        <v>20740.2</v>
      </c>
      <c r="I10" s="210">
        <f>Result!G10</f>
        <v>4724.2</v>
      </c>
      <c r="J10" s="210">
        <f>Result!H10</f>
        <v>787.6</v>
      </c>
      <c r="K10" s="209">
        <f>Result!I10</f>
        <v>15379</v>
      </c>
      <c r="L10" s="210">
        <f>Result!J10</f>
        <v>5199</v>
      </c>
      <c r="M10" s="210">
        <f>Result!K10</f>
        <v>5821</v>
      </c>
      <c r="N10" s="210">
        <f>Result!L10</f>
        <v>218</v>
      </c>
      <c r="O10" s="210">
        <f>Result!M10</f>
        <v>2210</v>
      </c>
      <c r="P10" s="210">
        <f>Result!N10</f>
        <v>965</v>
      </c>
      <c r="Q10" s="210">
        <f>Result!O10</f>
        <v>872</v>
      </c>
      <c r="R10" s="210">
        <f>Result!P10</f>
        <v>300</v>
      </c>
      <c r="S10" s="210">
        <f>Result!Q10</f>
        <v>342</v>
      </c>
      <c r="T10" s="210">
        <f>Result!R10</f>
        <v>0</v>
      </c>
      <c r="U10" s="209">
        <f>Result!S10</f>
        <v>33079</v>
      </c>
      <c r="V10" s="209">
        <f>Result!T10</f>
        <v>32457</v>
      </c>
      <c r="W10" s="210">
        <f>Result!U10</f>
        <v>680</v>
      </c>
      <c r="X10" s="210">
        <f>Result!V10</f>
        <v>428</v>
      </c>
      <c r="Y10" s="210">
        <f>Result!W10</f>
        <v>0</v>
      </c>
      <c r="Z10" s="210">
        <f>Result!X10</f>
        <v>0</v>
      </c>
    </row>
    <row r="11" spans="1:26" x14ac:dyDescent="0.25">
      <c r="A11" s="59">
        <v>2016</v>
      </c>
      <c r="B11" s="206">
        <f>airport2019!G13</f>
        <v>29234.8719636448</v>
      </c>
      <c r="C11" s="206">
        <f>lagoon2019!E19</f>
        <v>7034.453781512605</v>
      </c>
      <c r="D11" s="212">
        <f>Result!B11</f>
        <v>2631.5789473684217</v>
      </c>
      <c r="E11" s="206">
        <f>Result!C11</f>
        <v>3245</v>
      </c>
      <c r="F11" s="204">
        <f>Result!D11</f>
        <v>27583.35</v>
      </c>
      <c r="G11" s="202">
        <f>Result!E11</f>
        <v>4867.6499999999996</v>
      </c>
      <c r="H11" s="204">
        <f>Result!F11</f>
        <v>21183</v>
      </c>
      <c r="I11" s="202">
        <f>Result!G11</f>
        <v>5167</v>
      </c>
      <c r="J11" s="202">
        <f>Result!H11</f>
        <v>886</v>
      </c>
      <c r="K11" s="204">
        <f>Result!I11</f>
        <v>15874</v>
      </c>
      <c r="L11" s="202">
        <f>Result!J11</f>
        <v>5366</v>
      </c>
      <c r="M11" s="202">
        <f>Result!K11</f>
        <v>6009</v>
      </c>
      <c r="N11" s="202">
        <f>Result!L11</f>
        <v>225</v>
      </c>
      <c r="O11" s="202">
        <f>Result!M11</f>
        <v>2281</v>
      </c>
      <c r="P11" s="202">
        <f>Result!N11</f>
        <v>996</v>
      </c>
      <c r="Q11" s="202">
        <f>Result!O11</f>
        <v>900</v>
      </c>
      <c r="R11" s="202">
        <f>Result!P11</f>
        <v>320</v>
      </c>
      <c r="S11" s="202">
        <f>Result!Q11</f>
        <v>353</v>
      </c>
      <c r="T11" s="202">
        <f>Result!R11</f>
        <v>0</v>
      </c>
      <c r="U11" s="204">
        <f>Result!S11</f>
        <v>33105</v>
      </c>
      <c r="V11" s="204">
        <f>Result!T11</f>
        <v>33992</v>
      </c>
      <c r="W11" s="202">
        <f>Result!U11</f>
        <v>699</v>
      </c>
      <c r="X11" s="202">
        <f>Result!V11</f>
        <v>435</v>
      </c>
      <c r="Y11" s="202">
        <f>Result!W11</f>
        <v>0</v>
      </c>
      <c r="Z11" s="202">
        <f>Result!X11</f>
        <v>0</v>
      </c>
    </row>
    <row r="12" spans="1:26" x14ac:dyDescent="0.25">
      <c r="A12" s="59">
        <v>2017</v>
      </c>
      <c r="B12" s="206">
        <f>airport2019!G14</f>
        <v>30552.745704656161</v>
      </c>
      <c r="C12" s="206">
        <f>lagoon2019!E20</f>
        <v>7168.4873949579833</v>
      </c>
      <c r="D12" s="212">
        <f>Result!B12</f>
        <v>2739.4736842105272</v>
      </c>
      <c r="E12" s="206">
        <f>Result!C12</f>
        <v>3252.5</v>
      </c>
      <c r="F12" s="204">
        <f>Result!D12</f>
        <v>28180.05</v>
      </c>
      <c r="G12" s="202">
        <f>Result!E12</f>
        <v>4972.95</v>
      </c>
      <c r="H12" s="204">
        <f>Result!F12</f>
        <v>21697.35</v>
      </c>
      <c r="I12" s="202">
        <f>Result!G12</f>
        <v>5681.35</v>
      </c>
      <c r="J12" s="202">
        <f>Result!H12</f>
        <v>1000.3</v>
      </c>
      <c r="K12" s="204">
        <f>Result!I12</f>
        <v>15945</v>
      </c>
      <c r="L12" s="202">
        <f>Result!J12</f>
        <v>5390</v>
      </c>
      <c r="M12" s="202">
        <f>Result!K12</f>
        <v>6036</v>
      </c>
      <c r="N12" s="202">
        <f>Result!L12</f>
        <v>226</v>
      </c>
      <c r="O12" s="202">
        <f>Result!M12</f>
        <v>2292</v>
      </c>
      <c r="P12" s="202">
        <f>Result!N12</f>
        <v>1001</v>
      </c>
      <c r="Q12" s="202">
        <f>Result!O12</f>
        <v>904</v>
      </c>
      <c r="R12" s="202">
        <f>Result!P12</f>
        <v>340</v>
      </c>
      <c r="S12" s="202">
        <f>Result!Q12</f>
        <v>355</v>
      </c>
      <c r="T12" s="202">
        <f>Result!R12</f>
        <v>0</v>
      </c>
      <c r="U12" s="204">
        <f>Result!S12</f>
        <v>33131</v>
      </c>
      <c r="V12" s="204">
        <f>Result!T12</f>
        <v>36625</v>
      </c>
      <c r="W12" s="202">
        <f>Result!U12</f>
        <v>718</v>
      </c>
      <c r="X12" s="202">
        <f>Result!V12</f>
        <v>442</v>
      </c>
      <c r="Y12" s="202">
        <f>Result!W12</f>
        <v>0</v>
      </c>
      <c r="Z12" s="202">
        <f>Result!X12</f>
        <v>0</v>
      </c>
    </row>
    <row r="13" spans="1:26" x14ac:dyDescent="0.25">
      <c r="A13" s="59">
        <v>2018</v>
      </c>
      <c r="B13" s="206">
        <f>airport2019!G15</f>
        <v>32263.357749004736</v>
      </c>
      <c r="C13" s="206">
        <f>lagoon2019!E21</f>
        <v>7300.2100840336134</v>
      </c>
      <c r="D13" s="212">
        <f>Result!B13</f>
        <v>2847.3684210526326</v>
      </c>
      <c r="E13" s="206">
        <f>Result!C13</f>
        <v>3260</v>
      </c>
      <c r="F13" s="204">
        <f>Result!D13</f>
        <v>29109.95</v>
      </c>
      <c r="G13" s="202">
        <f>Result!E13</f>
        <v>5137.05</v>
      </c>
      <c r="H13" s="204">
        <f>Result!F13</f>
        <v>22755.250968598535</v>
      </c>
      <c r="I13" s="202">
        <f>Result!G13</f>
        <v>6739.2509685985378</v>
      </c>
      <c r="J13" s="202">
        <f>Result!H13</f>
        <v>1235.3891041330085</v>
      </c>
      <c r="K13" s="204">
        <f>Result!I13</f>
        <v>16295</v>
      </c>
      <c r="L13" s="202">
        <f>Result!J13</f>
        <v>5508</v>
      </c>
      <c r="M13" s="202">
        <f>Result!K13</f>
        <v>6168</v>
      </c>
      <c r="N13" s="202">
        <f>Result!L13</f>
        <v>231</v>
      </c>
      <c r="O13" s="202">
        <f>Result!M13</f>
        <v>2342</v>
      </c>
      <c r="P13" s="202">
        <f>Result!N13</f>
        <v>1023</v>
      </c>
      <c r="Q13" s="202">
        <f>Result!O13</f>
        <v>924</v>
      </c>
      <c r="R13" s="202">
        <f>Result!P13</f>
        <v>360</v>
      </c>
      <c r="S13" s="202">
        <f>Result!Q13</f>
        <v>363</v>
      </c>
      <c r="T13" s="202">
        <f>Result!R13</f>
        <v>0</v>
      </c>
      <c r="U13" s="204">
        <f>Result!S13</f>
        <v>33158</v>
      </c>
      <c r="V13" s="204">
        <f>Result!T13</f>
        <v>36557.193392000001</v>
      </c>
      <c r="W13" s="202">
        <f>Result!U13</f>
        <v>737</v>
      </c>
      <c r="X13" s="202">
        <f>Result!V13</f>
        <v>448</v>
      </c>
      <c r="Y13" s="202">
        <f>Result!W13</f>
        <v>0</v>
      </c>
      <c r="Z13" s="202">
        <f>Result!X13</f>
        <v>0</v>
      </c>
    </row>
    <row r="14" spans="1:26" x14ac:dyDescent="0.25">
      <c r="A14" s="59">
        <v>2019</v>
      </c>
      <c r="B14" s="206">
        <f>airport2019!G16</f>
        <v>32699.508990457951</v>
      </c>
      <c r="C14" s="206">
        <f>lagoon2019!E22</f>
        <v>7434.2436974789916</v>
      </c>
      <c r="D14" s="212">
        <f>Result!B14</f>
        <v>2955.263157894738</v>
      </c>
      <c r="E14" s="206">
        <f>Result!C14</f>
        <v>3267.5</v>
      </c>
      <c r="F14" s="204">
        <f>Result!D14</f>
        <v>29959.1</v>
      </c>
      <c r="G14" s="202">
        <f>Result!E14</f>
        <v>5286.9</v>
      </c>
      <c r="H14" s="204">
        <f>Result!F14</f>
        <v>23382.042430958551</v>
      </c>
      <c r="I14" s="202">
        <f>Result!G14</f>
        <v>7366.0424309585551</v>
      </c>
      <c r="J14" s="202">
        <f>Result!H14</f>
        <v>1374.6760957685678</v>
      </c>
      <c r="K14" s="204">
        <f>Result!I14</f>
        <v>16627</v>
      </c>
      <c r="L14" s="202">
        <f>Result!J14</f>
        <v>5621</v>
      </c>
      <c r="M14" s="202">
        <f>Result!K14</f>
        <v>6294</v>
      </c>
      <c r="N14" s="202">
        <f>Result!L14</f>
        <v>236</v>
      </c>
      <c r="O14" s="202">
        <f>Result!M14</f>
        <v>2390</v>
      </c>
      <c r="P14" s="202">
        <f>Result!N14</f>
        <v>1043</v>
      </c>
      <c r="Q14" s="202">
        <f>Result!O14</f>
        <v>942</v>
      </c>
      <c r="R14" s="202">
        <f>Result!P14</f>
        <v>380</v>
      </c>
      <c r="S14" s="202">
        <f>Result!Q14</f>
        <v>370</v>
      </c>
      <c r="T14" s="202">
        <f>Result!R14</f>
        <v>0</v>
      </c>
      <c r="U14" s="204">
        <f>Result!S14</f>
        <v>33184</v>
      </c>
      <c r="V14" s="204">
        <f>Result!T14</f>
        <v>37930.642820720001</v>
      </c>
      <c r="W14" s="202">
        <f>Result!U14</f>
        <v>755</v>
      </c>
      <c r="X14" s="202">
        <f>Result!V14</f>
        <v>455</v>
      </c>
      <c r="Y14" s="202">
        <f>Result!W14</f>
        <v>0</v>
      </c>
      <c r="Z14" s="202">
        <f>Result!X14</f>
        <v>0</v>
      </c>
    </row>
    <row r="15" spans="1:26" x14ac:dyDescent="0.25">
      <c r="A15" s="207">
        <v>2020</v>
      </c>
      <c r="B15" s="208">
        <f>airport2019!G17</f>
        <v>33141.556329487277</v>
      </c>
      <c r="C15" s="208">
        <f>lagoon2019!E23</f>
        <v>7565.9663865546217</v>
      </c>
      <c r="D15" s="213">
        <f>Result!B15</f>
        <v>3063.1578947368434</v>
      </c>
      <c r="E15" s="208">
        <f>Result!C15</f>
        <v>3275</v>
      </c>
      <c r="F15" s="209">
        <f>Result!D15</f>
        <v>30666.3</v>
      </c>
      <c r="G15" s="210">
        <f>Result!E15</f>
        <v>5411.7</v>
      </c>
      <c r="H15" s="209">
        <f>Result!F15</f>
        <v>24004.266563283047</v>
      </c>
      <c r="I15" s="210">
        <f>Result!G15</f>
        <v>7988.2665632830522</v>
      </c>
      <c r="J15" s="210">
        <f>Result!H15</f>
        <v>1512.9481251740117</v>
      </c>
      <c r="K15" s="209">
        <f>Result!I15</f>
        <v>16968</v>
      </c>
      <c r="L15" s="210">
        <f>Result!J15</f>
        <v>5736</v>
      </c>
      <c r="M15" s="210">
        <f>Result!K15</f>
        <v>6423</v>
      </c>
      <c r="N15" s="210">
        <f>Result!L15</f>
        <v>240</v>
      </c>
      <c r="O15" s="210">
        <f>Result!M15</f>
        <v>2439</v>
      </c>
      <c r="P15" s="210">
        <f>Result!N15</f>
        <v>1065</v>
      </c>
      <c r="Q15" s="210">
        <f>Result!O15</f>
        <v>962</v>
      </c>
      <c r="R15" s="210">
        <f>Result!P15</f>
        <v>400</v>
      </c>
      <c r="S15" s="210">
        <f>Result!Q15</f>
        <v>378</v>
      </c>
      <c r="T15" s="210">
        <f>Result!R15</f>
        <v>0</v>
      </c>
      <c r="U15" s="209">
        <f>Result!S15</f>
        <v>33210</v>
      </c>
      <c r="V15" s="209">
        <f>Result!T15</f>
        <v>39358.186209744134</v>
      </c>
      <c r="W15" s="210">
        <f>Result!U15</f>
        <v>774</v>
      </c>
      <c r="X15" s="210">
        <f>Result!V15</f>
        <v>462</v>
      </c>
      <c r="Y15" s="210">
        <f>Result!W15</f>
        <v>0</v>
      </c>
      <c r="Z15" s="210">
        <f>Result!X15</f>
        <v>0</v>
      </c>
    </row>
    <row r="16" spans="1:26" x14ac:dyDescent="0.25">
      <c r="A16" s="59">
        <v>2021</v>
      </c>
      <c r="B16" s="206">
        <f>airport2019!G18</f>
        <v>33589.579472312311</v>
      </c>
      <c r="C16" s="206">
        <f>lagoon2019!E24</f>
        <v>7717.4033245132496</v>
      </c>
      <c r="D16" s="212">
        <f>Result!B16</f>
        <v>3171.0526315789489</v>
      </c>
      <c r="E16" s="206">
        <f>Result!C16</f>
        <v>3282.5</v>
      </c>
      <c r="F16" s="204">
        <f>Result!D16</f>
        <v>30990.149999999998</v>
      </c>
      <c r="G16" s="202">
        <f>Result!E16</f>
        <v>5468.8499999999995</v>
      </c>
      <c r="H16" s="204">
        <f>Result!F16</f>
        <v>24610.161216986682</v>
      </c>
      <c r="I16" s="202">
        <f>Result!G16</f>
        <v>8594.1612169866876</v>
      </c>
      <c r="J16" s="202">
        <f>Result!H16</f>
        <v>1647.5913815525973</v>
      </c>
      <c r="K16" s="204">
        <f>Result!I16</f>
        <v>17316</v>
      </c>
      <c r="L16" s="202">
        <f>Result!J16</f>
        <v>5854</v>
      </c>
      <c r="M16" s="202">
        <f>Result!K16</f>
        <v>6555</v>
      </c>
      <c r="N16" s="202">
        <f>Result!L16</f>
        <v>245</v>
      </c>
      <c r="O16" s="202">
        <f>Result!M16</f>
        <v>2489</v>
      </c>
      <c r="P16" s="202">
        <f>Result!N16</f>
        <v>1087</v>
      </c>
      <c r="Q16" s="202">
        <f>Result!O16</f>
        <v>981</v>
      </c>
      <c r="R16" s="202">
        <f>Result!P16</f>
        <v>420</v>
      </c>
      <c r="S16" s="202">
        <f>Result!Q16</f>
        <v>386</v>
      </c>
      <c r="T16" s="202">
        <f>Result!R16</f>
        <v>0</v>
      </c>
      <c r="U16" s="204">
        <f>Result!S16</f>
        <v>33237</v>
      </c>
      <c r="V16" s="204">
        <f>Result!T16</f>
        <v>40617.820987142404</v>
      </c>
      <c r="W16" s="202">
        <f>Result!U16</f>
        <v>793</v>
      </c>
      <c r="X16" s="202">
        <f>Result!V16</f>
        <v>469</v>
      </c>
      <c r="Y16" s="202">
        <f>Result!W16</f>
        <v>0</v>
      </c>
      <c r="Z16" s="202">
        <f>Result!X16</f>
        <v>0</v>
      </c>
    </row>
    <row r="17" spans="1:26" x14ac:dyDescent="0.25">
      <c r="A17" s="59">
        <v>2022</v>
      </c>
      <c r="B17" s="206">
        <f>airport2019!G19</f>
        <v>34043.659202658804</v>
      </c>
      <c r="C17" s="206">
        <f>lagoon2019!E25</f>
        <v>7871.8713552638092</v>
      </c>
      <c r="D17" s="212">
        <f>Result!B17</f>
        <v>3278.9473684210543</v>
      </c>
      <c r="E17" s="206">
        <f>Result!C17</f>
        <v>3290</v>
      </c>
      <c r="F17" s="204">
        <f>Result!D17</f>
        <v>31236.649999999998</v>
      </c>
      <c r="G17" s="202">
        <f>Result!E17</f>
        <v>5512.3499999999995</v>
      </c>
      <c r="H17" s="204">
        <f>Result!F17</f>
        <v>25193.796954924441</v>
      </c>
      <c r="I17" s="202">
        <f>Result!G17</f>
        <v>9177.7969549244463</v>
      </c>
      <c r="J17" s="202">
        <f>Result!H17</f>
        <v>1777.2882122054327</v>
      </c>
      <c r="K17" s="204">
        <f>Result!I17</f>
        <v>17665</v>
      </c>
      <c r="L17" s="202">
        <f>Result!J17</f>
        <v>5972</v>
      </c>
      <c r="M17" s="202">
        <f>Result!K17</f>
        <v>6687</v>
      </c>
      <c r="N17" s="202">
        <f>Result!L17</f>
        <v>250</v>
      </c>
      <c r="O17" s="202">
        <f>Result!M17</f>
        <v>2539</v>
      </c>
      <c r="P17" s="202">
        <f>Result!N17</f>
        <v>1109</v>
      </c>
      <c r="Q17" s="202">
        <f>Result!O17</f>
        <v>1001</v>
      </c>
      <c r="R17" s="202">
        <f>Result!P17</f>
        <v>440</v>
      </c>
      <c r="S17" s="202">
        <f>Result!Q17</f>
        <v>393</v>
      </c>
      <c r="T17" s="202">
        <f>Result!R17</f>
        <v>0</v>
      </c>
      <c r="U17" s="204">
        <f>Result!S17</f>
        <v>33263</v>
      </c>
      <c r="V17" s="204">
        <f>Result!T17</f>
        <v>42059.166639471514</v>
      </c>
      <c r="W17" s="202">
        <f>Result!U17</f>
        <v>812</v>
      </c>
      <c r="X17" s="202">
        <f>Result!V17</f>
        <v>476</v>
      </c>
      <c r="Y17" s="202">
        <f>Result!W17</f>
        <v>0</v>
      </c>
      <c r="Z17" s="202">
        <f>Result!X17</f>
        <v>0</v>
      </c>
    </row>
    <row r="18" spans="1:26" x14ac:dyDescent="0.25">
      <c r="A18" s="59">
        <v>2023</v>
      </c>
      <c r="B18" s="206">
        <f>airport2019!G20</f>
        <v>34503.877396324897</v>
      </c>
      <c r="C18" s="206">
        <f>lagoon2019!E26</f>
        <v>8029.4311477793872</v>
      </c>
      <c r="D18" s="212">
        <f>Result!B18</f>
        <v>3386.8421052631597</v>
      </c>
      <c r="E18" s="206">
        <f>Result!C18</f>
        <v>3297.5</v>
      </c>
      <c r="F18" s="204">
        <f>Result!D18</f>
        <v>31499.3</v>
      </c>
      <c r="G18" s="202">
        <f>Result!E18</f>
        <v>5558.7</v>
      </c>
      <c r="H18" s="204">
        <f>Result!F18</f>
        <v>25753.622762993153</v>
      </c>
      <c r="I18" s="202">
        <f>Result!G18</f>
        <v>9737.62276299316</v>
      </c>
      <c r="J18" s="202">
        <f>Result!H18</f>
        <v>1901.6939473318134</v>
      </c>
      <c r="K18" s="204">
        <f>Result!I18</f>
        <v>18015</v>
      </c>
      <c r="L18" s="202">
        <f>Result!J18</f>
        <v>6090</v>
      </c>
      <c r="M18" s="202">
        <f>Result!K18</f>
        <v>6820</v>
      </c>
      <c r="N18" s="202">
        <f>Result!L18</f>
        <v>255</v>
      </c>
      <c r="O18" s="202">
        <f>Result!M18</f>
        <v>2589</v>
      </c>
      <c r="P18" s="202">
        <f>Result!N18</f>
        <v>1131</v>
      </c>
      <c r="Q18" s="202">
        <f>Result!O18</f>
        <v>1021</v>
      </c>
      <c r="R18" s="202">
        <f>Result!P18</f>
        <v>460</v>
      </c>
      <c r="S18" s="202">
        <f>Result!Q18</f>
        <v>401</v>
      </c>
      <c r="T18" s="202">
        <f>Result!R18</f>
        <v>0</v>
      </c>
      <c r="U18" s="204">
        <f>Result!S18</f>
        <v>33289</v>
      </c>
      <c r="V18" s="204">
        <f>Result!T18</f>
        <v>43355.775515979272</v>
      </c>
      <c r="W18" s="202">
        <f>Result!U18</f>
        <v>831</v>
      </c>
      <c r="X18" s="202">
        <f>Result!V18</f>
        <v>483</v>
      </c>
      <c r="Y18" s="202">
        <f>Result!W18</f>
        <v>200</v>
      </c>
      <c r="Z18" s="202">
        <f>Result!X18</f>
        <v>0</v>
      </c>
    </row>
    <row r="19" spans="1:26" x14ac:dyDescent="0.25">
      <c r="A19" s="59">
        <v>2024</v>
      </c>
      <c r="B19" s="206">
        <f>airport2019!G21</f>
        <v>34970.317035944267</v>
      </c>
      <c r="C19" s="206">
        <f>lagoon2019!E27</f>
        <v>8190.1445853556088</v>
      </c>
      <c r="D19" s="212">
        <f>Result!B19</f>
        <v>3494.7368421052652</v>
      </c>
      <c r="E19" s="206">
        <f>Result!C19</f>
        <v>3305</v>
      </c>
      <c r="F19" s="204">
        <f>Result!D19</f>
        <v>31885.200000000001</v>
      </c>
      <c r="G19" s="202">
        <f>Result!E19</f>
        <v>5626.8</v>
      </c>
      <c r="H19" s="204">
        <f>Result!F19</f>
        <v>26291.058944564542</v>
      </c>
      <c r="I19" s="202">
        <f>Result!G19</f>
        <v>10275.058944564549</v>
      </c>
      <c r="J19" s="202">
        <f>Result!H19</f>
        <v>2021.1242099032331</v>
      </c>
      <c r="K19" s="204">
        <f>Result!I19</f>
        <v>18361</v>
      </c>
      <c r="L19" s="202">
        <f>Result!J19</f>
        <v>6207</v>
      </c>
      <c r="M19" s="202">
        <f>Result!K19</f>
        <v>6950</v>
      </c>
      <c r="N19" s="202">
        <f>Result!L19</f>
        <v>260</v>
      </c>
      <c r="O19" s="202">
        <f>Result!M19</f>
        <v>2639</v>
      </c>
      <c r="P19" s="202">
        <f>Result!N19</f>
        <v>1152</v>
      </c>
      <c r="Q19" s="202">
        <f>Result!O19</f>
        <v>1041</v>
      </c>
      <c r="R19" s="202">
        <f>Result!P19</f>
        <v>480</v>
      </c>
      <c r="S19" s="202">
        <f>Result!Q19</f>
        <v>409</v>
      </c>
      <c r="T19" s="202">
        <f>Result!R19</f>
        <v>400</v>
      </c>
      <c r="U19" s="204">
        <f>Result!S19</f>
        <v>33316</v>
      </c>
      <c r="V19" s="204">
        <f>Result!T19</f>
        <v>44856.207744916923</v>
      </c>
      <c r="W19" s="202">
        <f>Result!U19</f>
        <v>850</v>
      </c>
      <c r="X19" s="202">
        <f>Result!V19</f>
        <v>490</v>
      </c>
      <c r="Y19" s="202">
        <f>Result!W19</f>
        <v>254.62962962962962</v>
      </c>
      <c r="Z19" s="202">
        <f>Result!X19</f>
        <v>0</v>
      </c>
    </row>
    <row r="20" spans="1:26" x14ac:dyDescent="0.25">
      <c r="A20" s="59">
        <v>2025</v>
      </c>
      <c r="B20" s="206">
        <f>airport2019!G22</f>
        <v>35443.062225948866</v>
      </c>
      <c r="C20" s="206">
        <f>lagoon2019!E28</f>
        <v>8354.0747899159669</v>
      </c>
      <c r="D20" s="212">
        <f>Result!B20</f>
        <v>3602.6315789473706</v>
      </c>
      <c r="E20" s="206">
        <f>Result!C20</f>
        <v>3312.5</v>
      </c>
      <c r="F20" s="204">
        <f>Result!D20</f>
        <v>32363.75</v>
      </c>
      <c r="G20" s="202">
        <f>Result!E20</f>
        <v>5711.25</v>
      </c>
      <c r="H20" s="204">
        <f>Result!F20</f>
        <v>26809.20798500429</v>
      </c>
      <c r="I20" s="202">
        <f>Result!G20</f>
        <v>10793.207985004297</v>
      </c>
      <c r="J20" s="202">
        <f>Result!H20</f>
        <v>2136.2684411120663</v>
      </c>
      <c r="K20" s="204">
        <f>Result!I20</f>
        <v>18707</v>
      </c>
      <c r="L20" s="202">
        <f>Result!J20</f>
        <v>6324</v>
      </c>
      <c r="M20" s="202">
        <f>Result!K20</f>
        <v>7082</v>
      </c>
      <c r="N20" s="202">
        <f>Result!L20</f>
        <v>265</v>
      </c>
      <c r="O20" s="202">
        <f>Result!M20</f>
        <v>2689</v>
      </c>
      <c r="P20" s="202">
        <f>Result!N20</f>
        <v>1174</v>
      </c>
      <c r="Q20" s="202">
        <f>Result!O20</f>
        <v>1060</v>
      </c>
      <c r="R20" s="202">
        <f>Result!P20</f>
        <v>500</v>
      </c>
      <c r="S20" s="202">
        <f>Result!Q20</f>
        <v>417</v>
      </c>
      <c r="T20" s="202">
        <f>Result!R20</f>
        <v>624</v>
      </c>
      <c r="U20" s="204">
        <f>Result!S20</f>
        <v>33342</v>
      </c>
      <c r="V20" s="204">
        <f>Result!T20</f>
        <v>46416.372647394295</v>
      </c>
      <c r="W20" s="202">
        <f>Result!U20</f>
        <v>869</v>
      </c>
      <c r="X20" s="202">
        <f>Result!V20</f>
        <v>497</v>
      </c>
      <c r="Y20" s="202">
        <f>Result!W20</f>
        <v>309.25925925925924</v>
      </c>
      <c r="Z20" s="202">
        <f>Result!X20</f>
        <v>0</v>
      </c>
    </row>
    <row r="21" spans="1:26" x14ac:dyDescent="0.25">
      <c r="A21" s="59">
        <v>2026</v>
      </c>
      <c r="B21" s="206">
        <f>airport2019!G23</f>
        <v>35922.198207733898</v>
      </c>
      <c r="C21" s="206">
        <f>lagoon2019!E29</f>
        <v>8475.9275321846944</v>
      </c>
      <c r="D21" s="212">
        <f>Result!B21</f>
        <v>3710.526315789476</v>
      </c>
      <c r="E21" s="206">
        <f>Result!C21</f>
        <v>3320</v>
      </c>
      <c r="F21" s="204">
        <f>Result!D21</f>
        <v>32839.75</v>
      </c>
      <c r="G21" s="202">
        <f>Result!E21</f>
        <v>5795.25</v>
      </c>
      <c r="H21" s="204">
        <f>Result!F21</f>
        <v>27265.626907905618</v>
      </c>
      <c r="I21" s="202">
        <f>Result!G21</f>
        <v>11249.626907905627</v>
      </c>
      <c r="J21" s="202">
        <f>Result!H21</f>
        <v>2237.6948684234731</v>
      </c>
      <c r="K21" s="204">
        <f>Result!I21</f>
        <v>19050</v>
      </c>
      <c r="L21" s="202">
        <f>Result!J21</f>
        <v>6440</v>
      </c>
      <c r="M21" s="202">
        <f>Result!K21</f>
        <v>7211</v>
      </c>
      <c r="N21" s="202">
        <f>Result!L21</f>
        <v>270</v>
      </c>
      <c r="O21" s="202">
        <f>Result!M21</f>
        <v>2738</v>
      </c>
      <c r="P21" s="202">
        <f>Result!N21</f>
        <v>1195</v>
      </c>
      <c r="Q21" s="202">
        <f>Result!O21</f>
        <v>1080</v>
      </c>
      <c r="R21" s="202">
        <f>Result!P21</f>
        <v>520</v>
      </c>
      <c r="S21" s="202">
        <f>Result!Q21</f>
        <v>424</v>
      </c>
      <c r="T21" s="202">
        <f>Result!R21</f>
        <v>848</v>
      </c>
      <c r="U21" s="204">
        <f>Result!S21</f>
        <v>33368</v>
      </c>
      <c r="V21" s="204">
        <f>Result!T21</f>
        <v>48040.111111111109</v>
      </c>
      <c r="W21" s="202">
        <f>Result!U21</f>
        <v>887</v>
      </c>
      <c r="X21" s="202">
        <f>Result!V21</f>
        <v>504</v>
      </c>
      <c r="Y21" s="202">
        <f>Result!W21</f>
        <v>363.88888888888886</v>
      </c>
      <c r="Z21" s="202">
        <f>Result!X21</f>
        <v>0</v>
      </c>
    </row>
    <row r="22" spans="1:26" x14ac:dyDescent="0.25">
      <c r="A22" s="59">
        <v>2027</v>
      </c>
      <c r="B22" s="206">
        <f>airport2019!G24</f>
        <v>36407.811375027835</v>
      </c>
      <c r="C22" s="206">
        <f>lagoon2019!E30</f>
        <v>8599.5576215770488</v>
      </c>
      <c r="D22" s="212">
        <f>Result!B22</f>
        <v>3818.4210526315815</v>
      </c>
      <c r="E22" s="206">
        <f>Result!C22</f>
        <v>3327.5</v>
      </c>
      <c r="F22" s="204">
        <f>Result!D22</f>
        <v>33274.1</v>
      </c>
      <c r="G22" s="202">
        <f>Result!E22</f>
        <v>5871.9</v>
      </c>
      <c r="H22" s="204">
        <f>Result!F22</f>
        <v>27308</v>
      </c>
      <c r="I22" s="202">
        <f>Result!G22</f>
        <v>11292</v>
      </c>
      <c r="J22" s="202">
        <f>Result!H22</f>
        <v>2247</v>
      </c>
      <c r="K22" s="204">
        <f>Result!I22</f>
        <v>19603</v>
      </c>
      <c r="L22" s="202">
        <f>Result!J22</f>
        <v>6627</v>
      </c>
      <c r="M22" s="202">
        <f>Result!K22</f>
        <v>7420</v>
      </c>
      <c r="N22" s="202">
        <f>Result!L22</f>
        <v>278</v>
      </c>
      <c r="O22" s="202">
        <f>Result!M22</f>
        <v>2817</v>
      </c>
      <c r="P22" s="202">
        <f>Result!N22</f>
        <v>1230</v>
      </c>
      <c r="Q22" s="202">
        <f>Result!O22</f>
        <v>1111</v>
      </c>
      <c r="R22" s="202">
        <f>Result!P22</f>
        <v>540</v>
      </c>
      <c r="S22" s="202">
        <f>Result!Q22</f>
        <v>436</v>
      </c>
      <c r="T22" s="202">
        <f>Result!R22</f>
        <v>1072</v>
      </c>
      <c r="U22" s="204">
        <f>Result!S22</f>
        <v>33395</v>
      </c>
      <c r="V22" s="204">
        <f>Result!T22</f>
        <v>48648.439814814818</v>
      </c>
      <c r="W22" s="202">
        <f>Result!U22</f>
        <v>906</v>
      </c>
      <c r="X22" s="202">
        <f>Result!V22</f>
        <v>511</v>
      </c>
      <c r="Y22" s="202">
        <f>Result!W22</f>
        <v>418.51851851851848</v>
      </c>
      <c r="Z22" s="202">
        <f>Result!X22</f>
        <v>0</v>
      </c>
    </row>
    <row r="23" spans="1:26" x14ac:dyDescent="0.25">
      <c r="A23" s="59">
        <v>2028</v>
      </c>
      <c r="B23" s="206">
        <f>airport2019!G25</f>
        <v>36899.989289470192</v>
      </c>
      <c r="C23" s="206">
        <f>lagoon2019!E31</f>
        <v>8724.9909825222949</v>
      </c>
      <c r="D23" s="212">
        <f>Result!B23</f>
        <v>3926.3157894736869</v>
      </c>
      <c r="E23" s="206">
        <f>Result!C23</f>
        <v>3335</v>
      </c>
      <c r="F23" s="204">
        <f>Result!D23</f>
        <v>33666.799999999996</v>
      </c>
      <c r="G23" s="202">
        <f>Result!E23</f>
        <v>5941.2</v>
      </c>
      <c r="H23" s="204">
        <f>Result!F23</f>
        <v>27350</v>
      </c>
      <c r="I23" s="202">
        <f>Result!G23</f>
        <v>11334</v>
      </c>
      <c r="J23" s="202">
        <f>Result!H23</f>
        <v>2256</v>
      </c>
      <c r="K23" s="204">
        <f>Result!I23</f>
        <v>20155</v>
      </c>
      <c r="L23" s="202">
        <f>Result!J23</f>
        <v>6814</v>
      </c>
      <c r="M23" s="202">
        <f>Result!K23</f>
        <v>7630</v>
      </c>
      <c r="N23" s="202">
        <f>Result!L23</f>
        <v>286</v>
      </c>
      <c r="O23" s="202">
        <f>Result!M23</f>
        <v>2897</v>
      </c>
      <c r="P23" s="202">
        <f>Result!N23</f>
        <v>1265</v>
      </c>
      <c r="Q23" s="202">
        <f>Result!O23</f>
        <v>1142</v>
      </c>
      <c r="R23" s="202">
        <f>Result!P23</f>
        <v>560</v>
      </c>
      <c r="S23" s="202">
        <f>Result!Q23</f>
        <v>449</v>
      </c>
      <c r="T23" s="202">
        <f>Result!R23</f>
        <v>1296</v>
      </c>
      <c r="U23" s="204">
        <f>Result!S23</f>
        <v>33421</v>
      </c>
      <c r="V23" s="204">
        <f>Result!T23</f>
        <v>49256.768518518518</v>
      </c>
      <c r="W23" s="202">
        <f>Result!U23</f>
        <v>925</v>
      </c>
      <c r="X23" s="202">
        <f>Result!V23</f>
        <v>518</v>
      </c>
      <c r="Y23" s="202">
        <f>Result!W23</f>
        <v>473.1481481481481</v>
      </c>
      <c r="Z23" s="202">
        <f>Result!X23</f>
        <v>0</v>
      </c>
    </row>
    <row r="24" spans="1:26" x14ac:dyDescent="0.25">
      <c r="A24" s="59">
        <v>2029</v>
      </c>
      <c r="B24" s="206">
        <f>airport2019!G26</f>
        <v>37398.820696399904</v>
      </c>
      <c r="C24" s="206">
        <f>lagoon2019!E32</f>
        <v>8852.2539175840666</v>
      </c>
      <c r="D24" s="212">
        <f>Result!B24</f>
        <v>4034.2105263157923</v>
      </c>
      <c r="E24" s="206">
        <f>Result!C24</f>
        <v>3342.5</v>
      </c>
      <c r="F24" s="204">
        <f>Result!D24</f>
        <v>34017.85</v>
      </c>
      <c r="G24" s="202">
        <f>Result!E24</f>
        <v>6003.15</v>
      </c>
      <c r="H24" s="204">
        <f>Result!F24</f>
        <v>27392</v>
      </c>
      <c r="I24" s="202">
        <f>Result!G24</f>
        <v>11376</v>
      </c>
      <c r="J24" s="202">
        <f>Result!H24</f>
        <v>2266</v>
      </c>
      <c r="K24" s="204">
        <f>Result!I24</f>
        <v>20707</v>
      </c>
      <c r="L24" s="202">
        <f>Result!J24</f>
        <v>7000</v>
      </c>
      <c r="M24" s="202">
        <f>Result!K24</f>
        <v>7839</v>
      </c>
      <c r="N24" s="202">
        <f>Result!L24</f>
        <v>293</v>
      </c>
      <c r="O24" s="202">
        <f>Result!M24</f>
        <v>2976</v>
      </c>
      <c r="P24" s="202">
        <f>Result!N24</f>
        <v>1299</v>
      </c>
      <c r="Q24" s="202">
        <f>Result!O24</f>
        <v>1174</v>
      </c>
      <c r="R24" s="202">
        <f>Result!P24</f>
        <v>580</v>
      </c>
      <c r="S24" s="202">
        <f>Result!Q24</f>
        <v>461</v>
      </c>
      <c r="T24" s="202">
        <f>Result!R24</f>
        <v>1520</v>
      </c>
      <c r="U24" s="204">
        <f>Result!S24</f>
        <v>33447</v>
      </c>
      <c r="V24" s="204">
        <f>Result!T24</f>
        <v>49865.097222222219</v>
      </c>
      <c r="W24" s="202">
        <f>Result!U24</f>
        <v>944</v>
      </c>
      <c r="X24" s="202">
        <f>Result!V24</f>
        <v>525</v>
      </c>
      <c r="Y24" s="202">
        <f>Result!W24</f>
        <v>527.77777777777771</v>
      </c>
      <c r="Z24" s="202">
        <f>Result!X24</f>
        <v>0</v>
      </c>
    </row>
    <row r="25" spans="1:26" x14ac:dyDescent="0.25">
      <c r="A25" s="207">
        <v>2030</v>
      </c>
      <c r="B25" s="208">
        <f>airport2019!G27</f>
        <v>37904.395540857135</v>
      </c>
      <c r="C25" s="208">
        <f>lagoon2019!E33</f>
        <v>8981.3731129758471</v>
      </c>
      <c r="D25" s="213">
        <f>Result!B25</f>
        <v>4142.1052631578978</v>
      </c>
      <c r="E25" s="208">
        <f>Result!C25</f>
        <v>3350</v>
      </c>
      <c r="F25" s="209">
        <f>Result!D25</f>
        <v>34327.25</v>
      </c>
      <c r="G25" s="210">
        <f>Result!E25</f>
        <v>6057.75</v>
      </c>
      <c r="H25" s="209">
        <f>Result!F25</f>
        <v>27434</v>
      </c>
      <c r="I25" s="210">
        <f>Result!G25</f>
        <v>11418</v>
      </c>
      <c r="J25" s="210">
        <f>Result!H25</f>
        <v>2275</v>
      </c>
      <c r="K25" s="209">
        <f>Result!I25</f>
        <v>21260</v>
      </c>
      <c r="L25" s="210">
        <f>Result!J25</f>
        <v>7187</v>
      </c>
      <c r="M25" s="210">
        <f>Result!K25</f>
        <v>8048</v>
      </c>
      <c r="N25" s="210">
        <f>Result!L25</f>
        <v>301</v>
      </c>
      <c r="O25" s="210">
        <f>Result!M25</f>
        <v>3056</v>
      </c>
      <c r="P25" s="210">
        <f>Result!N25</f>
        <v>1334</v>
      </c>
      <c r="Q25" s="210">
        <f>Result!O25</f>
        <v>1205</v>
      </c>
      <c r="R25" s="210">
        <f>Result!P25</f>
        <v>600</v>
      </c>
      <c r="S25" s="210">
        <f>Result!Q25</f>
        <v>473</v>
      </c>
      <c r="T25" s="210">
        <f>Result!R25</f>
        <v>1744</v>
      </c>
      <c r="U25" s="209">
        <f>Result!S25</f>
        <v>33474</v>
      </c>
      <c r="V25" s="209">
        <f>Result!T25</f>
        <v>50473.425925925927</v>
      </c>
      <c r="W25" s="210">
        <f>Result!U25</f>
        <v>963</v>
      </c>
      <c r="X25" s="210">
        <f>Result!V25</f>
        <v>532</v>
      </c>
      <c r="Y25" s="210">
        <f>Result!W25</f>
        <v>582.40740740740739</v>
      </c>
      <c r="Z25" s="210">
        <f>Result!X25</f>
        <v>0</v>
      </c>
    </row>
    <row r="26" spans="1:26" x14ac:dyDescent="0.25">
      <c r="A26" s="59">
        <v>2031</v>
      </c>
      <c r="B26" s="206">
        <f>airport2019!G28</f>
        <v>38416.804983801383</v>
      </c>
      <c r="C26" s="206">
        <f>lagoon2019!E34</f>
        <v>9112.3756441568894</v>
      </c>
      <c r="D26" s="212">
        <f>Result!B26</f>
        <v>4250.0000000000027</v>
      </c>
      <c r="E26" s="206">
        <f>Result!C26</f>
        <v>3357.5</v>
      </c>
      <c r="F26" s="204">
        <f>Result!D26</f>
        <v>34595</v>
      </c>
      <c r="G26" s="202">
        <f>Result!E26</f>
        <v>6105</v>
      </c>
      <c r="H26" s="204">
        <f>Result!F26</f>
        <v>27476</v>
      </c>
      <c r="I26" s="202">
        <f>Result!G26</f>
        <v>11460</v>
      </c>
      <c r="J26" s="202">
        <f>Result!H26</f>
        <v>2285</v>
      </c>
      <c r="K26" s="204">
        <f>Result!I26</f>
        <v>21812</v>
      </c>
      <c r="L26" s="202">
        <f>Result!J26</f>
        <v>7374</v>
      </c>
      <c r="M26" s="202">
        <f>Result!K26</f>
        <v>8257</v>
      </c>
      <c r="N26" s="202">
        <f>Result!L26</f>
        <v>309</v>
      </c>
      <c r="O26" s="202">
        <f>Result!M26</f>
        <v>3135</v>
      </c>
      <c r="P26" s="202">
        <f>Result!N26</f>
        <v>1369</v>
      </c>
      <c r="Q26" s="202">
        <f>Result!O26</f>
        <v>1236</v>
      </c>
      <c r="R26" s="202">
        <f>Result!P26</f>
        <v>620</v>
      </c>
      <c r="S26" s="202">
        <f>Result!Q26</f>
        <v>486</v>
      </c>
      <c r="T26" s="202">
        <f>Result!R26</f>
        <v>1968</v>
      </c>
      <c r="U26" s="204">
        <f>Result!S26</f>
        <v>33500</v>
      </c>
      <c r="V26" s="204">
        <f>Result!T26</f>
        <v>51082.754629629628</v>
      </c>
      <c r="W26" s="202">
        <f>Result!U26</f>
        <v>982</v>
      </c>
      <c r="X26" s="202">
        <f>Result!V26</f>
        <v>538</v>
      </c>
      <c r="Y26" s="202">
        <f>Result!W26</f>
        <v>637.03703703703707</v>
      </c>
      <c r="Z26" s="202">
        <f>Result!X26</f>
        <v>0</v>
      </c>
    </row>
    <row r="27" spans="1:26" x14ac:dyDescent="0.25">
      <c r="A27" s="59">
        <v>2032</v>
      </c>
      <c r="B27" s="206">
        <f>airport2019!G29</f>
        <v>38936.141418548876</v>
      </c>
      <c r="C27" s="206">
        <f>lagoon2019!E35</f>
        <v>9245.2889815097697</v>
      </c>
      <c r="D27" s="212">
        <f>Result!B27</f>
        <v>4357.8947368421077</v>
      </c>
      <c r="E27" s="206">
        <f>Result!C27</f>
        <v>3365</v>
      </c>
      <c r="F27" s="204">
        <f>Result!D27</f>
        <v>34821.1</v>
      </c>
      <c r="G27" s="202">
        <f>Result!E27</f>
        <v>6144.9</v>
      </c>
      <c r="H27" s="204">
        <f>Result!F27</f>
        <v>27518</v>
      </c>
      <c r="I27" s="202">
        <f>Result!G27</f>
        <v>11502</v>
      </c>
      <c r="J27" s="202">
        <f>Result!H27</f>
        <v>2294</v>
      </c>
      <c r="K27" s="204">
        <f>Result!I27</f>
        <v>22365</v>
      </c>
      <c r="L27" s="202">
        <f>Result!J27</f>
        <v>7561</v>
      </c>
      <c r="M27" s="202">
        <f>Result!K27</f>
        <v>8466</v>
      </c>
      <c r="N27" s="202">
        <f>Result!L27</f>
        <v>317</v>
      </c>
      <c r="O27" s="202">
        <f>Result!M27</f>
        <v>3214</v>
      </c>
      <c r="P27" s="202">
        <f>Result!N27</f>
        <v>1403</v>
      </c>
      <c r="Q27" s="202">
        <f>Result!O27</f>
        <v>1268</v>
      </c>
      <c r="R27" s="202">
        <f>Result!P27</f>
        <v>640</v>
      </c>
      <c r="S27" s="202">
        <f>Result!Q27</f>
        <v>498</v>
      </c>
      <c r="T27" s="202">
        <f>Result!R27</f>
        <v>2192</v>
      </c>
      <c r="U27" s="204">
        <f>Result!S27</f>
        <v>33526</v>
      </c>
      <c r="V27" s="204">
        <f>Result!T27</f>
        <v>51691.083333333336</v>
      </c>
      <c r="W27" s="202">
        <f>Result!U27</f>
        <v>1001</v>
      </c>
      <c r="X27" s="202">
        <f>Result!V27</f>
        <v>545</v>
      </c>
      <c r="Y27" s="202">
        <f>Result!W27</f>
        <v>691.66666666666674</v>
      </c>
      <c r="Z27" s="202">
        <f>Result!X27</f>
        <v>0</v>
      </c>
    </row>
    <row r="28" spans="1:26" x14ac:dyDescent="0.25">
      <c r="A28" s="59">
        <v>2033</v>
      </c>
      <c r="B28" s="206">
        <f>airport2019!G30</f>
        <v>39462.498487432131</v>
      </c>
      <c r="C28" s="206">
        <f>lagoon2019!E36</f>
        <v>9380.1409961007412</v>
      </c>
      <c r="D28" s="212">
        <f>Result!B28</f>
        <v>4465.7894736842127</v>
      </c>
      <c r="E28" s="206">
        <f>Result!C28</f>
        <v>3372.5</v>
      </c>
      <c r="F28" s="204">
        <f>Result!D28</f>
        <v>35005.549999999996</v>
      </c>
      <c r="G28" s="202">
        <f>Result!E28</f>
        <v>6177.45</v>
      </c>
      <c r="H28" s="204">
        <f>Result!F28</f>
        <v>27561</v>
      </c>
      <c r="I28" s="202">
        <f>Result!G28</f>
        <v>11545</v>
      </c>
      <c r="J28" s="202">
        <f>Result!H28</f>
        <v>2303</v>
      </c>
      <c r="K28" s="204">
        <f>Result!I28</f>
        <v>22917</v>
      </c>
      <c r="L28" s="202">
        <f>Result!J28</f>
        <v>7747</v>
      </c>
      <c r="M28" s="202">
        <f>Result!K28</f>
        <v>8675</v>
      </c>
      <c r="N28" s="202">
        <f>Result!L28</f>
        <v>325</v>
      </c>
      <c r="O28" s="202">
        <f>Result!M28</f>
        <v>3294</v>
      </c>
      <c r="P28" s="202">
        <f>Result!N28</f>
        <v>1438</v>
      </c>
      <c r="Q28" s="202">
        <f>Result!O28</f>
        <v>1299</v>
      </c>
      <c r="R28" s="202">
        <f>Result!P28</f>
        <v>660</v>
      </c>
      <c r="S28" s="202">
        <f>Result!Q28</f>
        <v>510</v>
      </c>
      <c r="T28" s="202">
        <f>Result!R28</f>
        <v>2416</v>
      </c>
      <c r="U28" s="204">
        <f>Result!S28</f>
        <v>33552</v>
      </c>
      <c r="V28" s="204">
        <f>Result!T28</f>
        <v>52000.412037037036</v>
      </c>
      <c r="W28" s="202">
        <f>Result!U28</f>
        <v>1019</v>
      </c>
      <c r="X28" s="202">
        <f>Result!V28</f>
        <v>552</v>
      </c>
      <c r="Y28" s="202">
        <f>Result!W28</f>
        <v>746.29629629629642</v>
      </c>
      <c r="Z28" s="202">
        <f>Result!X28</f>
        <v>300</v>
      </c>
    </row>
    <row r="29" spans="1:26" x14ac:dyDescent="0.25">
      <c r="A29" s="59">
        <v>2034</v>
      </c>
      <c r="B29" s="206">
        <f>airport2019!G31</f>
        <v>39995.971098684757</v>
      </c>
      <c r="C29" s="206">
        <f>lagoon2019!E37</f>
        <v>9516.9599655241273</v>
      </c>
      <c r="D29" s="212">
        <f>Result!B29</f>
        <v>4573.6842105263177</v>
      </c>
      <c r="E29" s="206">
        <f>Result!C29</f>
        <v>3380</v>
      </c>
      <c r="F29" s="204">
        <f>Result!D29</f>
        <v>35148.35</v>
      </c>
      <c r="G29" s="202">
        <f>Result!E29</f>
        <v>6202.65</v>
      </c>
      <c r="H29" s="204">
        <f>Result!F29</f>
        <v>27603</v>
      </c>
      <c r="I29" s="202">
        <f>Result!G29</f>
        <v>11587</v>
      </c>
      <c r="J29" s="202">
        <f>Result!H29</f>
        <v>2313</v>
      </c>
      <c r="K29" s="204">
        <f>Result!I29</f>
        <v>23469</v>
      </c>
      <c r="L29" s="202">
        <f>Result!J29</f>
        <v>7934</v>
      </c>
      <c r="M29" s="202">
        <f>Result!K29</f>
        <v>8884</v>
      </c>
      <c r="N29" s="202">
        <f>Result!L29</f>
        <v>333</v>
      </c>
      <c r="O29" s="202">
        <f>Result!M29</f>
        <v>3373</v>
      </c>
      <c r="P29" s="202">
        <f>Result!N29</f>
        <v>1473</v>
      </c>
      <c r="Q29" s="202">
        <f>Result!O29</f>
        <v>1330</v>
      </c>
      <c r="R29" s="202">
        <f>Result!P29</f>
        <v>680</v>
      </c>
      <c r="S29" s="202">
        <f>Result!Q29</f>
        <v>523</v>
      </c>
      <c r="T29" s="202">
        <f>Result!R29</f>
        <v>2640</v>
      </c>
      <c r="U29" s="204">
        <f>Result!S29</f>
        <v>33579</v>
      </c>
      <c r="V29" s="204">
        <f>Result!T29</f>
        <v>52527.858387799562</v>
      </c>
      <c r="W29" s="202">
        <f>Result!U29</f>
        <v>1038</v>
      </c>
      <c r="X29" s="202">
        <f>Result!V29</f>
        <v>559</v>
      </c>
      <c r="Y29" s="202">
        <f>Result!W29</f>
        <v>800.92592592592609</v>
      </c>
      <c r="Z29" s="202">
        <f>Result!X29</f>
        <v>380.88235294117646</v>
      </c>
    </row>
    <row r="30" spans="1:26" x14ac:dyDescent="0.25">
      <c r="A30" s="59">
        <v>2035</v>
      </c>
      <c r="B30" s="206">
        <f>airport2019!G32</f>
        <v>40536.655443554482</v>
      </c>
      <c r="C30" s="206">
        <f>lagoon2019!E38</f>
        <v>9655.7745798319411</v>
      </c>
      <c r="D30" s="212">
        <f>Result!B30</f>
        <v>4681.5789473684226</v>
      </c>
      <c r="E30" s="206">
        <f>Result!C30</f>
        <v>3387.5</v>
      </c>
      <c r="F30" s="204">
        <f>Result!D30</f>
        <v>35278.400000000001</v>
      </c>
      <c r="G30" s="202">
        <f>Result!E30</f>
        <v>6225.5999999999995</v>
      </c>
      <c r="H30" s="204">
        <f>Result!F30</f>
        <v>27645</v>
      </c>
      <c r="I30" s="202">
        <f>Result!G30</f>
        <v>11629</v>
      </c>
      <c r="J30" s="202">
        <f>Result!H30</f>
        <v>2322</v>
      </c>
      <c r="K30" s="204">
        <f>Result!I30</f>
        <v>24022</v>
      </c>
      <c r="L30" s="202">
        <f>Result!J30</f>
        <v>8121</v>
      </c>
      <c r="M30" s="202">
        <f>Result!K30</f>
        <v>9093</v>
      </c>
      <c r="N30" s="202">
        <f>Result!L30</f>
        <v>340</v>
      </c>
      <c r="O30" s="202">
        <f>Result!M30</f>
        <v>3453</v>
      </c>
      <c r="P30" s="202">
        <f>Result!N30</f>
        <v>1507</v>
      </c>
      <c r="Q30" s="202">
        <f>Result!O30</f>
        <v>1362</v>
      </c>
      <c r="R30" s="202">
        <f>Result!P30</f>
        <v>700</v>
      </c>
      <c r="S30" s="202">
        <f>Result!Q30</f>
        <v>535</v>
      </c>
      <c r="T30" s="202">
        <f>Result!R30</f>
        <v>2864</v>
      </c>
      <c r="U30" s="204">
        <f>Result!S30</f>
        <v>33605</v>
      </c>
      <c r="V30" s="204">
        <f>Result!T30</f>
        <v>53055.304738562088</v>
      </c>
      <c r="W30" s="202">
        <f>Result!U30</f>
        <v>1057</v>
      </c>
      <c r="X30" s="202">
        <f>Result!V30</f>
        <v>566</v>
      </c>
      <c r="Y30" s="202">
        <f>Result!W30</f>
        <v>855.55555555555577</v>
      </c>
      <c r="Z30" s="202">
        <f>Result!X30</f>
        <v>461.76470588235293</v>
      </c>
    </row>
    <row r="31" spans="1:26" x14ac:dyDescent="0.25">
      <c r="A31" s="59">
        <v>2036</v>
      </c>
      <c r="B31" s="206">
        <f>airport2019!G33</f>
        <v>41084.64901364757</v>
      </c>
      <c r="C31" s="206">
        <f>lagoon2019!E39</f>
        <v>9779.3755225726018</v>
      </c>
      <c r="D31" s="212">
        <f>Result!B31</f>
        <v>4789.4736842105276</v>
      </c>
      <c r="E31" s="206">
        <f>Result!C31</f>
        <v>3395</v>
      </c>
      <c r="F31" s="204">
        <f>Result!D31</f>
        <v>35395.699999999997</v>
      </c>
      <c r="G31" s="202">
        <f>Result!E31</f>
        <v>6246.3</v>
      </c>
      <c r="H31" s="204">
        <f>Result!F31</f>
        <v>27687</v>
      </c>
      <c r="I31" s="202">
        <f>Result!G31</f>
        <v>11671</v>
      </c>
      <c r="J31" s="202">
        <f>Result!H31</f>
        <v>2331</v>
      </c>
      <c r="K31" s="204">
        <f>Result!I31</f>
        <v>24574</v>
      </c>
      <c r="L31" s="202">
        <f>Result!J31</f>
        <v>8307</v>
      </c>
      <c r="M31" s="202">
        <f>Result!K31</f>
        <v>9302</v>
      </c>
      <c r="N31" s="202">
        <f>Result!L31</f>
        <v>348</v>
      </c>
      <c r="O31" s="202">
        <f>Result!M31</f>
        <v>3532</v>
      </c>
      <c r="P31" s="202">
        <f>Result!N31</f>
        <v>1542</v>
      </c>
      <c r="Q31" s="202">
        <f>Result!O31</f>
        <v>1393</v>
      </c>
      <c r="R31" s="202">
        <f>Result!P31</f>
        <v>720</v>
      </c>
      <c r="S31" s="202">
        <f>Result!Q31</f>
        <v>547</v>
      </c>
      <c r="T31" s="202">
        <f>Result!R31</f>
        <v>3088</v>
      </c>
      <c r="U31" s="204">
        <f>Result!S31</f>
        <v>33631</v>
      </c>
      <c r="V31" s="204">
        <f>Result!T31</f>
        <v>53582.751089324622</v>
      </c>
      <c r="W31" s="202">
        <f>Result!U31</f>
        <v>1076</v>
      </c>
      <c r="X31" s="202">
        <f>Result!V31</f>
        <v>573</v>
      </c>
      <c r="Y31" s="202">
        <f>Result!W31</f>
        <v>910.18518518518545</v>
      </c>
      <c r="Z31" s="202">
        <f>Result!X31</f>
        <v>542.64705882352939</v>
      </c>
    </row>
    <row r="32" spans="1:26" x14ac:dyDescent="0.25">
      <c r="A32" s="59">
        <v>2037</v>
      </c>
      <c r="B32" s="206">
        <f>airport2019!G34</f>
        <v>41640.050618507645</v>
      </c>
      <c r="C32" s="206">
        <f>lagoon2019!E40</f>
        <v>9904.5586473453786</v>
      </c>
      <c r="D32" s="212">
        <f>Result!B32</f>
        <v>4897.3684210526326</v>
      </c>
      <c r="E32" s="206">
        <f>Result!C32</f>
        <v>3402.5</v>
      </c>
      <c r="F32" s="204">
        <f>Result!D32</f>
        <v>35500.25</v>
      </c>
      <c r="G32" s="202">
        <f>Result!E32</f>
        <v>6264.75</v>
      </c>
      <c r="H32" s="204">
        <f>Result!F32</f>
        <v>27729</v>
      </c>
      <c r="I32" s="202">
        <f>Result!G32</f>
        <v>11713</v>
      </c>
      <c r="J32" s="202">
        <f>Result!H32</f>
        <v>2341</v>
      </c>
      <c r="K32" s="204">
        <f>Result!I32</f>
        <v>25127</v>
      </c>
      <c r="L32" s="202">
        <f>Result!J32</f>
        <v>8494</v>
      </c>
      <c r="M32" s="202">
        <f>Result!K32</f>
        <v>9512</v>
      </c>
      <c r="N32" s="202">
        <f>Result!L32</f>
        <v>356</v>
      </c>
      <c r="O32" s="202">
        <f>Result!M32</f>
        <v>3611</v>
      </c>
      <c r="P32" s="202">
        <f>Result!N32</f>
        <v>1577</v>
      </c>
      <c r="Q32" s="202">
        <f>Result!O32</f>
        <v>1424</v>
      </c>
      <c r="R32" s="202">
        <f>Result!P32</f>
        <v>740</v>
      </c>
      <c r="S32" s="202">
        <f>Result!Q32</f>
        <v>560</v>
      </c>
      <c r="T32" s="202">
        <f>Result!R32</f>
        <v>3312</v>
      </c>
      <c r="U32" s="204">
        <f>Result!S32</f>
        <v>33658</v>
      </c>
      <c r="V32" s="204">
        <f>Result!T32</f>
        <v>54110.19744008714</v>
      </c>
      <c r="W32" s="202">
        <f>Result!U32</f>
        <v>1095</v>
      </c>
      <c r="X32" s="202">
        <f>Result!V32</f>
        <v>580</v>
      </c>
      <c r="Y32" s="202">
        <f>Result!W32</f>
        <v>964.81481481481512</v>
      </c>
      <c r="Z32" s="202">
        <f>Result!X32</f>
        <v>623.52941176470586</v>
      </c>
    </row>
    <row r="33" spans="1:26" x14ac:dyDescent="0.25">
      <c r="A33" s="59">
        <v>2038</v>
      </c>
      <c r="B33" s="206">
        <f>airport2019!G35</f>
        <v>42202.960403432218</v>
      </c>
      <c r="C33" s="206">
        <f>lagoon2019!E41</f>
        <v>10031.344207231901</v>
      </c>
      <c r="D33" s="212">
        <f>Result!B33</f>
        <v>5005.2631578947376</v>
      </c>
      <c r="E33" s="206">
        <f>Result!C33</f>
        <v>3410</v>
      </c>
      <c r="F33" s="204">
        <f>Result!D33</f>
        <v>35592.049999999996</v>
      </c>
      <c r="G33" s="202">
        <f>Result!E33</f>
        <v>6280.95</v>
      </c>
      <c r="H33" s="204">
        <f>Result!F33</f>
        <v>27771</v>
      </c>
      <c r="I33" s="202">
        <f>Result!G33</f>
        <v>11755</v>
      </c>
      <c r="J33" s="202">
        <f>Result!H33</f>
        <v>2350</v>
      </c>
      <c r="K33" s="204">
        <f>Result!I33</f>
        <v>25679</v>
      </c>
      <c r="L33" s="202">
        <f>Result!J33</f>
        <v>8681</v>
      </c>
      <c r="M33" s="202">
        <f>Result!K33</f>
        <v>9721</v>
      </c>
      <c r="N33" s="202">
        <f>Result!L33</f>
        <v>364</v>
      </c>
      <c r="O33" s="202">
        <f>Result!M33</f>
        <v>3691</v>
      </c>
      <c r="P33" s="202">
        <f>Result!N33</f>
        <v>1611</v>
      </c>
      <c r="Q33" s="202">
        <f>Result!O33</f>
        <v>1455</v>
      </c>
      <c r="R33" s="202">
        <f>Result!P33</f>
        <v>760</v>
      </c>
      <c r="S33" s="202">
        <f>Result!Q33</f>
        <v>572</v>
      </c>
      <c r="T33" s="202">
        <f>Result!R33</f>
        <v>3536</v>
      </c>
      <c r="U33" s="204">
        <f>Result!S33</f>
        <v>33684</v>
      </c>
      <c r="V33" s="204">
        <f>Result!T33</f>
        <v>54637.643790849674</v>
      </c>
      <c r="W33" s="202">
        <f>Result!U33</f>
        <v>1114</v>
      </c>
      <c r="X33" s="202">
        <f>Result!V33</f>
        <v>587</v>
      </c>
      <c r="Y33" s="202">
        <f>Result!W33</f>
        <v>1019.4444444444448</v>
      </c>
      <c r="Z33" s="202">
        <f>Result!X33</f>
        <v>704.41176470588232</v>
      </c>
    </row>
    <row r="34" spans="1:26" x14ac:dyDescent="0.25">
      <c r="A34" s="59">
        <v>2039</v>
      </c>
      <c r="B34" s="206">
        <f>airport2019!G36</f>
        <v>42773.479867530019</v>
      </c>
      <c r="C34" s="206">
        <f>lagoon2019!E42</f>
        <v>10159.752714567985</v>
      </c>
      <c r="D34" s="212">
        <f>Result!B34</f>
        <v>5113.1578947368425</v>
      </c>
      <c r="E34" s="206">
        <f>Result!C34</f>
        <v>3417.5</v>
      </c>
      <c r="F34" s="204">
        <f>Result!D34</f>
        <v>35671.1</v>
      </c>
      <c r="G34" s="202">
        <f>Result!E34</f>
        <v>6294.9</v>
      </c>
      <c r="H34" s="204">
        <f>Result!F34</f>
        <v>27813</v>
      </c>
      <c r="I34" s="202">
        <f>Result!G34</f>
        <v>11797</v>
      </c>
      <c r="J34" s="202">
        <f>Result!H34</f>
        <v>2359</v>
      </c>
      <c r="K34" s="204">
        <f>Result!I34</f>
        <v>26232</v>
      </c>
      <c r="L34" s="202">
        <f>Result!J34</f>
        <v>8868</v>
      </c>
      <c r="M34" s="202">
        <f>Result!K34</f>
        <v>9930</v>
      </c>
      <c r="N34" s="202">
        <f>Result!L34</f>
        <v>372</v>
      </c>
      <c r="O34" s="202">
        <f>Result!M34</f>
        <v>3770</v>
      </c>
      <c r="P34" s="202">
        <f>Result!N34</f>
        <v>1646</v>
      </c>
      <c r="Q34" s="202">
        <f>Result!O34</f>
        <v>1487</v>
      </c>
      <c r="R34" s="202">
        <f>Result!P34</f>
        <v>780</v>
      </c>
      <c r="S34" s="202">
        <f>Result!Q34</f>
        <v>584</v>
      </c>
      <c r="T34" s="202">
        <f>Result!R34</f>
        <v>3760</v>
      </c>
      <c r="U34" s="204">
        <f>Result!S34</f>
        <v>33710</v>
      </c>
      <c r="V34" s="204">
        <f>Result!T34</f>
        <v>55165.0901416122</v>
      </c>
      <c r="W34" s="202">
        <f>Result!U34</f>
        <v>1133</v>
      </c>
      <c r="X34" s="202">
        <f>Result!V34</f>
        <v>594</v>
      </c>
      <c r="Y34" s="202">
        <f>Result!W34</f>
        <v>1074.0740740740744</v>
      </c>
      <c r="Z34" s="202">
        <f>Result!X34</f>
        <v>785.29411764705878</v>
      </c>
    </row>
    <row r="35" spans="1:26" x14ac:dyDescent="0.25">
      <c r="A35" s="207">
        <v>2040</v>
      </c>
      <c r="B35" s="208">
        <f>airport2019!G37</f>
        <v>43351.711882022457</v>
      </c>
      <c r="C35" s="208">
        <f>lagoon2019!E43</f>
        <v>10289.804944262274</v>
      </c>
      <c r="D35" s="213">
        <f>Result!B35</f>
        <v>5221.0526315789475</v>
      </c>
      <c r="E35" s="208">
        <f>Result!C35</f>
        <v>3425</v>
      </c>
      <c r="F35" s="209">
        <f>Result!D35</f>
        <v>35737.4</v>
      </c>
      <c r="G35" s="210">
        <f>Result!E35</f>
        <v>6306.5999999999995</v>
      </c>
      <c r="H35" s="209">
        <f>Result!F35</f>
        <v>27855</v>
      </c>
      <c r="I35" s="210">
        <f>Result!G35</f>
        <v>11839</v>
      </c>
      <c r="J35" s="210">
        <f>Result!H35</f>
        <v>2369</v>
      </c>
      <c r="K35" s="209">
        <f>Result!I35</f>
        <v>26784</v>
      </c>
      <c r="L35" s="210">
        <f>Result!J35</f>
        <v>9054</v>
      </c>
      <c r="M35" s="210">
        <f>Result!K35</f>
        <v>10139</v>
      </c>
      <c r="N35" s="210">
        <f>Result!L35</f>
        <v>380</v>
      </c>
      <c r="O35" s="210">
        <f>Result!M35</f>
        <v>3850</v>
      </c>
      <c r="P35" s="210">
        <f>Result!N35</f>
        <v>1681</v>
      </c>
      <c r="Q35" s="210">
        <f>Result!O35</f>
        <v>1518</v>
      </c>
      <c r="R35" s="210">
        <f>Result!P35</f>
        <v>800</v>
      </c>
      <c r="S35" s="210">
        <f>Result!Q35</f>
        <v>596</v>
      </c>
      <c r="T35" s="210">
        <f>Result!R35</f>
        <v>3984</v>
      </c>
      <c r="U35" s="209">
        <f>Result!S35</f>
        <v>33737</v>
      </c>
      <c r="V35" s="209">
        <f>Result!T35</f>
        <v>55693.536492374726</v>
      </c>
      <c r="W35" s="210">
        <f>Result!U35</f>
        <v>1151</v>
      </c>
      <c r="X35" s="210">
        <f>Result!V35</f>
        <v>601</v>
      </c>
      <c r="Y35" s="210">
        <f>Result!W35</f>
        <v>1128.7037037037039</v>
      </c>
      <c r="Z35" s="210">
        <f>Result!X35</f>
        <v>866.17647058823525</v>
      </c>
    </row>
    <row r="36" spans="1:26" x14ac:dyDescent="0.25">
      <c r="A36" s="59">
        <v>2041</v>
      </c>
      <c r="B36" s="206">
        <f>airport2019!G38</f>
        <v>43937.760708792492</v>
      </c>
      <c r="C36" s="206">
        <f>lagoon2019!E44</f>
        <v>10421.521937157366</v>
      </c>
      <c r="D36" s="212">
        <f>Result!B36</f>
        <v>5328.9473684210525</v>
      </c>
      <c r="E36" s="206">
        <f>Result!C36</f>
        <v>3432.5</v>
      </c>
      <c r="F36" s="204">
        <f>Result!D36</f>
        <v>35790.949999999997</v>
      </c>
      <c r="G36" s="202">
        <f>Result!E36</f>
        <v>6316.05</v>
      </c>
      <c r="H36" s="204">
        <f>Result!F36</f>
        <v>27898</v>
      </c>
      <c r="I36" s="202">
        <f>Result!G36</f>
        <v>11882</v>
      </c>
      <c r="J36" s="202">
        <f>Result!H36</f>
        <v>2378</v>
      </c>
      <c r="K36" s="204">
        <f>Result!I36</f>
        <v>27336</v>
      </c>
      <c r="L36" s="202">
        <f>Result!J36</f>
        <v>9241</v>
      </c>
      <c r="M36" s="202">
        <f>Result!K36</f>
        <v>10348</v>
      </c>
      <c r="N36" s="202">
        <f>Result!L36</f>
        <v>387</v>
      </c>
      <c r="O36" s="202">
        <f>Result!M36</f>
        <v>3929</v>
      </c>
      <c r="P36" s="202">
        <f>Result!N36</f>
        <v>1715</v>
      </c>
      <c r="Q36" s="202">
        <f>Result!O36</f>
        <v>1549</v>
      </c>
      <c r="R36" s="202">
        <f>Result!P36</f>
        <v>820</v>
      </c>
      <c r="S36" s="202">
        <f>Result!Q36</f>
        <v>609</v>
      </c>
      <c r="T36" s="202">
        <f>Result!R36</f>
        <v>4208</v>
      </c>
      <c r="U36" s="204">
        <f>Result!S36</f>
        <v>33763</v>
      </c>
      <c r="V36" s="204">
        <f>Result!T36</f>
        <v>56220.982843137252</v>
      </c>
      <c r="W36" s="202">
        <f>Result!U36</f>
        <v>1170</v>
      </c>
      <c r="X36" s="202">
        <f>Result!V36</f>
        <v>608</v>
      </c>
      <c r="Y36" s="202">
        <f>Result!W36</f>
        <v>1183.3333333333335</v>
      </c>
      <c r="Z36" s="202">
        <f>Result!X36</f>
        <v>947.05882352941171</v>
      </c>
    </row>
    <row r="37" spans="1:26" x14ac:dyDescent="0.25">
      <c r="A37" s="59">
        <v>2042</v>
      </c>
      <c r="B37" s="206">
        <f>airport2019!G39</f>
        <v>44531.732019184237</v>
      </c>
      <c r="C37" s="206">
        <f>lagoon2019!E45</f>
        <v>10554.925003433955</v>
      </c>
      <c r="D37" s="212">
        <f>Result!B37</f>
        <v>5436.8421052631575</v>
      </c>
      <c r="E37" s="206">
        <f>Result!C37</f>
        <v>3440</v>
      </c>
      <c r="F37" s="204">
        <f>Result!D37</f>
        <v>35831.75</v>
      </c>
      <c r="G37" s="202">
        <f>Result!E37</f>
        <v>6323.25</v>
      </c>
      <c r="H37" s="204">
        <f>Result!F37</f>
        <v>27940</v>
      </c>
      <c r="I37" s="202">
        <f>Result!G37</f>
        <v>11924</v>
      </c>
      <c r="J37" s="202">
        <f>Result!H37</f>
        <v>2387</v>
      </c>
      <c r="K37" s="204">
        <f>Result!I37</f>
        <v>27889</v>
      </c>
      <c r="L37" s="202">
        <f>Result!J37</f>
        <v>9428</v>
      </c>
      <c r="M37" s="202">
        <f>Result!K37</f>
        <v>10557</v>
      </c>
      <c r="N37" s="202">
        <f>Result!L37</f>
        <v>395</v>
      </c>
      <c r="O37" s="202">
        <f>Result!M37</f>
        <v>4008</v>
      </c>
      <c r="P37" s="202">
        <f>Result!N37</f>
        <v>1750</v>
      </c>
      <c r="Q37" s="202">
        <f>Result!O37</f>
        <v>1581</v>
      </c>
      <c r="R37" s="202">
        <f>Result!P37</f>
        <v>840</v>
      </c>
      <c r="S37" s="202">
        <f>Result!Q37</f>
        <v>621</v>
      </c>
      <c r="T37" s="202">
        <f>Result!R37</f>
        <v>4432</v>
      </c>
      <c r="U37" s="204">
        <f>Result!S37</f>
        <v>33789</v>
      </c>
      <c r="V37" s="204">
        <f>Result!T37</f>
        <v>56748.429193899785</v>
      </c>
      <c r="W37" s="202">
        <f>Result!U37</f>
        <v>1189</v>
      </c>
      <c r="X37" s="202">
        <f>Result!V37</f>
        <v>615</v>
      </c>
      <c r="Y37" s="202">
        <f>Result!W37</f>
        <v>1237.962962962963</v>
      </c>
      <c r="Z37" s="202">
        <f>Result!X37</f>
        <v>1027.9411764705883</v>
      </c>
    </row>
    <row r="38" spans="1:26" x14ac:dyDescent="0.25">
      <c r="A38" s="59">
        <v>2043</v>
      </c>
      <c r="B38" s="206">
        <f>airport2019!G40</f>
        <v>45133.732913056738</v>
      </c>
      <c r="C38" s="206">
        <f>lagoon2019!E46</f>
        <v>10690.035726058562</v>
      </c>
      <c r="D38" s="212">
        <f>Result!B38</f>
        <v>5544.7368421052624</v>
      </c>
      <c r="E38" s="206">
        <f>Result!C38</f>
        <v>3447.5</v>
      </c>
      <c r="F38" s="204">
        <f>Result!D38</f>
        <v>35859.799999999996</v>
      </c>
      <c r="G38" s="202">
        <f>Result!E38</f>
        <v>6328.2</v>
      </c>
      <c r="H38" s="204">
        <f>Result!F38</f>
        <v>27982</v>
      </c>
      <c r="I38" s="202">
        <f>Result!G38</f>
        <v>11966</v>
      </c>
      <c r="J38" s="202">
        <f>Result!H38</f>
        <v>2397</v>
      </c>
      <c r="K38" s="204">
        <f>Result!I38</f>
        <v>28441</v>
      </c>
      <c r="L38" s="202">
        <f>Result!J38</f>
        <v>9615</v>
      </c>
      <c r="M38" s="202">
        <f>Result!K38</f>
        <v>10766</v>
      </c>
      <c r="N38" s="202">
        <f>Result!L38</f>
        <v>403</v>
      </c>
      <c r="O38" s="202">
        <f>Result!M38</f>
        <v>4088</v>
      </c>
      <c r="P38" s="202">
        <f>Result!N38</f>
        <v>1785</v>
      </c>
      <c r="Q38" s="202">
        <f>Result!O38</f>
        <v>1612</v>
      </c>
      <c r="R38" s="202">
        <f>Result!P38</f>
        <v>860</v>
      </c>
      <c r="S38" s="202">
        <f>Result!Q38</f>
        <v>633</v>
      </c>
      <c r="T38" s="202">
        <f>Result!R38</f>
        <v>4656</v>
      </c>
      <c r="U38" s="204">
        <f>Result!S38</f>
        <v>33816</v>
      </c>
      <c r="V38" s="204">
        <f>Result!T38</f>
        <v>57275.875544662311</v>
      </c>
      <c r="W38" s="202">
        <f>Result!U38</f>
        <v>1208</v>
      </c>
      <c r="X38" s="202">
        <f>Result!V38</f>
        <v>622</v>
      </c>
      <c r="Y38" s="202">
        <f>Result!W38</f>
        <v>1292.5925925925926</v>
      </c>
      <c r="Z38" s="202">
        <f>Result!X38</f>
        <v>1108.8235294117649</v>
      </c>
    </row>
    <row r="39" spans="1:26" x14ac:dyDescent="0.25">
      <c r="A39" s="59">
        <v>2044</v>
      </c>
      <c r="B39" s="206">
        <f>airport2019!G41</f>
        <v>45743.871938095283</v>
      </c>
      <c r="C39" s="206">
        <f>lagoon2019!E47</f>
        <v>10826.875964275388</v>
      </c>
      <c r="D39" s="212">
        <f>Result!B39</f>
        <v>5652.6315789473674</v>
      </c>
      <c r="E39" s="206">
        <f>Result!C39</f>
        <v>3455</v>
      </c>
      <c r="F39" s="204">
        <f>Result!D39</f>
        <v>35883.599999999999</v>
      </c>
      <c r="G39" s="202">
        <f>Result!E39</f>
        <v>6332.4</v>
      </c>
      <c r="H39" s="204">
        <f>Result!F39</f>
        <v>28024</v>
      </c>
      <c r="I39" s="202">
        <f>Result!G39</f>
        <v>12008</v>
      </c>
      <c r="J39" s="202">
        <f>Result!H39</f>
        <v>2406</v>
      </c>
      <c r="K39" s="204">
        <f>Result!I39</f>
        <v>28994</v>
      </c>
      <c r="L39" s="202">
        <f>Result!J39</f>
        <v>9801</v>
      </c>
      <c r="M39" s="202">
        <f>Result!K39</f>
        <v>10975</v>
      </c>
      <c r="N39" s="202">
        <f>Result!L39</f>
        <v>411</v>
      </c>
      <c r="O39" s="202">
        <f>Result!M39</f>
        <v>4167</v>
      </c>
      <c r="P39" s="202">
        <f>Result!N39</f>
        <v>1819</v>
      </c>
      <c r="Q39" s="202">
        <f>Result!O39</f>
        <v>1643</v>
      </c>
      <c r="R39" s="202">
        <f>Result!P39</f>
        <v>880</v>
      </c>
      <c r="S39" s="202">
        <f>Result!Q39</f>
        <v>646</v>
      </c>
      <c r="T39" s="202">
        <f>Result!R39</f>
        <v>4880</v>
      </c>
      <c r="U39" s="204">
        <f>Result!S39</f>
        <v>33842</v>
      </c>
      <c r="V39" s="204">
        <f>Result!T39</f>
        <v>57805.321895424837</v>
      </c>
      <c r="W39" s="202">
        <f>Result!U39</f>
        <v>1226</v>
      </c>
      <c r="X39" s="202">
        <f>Result!V39</f>
        <v>628</v>
      </c>
      <c r="Y39" s="202">
        <f>Result!W39</f>
        <v>1347.2222222222222</v>
      </c>
      <c r="Z39" s="202">
        <f>Result!X39</f>
        <v>1189.7058823529414</v>
      </c>
    </row>
    <row r="40" spans="1:26" x14ac:dyDescent="0.25">
      <c r="A40" s="59">
        <v>2045</v>
      </c>
      <c r="B40" s="206">
        <f>airport2019!G42</f>
        <v>46362.25910938382</v>
      </c>
      <c r="C40" s="206">
        <f>lagoon2019!E48</f>
        <v>10965.467857142872</v>
      </c>
      <c r="D40" s="212">
        <f>Result!B40</f>
        <v>5760.5263157894724</v>
      </c>
      <c r="E40" s="206">
        <f>Result!C40</f>
        <v>3462.5</v>
      </c>
      <c r="F40" s="204">
        <f>Result!D40</f>
        <v>35903.15</v>
      </c>
      <c r="G40" s="202">
        <f>Result!E40</f>
        <v>6335.8499999999995</v>
      </c>
      <c r="H40" s="204">
        <f>Result!F40</f>
        <v>28066</v>
      </c>
      <c r="I40" s="202">
        <f>Result!G40</f>
        <v>12050</v>
      </c>
      <c r="J40" s="202">
        <f>Result!H40</f>
        <v>2416</v>
      </c>
      <c r="K40" s="204">
        <f>Result!I40</f>
        <v>29546</v>
      </c>
      <c r="L40" s="202">
        <f>Result!J40</f>
        <v>9988</v>
      </c>
      <c r="M40" s="202">
        <f>Result!K40</f>
        <v>11184</v>
      </c>
      <c r="N40" s="202">
        <f>Result!L40</f>
        <v>419</v>
      </c>
      <c r="O40" s="202">
        <f>Result!M40</f>
        <v>4246</v>
      </c>
      <c r="P40" s="202">
        <f>Result!N40</f>
        <v>1854</v>
      </c>
      <c r="Q40" s="202">
        <f>Result!O40</f>
        <v>1675</v>
      </c>
      <c r="R40" s="202">
        <f>Result!P40</f>
        <v>900</v>
      </c>
      <c r="S40" s="202">
        <f>Result!Q40</f>
        <v>658</v>
      </c>
      <c r="T40" s="202">
        <f>Result!R40</f>
        <v>5104</v>
      </c>
      <c r="U40" s="204">
        <f>Result!S40</f>
        <v>33868</v>
      </c>
      <c r="V40" s="204">
        <f>Result!T40</f>
        <v>58332.768246187363</v>
      </c>
      <c r="W40" s="202">
        <f>Result!U40</f>
        <v>1245</v>
      </c>
      <c r="X40" s="202">
        <f>Result!V40</f>
        <v>635</v>
      </c>
      <c r="Y40" s="202">
        <f>Result!W40</f>
        <v>1401.8518518518517</v>
      </c>
      <c r="Z40" s="202">
        <f>Result!X40</f>
        <v>1270.588235294118</v>
      </c>
    </row>
    <row r="41" spans="1:26" x14ac:dyDescent="0.25">
      <c r="A41" s="59">
        <v>2046</v>
      </c>
      <c r="B41" s="206">
        <f>airport2019!G43</f>
        <v>46989.005929241932</v>
      </c>
      <c r="C41" s="206">
        <f>lagoon2019!E49</f>
        <v>11087.667721247086</v>
      </c>
      <c r="D41" s="212">
        <f>Result!B41</f>
        <v>5868.4210526315774</v>
      </c>
      <c r="E41" s="206">
        <f>Result!C41</f>
        <v>3470</v>
      </c>
      <c r="F41" s="204">
        <f>Result!D41</f>
        <v>35918.449999999997</v>
      </c>
      <c r="G41" s="202">
        <f>Result!E41</f>
        <v>6338.55</v>
      </c>
      <c r="H41" s="204">
        <f>Result!F41</f>
        <v>28108</v>
      </c>
      <c r="I41" s="202">
        <f>Result!G41</f>
        <v>12092</v>
      </c>
      <c r="J41" s="202">
        <f>Result!H41</f>
        <v>2425</v>
      </c>
      <c r="K41" s="204">
        <f>Result!I41</f>
        <v>30098</v>
      </c>
      <c r="L41" s="202">
        <f>Result!J41</f>
        <v>10175</v>
      </c>
      <c r="M41" s="202">
        <f>Result!K41</f>
        <v>11394</v>
      </c>
      <c r="N41" s="202">
        <f>Result!L41</f>
        <v>426</v>
      </c>
      <c r="O41" s="202">
        <f>Result!M41</f>
        <v>4326</v>
      </c>
      <c r="P41" s="202">
        <f>Result!N41</f>
        <v>1889</v>
      </c>
      <c r="Q41" s="202">
        <f>Result!O41</f>
        <v>1706</v>
      </c>
      <c r="R41" s="202">
        <f>Result!P41</f>
        <v>920</v>
      </c>
      <c r="S41" s="202">
        <f>Result!Q41</f>
        <v>670</v>
      </c>
      <c r="T41" s="202">
        <f>Result!R41</f>
        <v>5328</v>
      </c>
      <c r="U41" s="204">
        <f>Result!S41</f>
        <v>33895</v>
      </c>
      <c r="V41" s="204">
        <f>Result!T41</f>
        <v>58860.214596949889</v>
      </c>
      <c r="W41" s="202">
        <f>Result!U41</f>
        <v>1264</v>
      </c>
      <c r="X41" s="202">
        <f>Result!V41</f>
        <v>642</v>
      </c>
      <c r="Y41" s="202">
        <f>Result!W41</f>
        <v>1456.4814814814813</v>
      </c>
      <c r="Z41" s="202">
        <f>Result!X41</f>
        <v>1351.4705882352946</v>
      </c>
    </row>
    <row r="42" spans="1:26" x14ac:dyDescent="0.25">
      <c r="A42" s="59">
        <v>2047</v>
      </c>
      <c r="B42" s="206">
        <f>airport2019!G44</f>
        <v>47624.225407329999</v>
      </c>
      <c r="C42" s="206">
        <f>lagoon2019!E50</f>
        <v>11211.22938832967</v>
      </c>
      <c r="D42" s="212">
        <f>Result!B42</f>
        <v>5976.3157894736823</v>
      </c>
      <c r="E42" s="206">
        <f>Result!C42</f>
        <v>3477.5</v>
      </c>
      <c r="F42" s="204">
        <f>Result!D42</f>
        <v>35929.5</v>
      </c>
      <c r="G42" s="202">
        <f>Result!E42</f>
        <v>6340.5</v>
      </c>
      <c r="H42" s="204">
        <f>Result!F42</f>
        <v>28150</v>
      </c>
      <c r="I42" s="202">
        <f>Result!G42</f>
        <v>12134</v>
      </c>
      <c r="J42" s="202">
        <f>Result!H42</f>
        <v>2434</v>
      </c>
      <c r="K42" s="204">
        <f>Result!I42</f>
        <v>30651</v>
      </c>
      <c r="L42" s="202">
        <f>Result!J42</f>
        <v>10362</v>
      </c>
      <c r="M42" s="202">
        <f>Result!K42</f>
        <v>11603</v>
      </c>
      <c r="N42" s="202">
        <f>Result!L42</f>
        <v>434</v>
      </c>
      <c r="O42" s="202">
        <f>Result!M42</f>
        <v>4405</v>
      </c>
      <c r="P42" s="202">
        <f>Result!N42</f>
        <v>1923</v>
      </c>
      <c r="Q42" s="202">
        <f>Result!O42</f>
        <v>1737</v>
      </c>
      <c r="R42" s="202">
        <f>Result!P42</f>
        <v>940</v>
      </c>
      <c r="S42" s="202">
        <f>Result!Q42</f>
        <v>683</v>
      </c>
      <c r="T42" s="202">
        <f>Result!R42</f>
        <v>5552</v>
      </c>
      <c r="U42" s="204">
        <f>Result!S42</f>
        <v>33921</v>
      </c>
      <c r="V42" s="204">
        <f>Result!T42</f>
        <v>59387.660947712415</v>
      </c>
      <c r="W42" s="202">
        <f>Result!U42</f>
        <v>1283</v>
      </c>
      <c r="X42" s="202">
        <f>Result!V42</f>
        <v>649</v>
      </c>
      <c r="Y42" s="202">
        <f>Result!W42</f>
        <v>1511.1111111111109</v>
      </c>
      <c r="Z42" s="202">
        <f>Result!X42</f>
        <v>1432.3529411764712</v>
      </c>
    </row>
    <row r="43" spans="1:26" x14ac:dyDescent="0.25">
      <c r="A43" s="59">
        <v>2048</v>
      </c>
      <c r="B43" s="206">
        <f>airport2019!G45</f>
        <v>48268.032081026118</v>
      </c>
      <c r="C43" s="206">
        <f>lagoon2019!E51</f>
        <v>11336.168034408745</v>
      </c>
      <c r="D43" s="212">
        <f>Result!B43</f>
        <v>6084.2105263157873</v>
      </c>
      <c r="E43" s="206">
        <f>Result!C43</f>
        <v>3485</v>
      </c>
      <c r="F43" s="204">
        <f>Result!D43</f>
        <v>35936.299999999996</v>
      </c>
      <c r="G43" s="202">
        <f>Result!E43</f>
        <v>6341.7</v>
      </c>
      <c r="H43" s="204">
        <f>Result!F43</f>
        <v>28193</v>
      </c>
      <c r="I43" s="202">
        <f>Result!G43</f>
        <v>12177</v>
      </c>
      <c r="J43" s="202">
        <f>Result!H43</f>
        <v>2444</v>
      </c>
      <c r="K43" s="204">
        <f>Result!I43</f>
        <v>31203</v>
      </c>
      <c r="L43" s="202">
        <f>Result!J43</f>
        <v>10548</v>
      </c>
      <c r="M43" s="202">
        <f>Result!K43</f>
        <v>11812</v>
      </c>
      <c r="N43" s="202">
        <f>Result!L43</f>
        <v>442</v>
      </c>
      <c r="O43" s="202">
        <f>Result!M43</f>
        <v>4485</v>
      </c>
      <c r="P43" s="202">
        <f>Result!N43</f>
        <v>1958</v>
      </c>
      <c r="Q43" s="202">
        <f>Result!O43</f>
        <v>1769</v>
      </c>
      <c r="R43" s="202">
        <f>Result!P43</f>
        <v>960</v>
      </c>
      <c r="S43" s="202">
        <f>Result!Q43</f>
        <v>695</v>
      </c>
      <c r="T43" s="202">
        <f>Result!R43</f>
        <v>5776</v>
      </c>
      <c r="U43" s="204">
        <f>Result!S43</f>
        <v>33947</v>
      </c>
      <c r="V43" s="204">
        <f>Result!T43</f>
        <v>59915.107298474948</v>
      </c>
      <c r="W43" s="202">
        <f>Result!U43</f>
        <v>1302</v>
      </c>
      <c r="X43" s="202">
        <f>Result!V43</f>
        <v>656</v>
      </c>
      <c r="Y43" s="202">
        <f>Result!W43</f>
        <v>1565.7407407407404</v>
      </c>
      <c r="Z43" s="202">
        <f>Result!X43</f>
        <v>1513.2352941176478</v>
      </c>
    </row>
    <row r="44" spans="1:26" x14ac:dyDescent="0.25">
      <c r="A44" s="59">
        <v>2049</v>
      </c>
      <c r="B44" s="206">
        <f>airport2019!G46</f>
        <v>48920.542036078536</v>
      </c>
      <c r="C44" s="206">
        <f>lagoon2019!E52</f>
        <v>11462.499004624933</v>
      </c>
      <c r="D44" s="212">
        <f>Result!B44</f>
        <v>6192.1052631578923</v>
      </c>
      <c r="E44" s="206">
        <f>Result!C44</f>
        <v>3492.5</v>
      </c>
      <c r="F44" s="204">
        <f>Result!D44</f>
        <v>35938.85</v>
      </c>
      <c r="G44" s="202">
        <f>Result!E44</f>
        <v>6342.15</v>
      </c>
      <c r="H44" s="204">
        <f>Result!F44</f>
        <v>28235</v>
      </c>
      <c r="I44" s="202">
        <f>Result!G44</f>
        <v>12219</v>
      </c>
      <c r="J44" s="202">
        <f>Result!H44</f>
        <v>2453</v>
      </c>
      <c r="K44" s="204">
        <f>Result!I44</f>
        <v>31756</v>
      </c>
      <c r="L44" s="202">
        <f>Result!J44</f>
        <v>10735</v>
      </c>
      <c r="M44" s="202">
        <f>Result!K44</f>
        <v>12021</v>
      </c>
      <c r="N44" s="202">
        <f>Result!L44</f>
        <v>450</v>
      </c>
      <c r="O44" s="202">
        <f>Result!M44</f>
        <v>4564</v>
      </c>
      <c r="P44" s="202">
        <f>Result!N44</f>
        <v>1993</v>
      </c>
      <c r="Q44" s="202">
        <f>Result!O44</f>
        <v>1800</v>
      </c>
      <c r="R44" s="202">
        <f>Result!P44</f>
        <v>980</v>
      </c>
      <c r="S44" s="202">
        <f>Result!Q44</f>
        <v>707</v>
      </c>
      <c r="T44" s="202">
        <f>Result!R44</f>
        <v>6000</v>
      </c>
      <c r="U44" s="204">
        <f>Result!S44</f>
        <v>33974</v>
      </c>
      <c r="V44" s="204">
        <f>Result!T44</f>
        <v>60442.553649237481</v>
      </c>
      <c r="W44" s="202">
        <f>Result!U44</f>
        <v>1321</v>
      </c>
      <c r="X44" s="202">
        <f>Result!V44</f>
        <v>663</v>
      </c>
      <c r="Y44" s="202">
        <f>Result!W44</f>
        <v>1620.37037037037</v>
      </c>
      <c r="Z44" s="202">
        <f>Result!X44</f>
        <v>1594.1176470588243</v>
      </c>
    </row>
    <row r="45" spans="1:26" x14ac:dyDescent="0.25">
      <c r="A45" s="207">
        <v>2050</v>
      </c>
      <c r="B45" s="208">
        <f>airport2019!G47</f>
        <v>49581.872927537224</v>
      </c>
      <c r="C45" s="208">
        <f>lagoon2019!E53</f>
        <v>11590.237815126067</v>
      </c>
      <c r="D45" s="213">
        <f>Result!B45</f>
        <v>6300</v>
      </c>
      <c r="E45" s="208">
        <f>Result!C45</f>
        <v>3500</v>
      </c>
      <c r="F45" s="209">
        <f>Result!D45</f>
        <v>35938.85</v>
      </c>
      <c r="G45" s="210">
        <f>Result!E45</f>
        <v>6342.15</v>
      </c>
      <c r="H45" s="209">
        <f>Result!F45</f>
        <v>28276.799999999999</v>
      </c>
      <c r="I45" s="210">
        <f>Result!G45</f>
        <v>12260.8</v>
      </c>
      <c r="J45" s="210">
        <f>Result!H45</f>
        <v>2462.4</v>
      </c>
      <c r="K45" s="209">
        <f>Result!I45</f>
        <v>32308</v>
      </c>
      <c r="L45" s="210">
        <f>Result!J45</f>
        <v>10922</v>
      </c>
      <c r="M45" s="210">
        <f>Result!K45</f>
        <v>12230</v>
      </c>
      <c r="N45" s="210">
        <f>Result!L45</f>
        <v>458</v>
      </c>
      <c r="O45" s="210">
        <f>Result!M45</f>
        <v>4643</v>
      </c>
      <c r="P45" s="210">
        <f>Result!N45</f>
        <v>2027</v>
      </c>
      <c r="Q45" s="210">
        <f>Result!O45</f>
        <v>1831</v>
      </c>
      <c r="R45" s="210">
        <f>Result!P45</f>
        <v>1000</v>
      </c>
      <c r="S45" s="210">
        <f>Result!Q45</f>
        <v>719</v>
      </c>
      <c r="T45" s="210">
        <f>Result!R45</f>
        <v>6224</v>
      </c>
      <c r="U45" s="209">
        <f>Result!S45</f>
        <v>34000</v>
      </c>
      <c r="V45" s="209">
        <f>Result!T45</f>
        <v>60970</v>
      </c>
      <c r="W45" s="210">
        <f>Result!U45</f>
        <v>1340</v>
      </c>
      <c r="X45" s="210">
        <f>Result!V45</f>
        <v>670</v>
      </c>
      <c r="Y45" s="210">
        <f>Result!W45</f>
        <v>1675</v>
      </c>
      <c r="Z45" s="210">
        <f>Result!X45</f>
        <v>1675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50DD-75FF-4548-AAC2-B9D61819EF7D}">
  <sheetPr>
    <tabColor rgb="FFC00000"/>
  </sheetPr>
  <dimension ref="A1:AC28"/>
  <sheetViews>
    <sheetView zoomScale="80" zoomScaleNormal="80" workbookViewId="0">
      <selection activeCell="A2" sqref="A2"/>
    </sheetView>
  </sheetViews>
  <sheetFormatPr defaultColWidth="8.7109375" defaultRowHeight="15" x14ac:dyDescent="0.25"/>
  <cols>
    <col min="1" max="1" width="13" style="197" customWidth="1"/>
    <col min="2" max="2" width="15.28515625" style="197" customWidth="1"/>
    <col min="3" max="3" width="10.85546875" style="197" bestFit="1" customWidth="1"/>
    <col min="4" max="4" width="10.7109375" style="197" bestFit="1" customWidth="1"/>
    <col min="5" max="5" width="12.140625" style="197" bestFit="1" customWidth="1"/>
    <col min="6" max="6" width="11.5703125" style="197" bestFit="1" customWidth="1"/>
    <col min="7" max="7" width="10.85546875" style="197" bestFit="1" customWidth="1"/>
    <col min="8" max="8" width="11.28515625" style="197" bestFit="1" customWidth="1"/>
    <col min="9" max="9" width="12" style="197" bestFit="1" customWidth="1"/>
    <col min="10" max="19" width="10.7109375" style="197" customWidth="1"/>
    <col min="20" max="20" width="11.85546875" style="197" customWidth="1"/>
    <col min="21" max="25" width="12.85546875" style="197" customWidth="1"/>
    <col min="26" max="26" width="21.7109375" style="197" customWidth="1"/>
    <col min="27" max="16384" width="8.7109375" style="197"/>
  </cols>
  <sheetData>
    <row r="1" spans="1:29" s="215" customFormat="1" ht="23.25" x14ac:dyDescent="0.35">
      <c r="A1" s="215" t="s">
        <v>333</v>
      </c>
    </row>
    <row r="3" spans="1:29" x14ac:dyDescent="0.25">
      <c r="B3" s="59" t="s">
        <v>335</v>
      </c>
      <c r="C3" s="203" t="s">
        <v>6</v>
      </c>
      <c r="D3" s="203" t="s">
        <v>259</v>
      </c>
      <c r="E3" s="203" t="s">
        <v>328</v>
      </c>
      <c r="F3" s="59" t="s">
        <v>329</v>
      </c>
      <c r="G3" s="203" t="s">
        <v>248</v>
      </c>
      <c r="H3" s="59" t="s">
        <v>247</v>
      </c>
      <c r="I3" s="59" t="s">
        <v>249</v>
      </c>
      <c r="J3" s="203" t="s">
        <v>260</v>
      </c>
      <c r="K3" s="59" t="s">
        <v>261</v>
      </c>
      <c r="L3" s="59" t="s">
        <v>262</v>
      </c>
      <c r="M3" s="59" t="s">
        <v>253</v>
      </c>
      <c r="N3" s="59" t="s">
        <v>263</v>
      </c>
      <c r="O3" s="59" t="s">
        <v>264</v>
      </c>
      <c r="P3" s="59" t="s">
        <v>265</v>
      </c>
      <c r="Q3" s="59" t="s">
        <v>254</v>
      </c>
      <c r="R3" s="59" t="s">
        <v>255</v>
      </c>
      <c r="S3" s="59" t="s">
        <v>330</v>
      </c>
      <c r="T3" s="203" t="s">
        <v>12</v>
      </c>
      <c r="U3" s="203" t="s">
        <v>250</v>
      </c>
      <c r="V3" s="59" t="s">
        <v>251</v>
      </c>
      <c r="W3" s="59" t="s">
        <v>252</v>
      </c>
      <c r="X3" s="59" t="s">
        <v>331</v>
      </c>
      <c r="Y3" s="59" t="s">
        <v>332</v>
      </c>
      <c r="Z3" s="59" t="s">
        <v>336</v>
      </c>
      <c r="AC3" s="214"/>
    </row>
    <row r="4" spans="1:29" s="214" customFormat="1" x14ac:dyDescent="0.25">
      <c r="A4" s="220" t="s">
        <v>258</v>
      </c>
      <c r="B4" s="219">
        <v>1</v>
      </c>
      <c r="C4" s="217">
        <f>'calc%concurrent'!F5</f>
        <v>0.10050000000000003</v>
      </c>
      <c r="D4" s="217">
        <f>'calc%concurrent'!F12</f>
        <v>1.1562500000000031E-2</v>
      </c>
      <c r="E4" s="217">
        <f>'calc%concurrent'!F9</f>
        <v>2.6040514489776623E-2</v>
      </c>
      <c r="F4" s="225">
        <f>$E4</f>
        <v>2.6040514489776623E-2</v>
      </c>
      <c r="G4" s="217">
        <f>'calc%concurrent'!F10</f>
        <v>0.21501653575857793</v>
      </c>
      <c r="H4" s="229">
        <f>'calc%concurrent'!F11</f>
        <v>0.30851477449455678</v>
      </c>
      <c r="I4" s="225">
        <f>H4</f>
        <v>0.30851477449455678</v>
      </c>
      <c r="J4" s="217">
        <f>'calc%concurrent'!F6</f>
        <v>0.34092450566077115</v>
      </c>
      <c r="K4" s="225">
        <f>$J4</f>
        <v>0.34092450566077115</v>
      </c>
      <c r="L4" s="225">
        <f t="shared" ref="L4:S5" si="0">$J4</f>
        <v>0.34092450566077115</v>
      </c>
      <c r="M4" s="225">
        <f t="shared" si="0"/>
        <v>0.34092450566077115</v>
      </c>
      <c r="N4" s="225">
        <f t="shared" si="0"/>
        <v>0.34092450566077115</v>
      </c>
      <c r="O4" s="225">
        <f t="shared" si="0"/>
        <v>0.34092450566077115</v>
      </c>
      <c r="P4" s="225">
        <f t="shared" si="0"/>
        <v>0.34092450566077115</v>
      </c>
      <c r="Q4" s="225">
        <f t="shared" si="0"/>
        <v>0.34092450566077115</v>
      </c>
      <c r="R4" s="225">
        <f t="shared" si="0"/>
        <v>0.34092450566077115</v>
      </c>
      <c r="S4" s="225">
        <f t="shared" si="0"/>
        <v>0.34092450566077115</v>
      </c>
      <c r="T4" s="224">
        <f>E4</f>
        <v>2.6040514489776623E-2</v>
      </c>
      <c r="U4" s="217">
        <f>'calc%concurrent'!F8</f>
        <v>0.26992028734364659</v>
      </c>
      <c r="V4" s="225">
        <f>$U4</f>
        <v>0.26992028734364659</v>
      </c>
      <c r="W4" s="225">
        <f t="shared" ref="W4:Y4" si="1">$U4</f>
        <v>0.26992028734364659</v>
      </c>
      <c r="X4" s="225">
        <f t="shared" si="1"/>
        <v>0.26992028734364659</v>
      </c>
      <c r="Y4" s="225">
        <f t="shared" si="1"/>
        <v>0.26992028734364659</v>
      </c>
      <c r="Z4" s="216" t="s">
        <v>258</v>
      </c>
    </row>
    <row r="5" spans="1:29" s="214" customFormat="1" x14ac:dyDescent="0.25">
      <c r="A5" s="220" t="s">
        <v>256</v>
      </c>
      <c r="B5" s="219">
        <v>2</v>
      </c>
      <c r="C5" s="218">
        <f>'Calc%FTE'!F43</f>
        <v>1.1790281329923273</v>
      </c>
      <c r="D5" s="218">
        <f>'Calc%FTE'!F47</f>
        <v>1.0984236831987697</v>
      </c>
      <c r="E5" s="218">
        <f>'Calc%FTE'!E31</f>
        <v>1.2097574142177536</v>
      </c>
      <c r="F5" s="225">
        <f t="shared" ref="F5:F6" si="2">$E5</f>
        <v>1.2097574142177536</v>
      </c>
      <c r="G5" s="218">
        <f>'Calc%FTE'!E33</f>
        <v>1.5884045773067275</v>
      </c>
      <c r="H5" s="225">
        <f t="shared" ref="H5" si="3">$G5</f>
        <v>1.5884045773067275</v>
      </c>
      <c r="I5" s="225">
        <f t="shared" ref="I5" si="4">$G5</f>
        <v>1.5884045773067275</v>
      </c>
      <c r="J5" s="218">
        <f>'Calc%FTE'!E38</f>
        <v>2.0051390102266304</v>
      </c>
      <c r="K5" s="225">
        <f>$J5</f>
        <v>2.0051390102266304</v>
      </c>
      <c r="L5" s="225">
        <f t="shared" si="0"/>
        <v>2.0051390102266304</v>
      </c>
      <c r="M5" s="225">
        <f t="shared" si="0"/>
        <v>2.0051390102266304</v>
      </c>
      <c r="N5" s="225">
        <f t="shared" si="0"/>
        <v>2.0051390102266304</v>
      </c>
      <c r="O5" s="225">
        <f t="shared" si="0"/>
        <v>2.0051390102266304</v>
      </c>
      <c r="P5" s="225">
        <f t="shared" si="0"/>
        <v>2.0051390102266304</v>
      </c>
      <c r="Q5" s="225">
        <f t="shared" si="0"/>
        <v>2.0051390102266304</v>
      </c>
      <c r="R5" s="225">
        <f t="shared" si="0"/>
        <v>2.0051390102266304</v>
      </c>
      <c r="S5" s="225">
        <f t="shared" si="0"/>
        <v>2.0051390102266304</v>
      </c>
      <c r="T5" s="224">
        <f>E5</f>
        <v>1.2097574142177536</v>
      </c>
      <c r="U5" s="218">
        <f>'Calc%FTE'!E37</f>
        <v>1.3995715528045451</v>
      </c>
      <c r="V5" s="225">
        <f t="shared" ref="V5:Y6" si="5">$U5</f>
        <v>1.3995715528045451</v>
      </c>
      <c r="W5" s="225">
        <f t="shared" si="5"/>
        <v>1.3995715528045451</v>
      </c>
      <c r="X5" s="225">
        <f t="shared" si="5"/>
        <v>1.3995715528045451</v>
      </c>
      <c r="Y5" s="225">
        <f t="shared" si="5"/>
        <v>1.3995715528045451</v>
      </c>
      <c r="Z5" s="216" t="s">
        <v>256</v>
      </c>
    </row>
    <row r="6" spans="1:29" s="214" customFormat="1" x14ac:dyDescent="0.25">
      <c r="A6" s="220" t="s">
        <v>257</v>
      </c>
      <c r="B6" s="219">
        <v>3</v>
      </c>
      <c r="C6" s="230">
        <v>0.93010000000000004</v>
      </c>
      <c r="D6" s="230">
        <v>0.93010000000000004</v>
      </c>
      <c r="E6" s="230">
        <v>0.93010000000000004</v>
      </c>
      <c r="F6" s="225">
        <f t="shared" si="2"/>
        <v>0.93010000000000004</v>
      </c>
      <c r="G6" s="230">
        <v>0.83</v>
      </c>
      <c r="H6" s="231">
        <v>0.67700000000000005</v>
      </c>
      <c r="I6" s="225">
        <f>H6</f>
        <v>0.67700000000000005</v>
      </c>
      <c r="J6" s="230">
        <v>0.62190000000000001</v>
      </c>
      <c r="K6" s="231">
        <v>0.64219999999999999</v>
      </c>
      <c r="L6" s="231">
        <v>0.56869999999999998</v>
      </c>
      <c r="M6" s="225">
        <f>L6</f>
        <v>0.56869999999999998</v>
      </c>
      <c r="N6" s="231">
        <v>0.61580000000000001</v>
      </c>
      <c r="O6" s="225">
        <f>N6</f>
        <v>0.61580000000000001</v>
      </c>
      <c r="P6" s="225">
        <f t="shared" ref="P6:R6" si="6">O6</f>
        <v>0.61580000000000001</v>
      </c>
      <c r="Q6" s="225">
        <f t="shared" si="6"/>
        <v>0.61580000000000001</v>
      </c>
      <c r="R6" s="225">
        <f t="shared" si="6"/>
        <v>0.61580000000000001</v>
      </c>
      <c r="S6" s="225">
        <f>R6</f>
        <v>0.61580000000000001</v>
      </c>
      <c r="T6" s="230">
        <v>0.93010000000000004</v>
      </c>
      <c r="U6" s="230">
        <v>0.94520000000000004</v>
      </c>
      <c r="V6" s="225">
        <f t="shared" si="5"/>
        <v>0.94520000000000004</v>
      </c>
      <c r="W6" s="225">
        <f t="shared" si="5"/>
        <v>0.94520000000000004</v>
      </c>
      <c r="X6" s="225">
        <f t="shared" si="5"/>
        <v>0.94520000000000004</v>
      </c>
      <c r="Y6" s="225">
        <f t="shared" si="5"/>
        <v>0.94520000000000004</v>
      </c>
      <c r="Z6" s="216" t="s">
        <v>257</v>
      </c>
    </row>
    <row r="8" spans="1:29" x14ac:dyDescent="0.25">
      <c r="A8" s="220" t="s">
        <v>337</v>
      </c>
    </row>
    <row r="9" spans="1:29" x14ac:dyDescent="0.25">
      <c r="A9" s="221" t="s">
        <v>338</v>
      </c>
    </row>
    <row r="10" spans="1:29" x14ac:dyDescent="0.25">
      <c r="A10" s="221" t="s">
        <v>339</v>
      </c>
    </row>
    <row r="28" spans="4:6" x14ac:dyDescent="0.25">
      <c r="D28" s="198"/>
      <c r="E28" s="198"/>
      <c r="F28" s="19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2:X50"/>
  <sheetViews>
    <sheetView zoomScale="70" zoomScaleNormal="70" workbookViewId="0">
      <selection activeCell="D17" sqref="D17"/>
    </sheetView>
  </sheetViews>
  <sheetFormatPr defaultColWidth="12.42578125" defaultRowHeight="15" x14ac:dyDescent="0.25"/>
  <cols>
    <col min="1" max="1" width="12.140625" customWidth="1"/>
  </cols>
  <sheetData>
    <row r="2" spans="1:24" x14ac:dyDescent="0.25">
      <c r="D2" s="200">
        <v>0.85</v>
      </c>
      <c r="E2" s="200">
        <v>0.15</v>
      </c>
    </row>
    <row r="3" spans="1:24" x14ac:dyDescent="0.25">
      <c r="A3" s="38"/>
      <c r="B3" s="38"/>
      <c r="C3" s="38"/>
      <c r="D3" s="240" t="s">
        <v>327</v>
      </c>
      <c r="E3" s="242"/>
      <c r="F3" s="239" t="s">
        <v>215</v>
      </c>
      <c r="G3" s="239"/>
      <c r="H3" s="239"/>
      <c r="I3" s="240" t="s">
        <v>154</v>
      </c>
      <c r="J3" s="241"/>
      <c r="K3" s="241"/>
      <c r="L3" s="241"/>
      <c r="M3" s="241"/>
      <c r="N3" s="241"/>
      <c r="O3" s="241"/>
      <c r="P3" s="241"/>
      <c r="Q3" s="241"/>
      <c r="R3" s="242"/>
      <c r="S3" s="38"/>
      <c r="T3" s="240" t="s">
        <v>11</v>
      </c>
      <c r="U3" s="241"/>
      <c r="V3" s="241"/>
      <c r="W3" s="241"/>
      <c r="X3" s="242"/>
    </row>
    <row r="4" spans="1:24" x14ac:dyDescent="0.25">
      <c r="A4" s="38" t="s">
        <v>13</v>
      </c>
      <c r="B4" s="38" t="s">
        <v>6</v>
      </c>
      <c r="C4" s="38" t="s">
        <v>216</v>
      </c>
      <c r="D4" s="38" t="s">
        <v>325</v>
      </c>
      <c r="E4" s="38" t="s">
        <v>326</v>
      </c>
      <c r="F4" s="38" t="s">
        <v>168</v>
      </c>
      <c r="G4" s="38" t="s">
        <v>174</v>
      </c>
      <c r="H4" s="38" t="s">
        <v>220</v>
      </c>
      <c r="I4" s="38" t="str">
        <f t="shared" ref="I4:Q4" si="0">M47</f>
        <v>Taylorsville Redwood Campus</v>
      </c>
      <c r="J4" s="38" t="str">
        <f t="shared" si="0"/>
        <v>South City Campus</v>
      </c>
      <c r="K4" s="38" t="str">
        <f t="shared" si="0"/>
        <v>Jordan Campus</v>
      </c>
      <c r="L4" s="38" t="str">
        <f t="shared" si="0"/>
        <v>Meadowbrook</v>
      </c>
      <c r="M4" s="38" t="str">
        <f t="shared" si="0"/>
        <v>Miller Campus &amp; Miller Campus (Internet)</v>
      </c>
      <c r="N4" s="38" t="str">
        <f t="shared" si="0"/>
        <v>Library Square Center (Opened Spring 06-07)</v>
      </c>
      <c r="O4" s="38" t="str">
        <f t="shared" si="0"/>
        <v>highland</v>
      </c>
      <c r="P4" s="38" t="str">
        <f t="shared" si="0"/>
        <v>Ariport</v>
      </c>
      <c r="Q4" s="38" t="str">
        <f t="shared" si="0"/>
        <v>Westpointe</v>
      </c>
      <c r="R4" s="38" t="s">
        <v>307</v>
      </c>
      <c r="S4" s="38" t="s">
        <v>12</v>
      </c>
      <c r="T4" s="38" t="s">
        <v>217</v>
      </c>
      <c r="U4" s="38" t="s">
        <v>218</v>
      </c>
      <c r="V4" s="38" t="s">
        <v>219</v>
      </c>
      <c r="W4" s="38" t="s">
        <v>311</v>
      </c>
      <c r="X4" s="38" t="s">
        <v>312</v>
      </c>
    </row>
    <row r="5" spans="1:24" x14ac:dyDescent="0.25">
      <c r="A5" s="38">
        <v>2010</v>
      </c>
      <c r="B5" s="39">
        <f>B6-100</f>
        <v>2000</v>
      </c>
      <c r="C5" s="39">
        <f>Westminstor!B24</f>
        <v>3200</v>
      </c>
      <c r="D5" s="199">
        <f>U!$F42 * D$2</f>
        <v>26896.55</v>
      </c>
      <c r="E5" s="199">
        <f>U!$F42 * E$2</f>
        <v>4746.45</v>
      </c>
      <c r="F5" s="39">
        <f>ROUND(WSU!F123*0.79,0)</f>
        <v>19352</v>
      </c>
      <c r="G5" s="39">
        <f>ROUND(WSU!F123*0.18,0)</f>
        <v>4409</v>
      </c>
      <c r="H5" s="39">
        <f>ROUND(WSU!F123*0.03,0)</f>
        <v>735</v>
      </c>
      <c r="I5" s="39">
        <f>ROUND(slcc!$C24*M$48,0)</f>
        <v>18914</v>
      </c>
      <c r="J5" s="39">
        <f>ROUND(slcc!$C24*N$48,0)</f>
        <v>6394</v>
      </c>
      <c r="K5" s="39">
        <f>ROUND(slcc!$C24*O$48,0)</f>
        <v>7160</v>
      </c>
      <c r="L5" s="39">
        <f>ROUND(slcc!$C24*P$48,0)</f>
        <v>268</v>
      </c>
      <c r="M5" s="39">
        <f>ROUND(slcc!$C24*Q$48,0)</f>
        <v>2718</v>
      </c>
      <c r="N5" s="39">
        <f>ROUND(slcc!$C24*R$48,0)</f>
        <v>1187</v>
      </c>
      <c r="O5" s="39">
        <f>ROUND(slcc!$C24*S$48,0)</f>
        <v>1072</v>
      </c>
      <c r="P5" s="39">
        <v>200</v>
      </c>
      <c r="Q5" s="39">
        <f>ROUND(slcc!$C24*U$48,0)</f>
        <v>421</v>
      </c>
      <c r="R5" s="39"/>
      <c r="S5" s="39">
        <f>BYU!E6</f>
        <v>32947</v>
      </c>
      <c r="T5" s="39">
        <f>ROUND(UVU!C24-V5-U5,0)</f>
        <v>31340</v>
      </c>
      <c r="U5" s="41"/>
      <c r="V5" s="41">
        <v>399</v>
      </c>
      <c r="W5" s="41"/>
      <c r="X5" s="41"/>
    </row>
    <row r="6" spans="1:24" x14ac:dyDescent="0.25">
      <c r="A6" s="38">
        <v>2011</v>
      </c>
      <c r="B6" s="39">
        <f>B7-100</f>
        <v>2100</v>
      </c>
      <c r="C6" s="39">
        <f>Westminstor!B25</f>
        <v>3207.5</v>
      </c>
      <c r="D6" s="199">
        <f>U!$F43 * D$2</f>
        <v>27813.7</v>
      </c>
      <c r="E6" s="199">
        <f>U!$F43 * E$2</f>
        <v>4908.3</v>
      </c>
      <c r="F6" s="39">
        <f>ROUND(WSU!F124*0.79,0)</f>
        <v>20742</v>
      </c>
      <c r="G6" s="39">
        <f>ROUND(WSU!F124*0.18,0)</f>
        <v>4726</v>
      </c>
      <c r="H6" s="39">
        <f>ROUND(WSU!F124*0.03,0)</f>
        <v>788</v>
      </c>
      <c r="I6" s="39">
        <f>ROUND(slcc!$C25*M$48,0)</f>
        <v>18170</v>
      </c>
      <c r="J6" s="39">
        <f>ROUND(slcc!$C25*N$48,0)</f>
        <v>6143</v>
      </c>
      <c r="K6" s="39">
        <f>ROUND(slcc!$C25*O$48,0)</f>
        <v>6878</v>
      </c>
      <c r="L6" s="39">
        <f>ROUND(slcc!$C25*P$48,0)</f>
        <v>257</v>
      </c>
      <c r="M6" s="39">
        <f>ROUND(slcc!$C25*Q$48,0)</f>
        <v>2612</v>
      </c>
      <c r="N6" s="39">
        <f>ROUND(slcc!$C25*R$48,0)</f>
        <v>1140</v>
      </c>
      <c r="O6" s="39">
        <f>ROUND(slcc!$C25*S$48,0)</f>
        <v>1030</v>
      </c>
      <c r="P6" s="39">
        <f>P5+20</f>
        <v>220</v>
      </c>
      <c r="Q6" s="39">
        <f>ROUND(slcc!$C25*U$48,0)</f>
        <v>405</v>
      </c>
      <c r="R6" s="39"/>
      <c r="S6" s="39">
        <f t="shared" ref="S6:S44" si="1">ROUND(S$5+(S$45-S$5)*($A6-$A$5)/($A$45-$A$5),0)</f>
        <v>32973</v>
      </c>
      <c r="T6" s="39">
        <f>UVU!C25-SUM(U6:X6)</f>
        <v>32334</v>
      </c>
      <c r="U6" s="41"/>
      <c r="V6" s="41">
        <v>400</v>
      </c>
      <c r="W6" s="41"/>
      <c r="X6" s="41"/>
    </row>
    <row r="7" spans="1:24" x14ac:dyDescent="0.25">
      <c r="A7" s="38">
        <v>2012</v>
      </c>
      <c r="B7" s="39">
        <f>LDSBC!B3</f>
        <v>2200</v>
      </c>
      <c r="C7" s="39">
        <f>Westminstor!B26</f>
        <v>3215</v>
      </c>
      <c r="D7" s="199">
        <f>U!$F44 * D$2</f>
        <v>28297.35</v>
      </c>
      <c r="E7" s="199">
        <f>U!$F44 * E$2</f>
        <v>4993.6499999999996</v>
      </c>
      <c r="F7" s="160">
        <f>F6+0.45*(WSU!F125-WSU!F124)</f>
        <v>21248.25</v>
      </c>
      <c r="G7" s="160">
        <f>G6+0.45*(WSU!F125-WSU!F124)</f>
        <v>5232.25</v>
      </c>
      <c r="H7" s="160">
        <f>H6+0.1*(WSU!F125-WSU!F124)</f>
        <v>900.5</v>
      </c>
      <c r="I7" s="39">
        <f>ROUND(slcc!$C26*M$48,0)</f>
        <v>17687</v>
      </c>
      <c r="J7" s="39">
        <f>ROUND(slcc!$C26*N$48,0)</f>
        <v>5979</v>
      </c>
      <c r="K7" s="39">
        <f>ROUND(slcc!$C26*O$48,0)</f>
        <v>6695</v>
      </c>
      <c r="L7" s="39">
        <f>ROUND(slcc!$C26*P$48,0)</f>
        <v>251</v>
      </c>
      <c r="M7" s="39">
        <f>ROUND(slcc!$C26*Q$48,0)</f>
        <v>2542</v>
      </c>
      <c r="N7" s="39">
        <f>ROUND(slcc!$C26*R$48,0)</f>
        <v>1110</v>
      </c>
      <c r="O7" s="39">
        <f>ROUND(slcc!$C26*S$48,0)</f>
        <v>1003</v>
      </c>
      <c r="P7" s="39">
        <f t="shared" ref="P7:P45" si="2">P6+20</f>
        <v>240</v>
      </c>
      <c r="Q7" s="39">
        <f>ROUND(slcc!$C26*U$48,0)</f>
        <v>394</v>
      </c>
      <c r="R7" s="39"/>
      <c r="S7" s="39">
        <f t="shared" si="1"/>
        <v>33000</v>
      </c>
      <c r="T7" s="39">
        <f>UVU!C26-SUM(U7:X7)</f>
        <v>31403</v>
      </c>
      <c r="U7" s="39"/>
      <c r="V7" s="39">
        <f t="shared" ref="V7:V44" si="3">ROUND(V$6+(V$45-V$6)*($A7-$A$6)/($A$45-$A$6),0)</f>
        <v>407</v>
      </c>
      <c r="W7" s="39"/>
      <c r="X7" s="39"/>
    </row>
    <row r="8" spans="1:24" x14ac:dyDescent="0.25">
      <c r="A8" s="38">
        <v>2013</v>
      </c>
      <c r="B8" s="39">
        <f>LDSBC!B4</f>
        <v>2307.8947368421054</v>
      </c>
      <c r="C8" s="39">
        <f>Westminstor!B27</f>
        <v>3222.5</v>
      </c>
      <c r="D8" s="199">
        <f>U!$F45 * D$2</f>
        <v>30792.1</v>
      </c>
      <c r="E8" s="199">
        <f>U!$F45 * E$2</f>
        <v>5433.9</v>
      </c>
      <c r="F8" s="160">
        <f>F7+0.45*(WSU!F126-WSU!F125)</f>
        <v>20575.5</v>
      </c>
      <c r="G8" s="160">
        <f>G7+0.45*(WSU!F126-WSU!F125)</f>
        <v>4559.5</v>
      </c>
      <c r="H8" s="160">
        <f>H7+0.1*(WSU!F126-WSU!F125)</f>
        <v>751</v>
      </c>
      <c r="I8" s="39">
        <f>ROUND(slcc!$C27*M$48,0)</f>
        <v>17311</v>
      </c>
      <c r="J8" s="39">
        <f>ROUND(slcc!$C27*N$48,0)</f>
        <v>5852</v>
      </c>
      <c r="K8" s="39">
        <f>ROUND(slcc!$C27*O$48,0)</f>
        <v>6553</v>
      </c>
      <c r="L8" s="39">
        <f>ROUND(slcc!$C27*P$48,0)</f>
        <v>245</v>
      </c>
      <c r="M8" s="39">
        <f>ROUND(slcc!$C27*Q$48,0)</f>
        <v>2488</v>
      </c>
      <c r="N8" s="39">
        <f>ROUND(slcc!$C27*R$48,0)</f>
        <v>1086</v>
      </c>
      <c r="O8" s="39">
        <f>ROUND(slcc!$C27*S$48,0)</f>
        <v>981</v>
      </c>
      <c r="P8" s="39">
        <f t="shared" si="2"/>
        <v>260</v>
      </c>
      <c r="Q8" s="39">
        <f>ROUND(slcc!$C27*U$48,0)</f>
        <v>385</v>
      </c>
      <c r="R8" s="39"/>
      <c r="S8" s="39">
        <f t="shared" si="1"/>
        <v>33026</v>
      </c>
      <c r="T8" s="39">
        <f>UVU!C27-SUM(U8:X8)</f>
        <v>30466</v>
      </c>
      <c r="U8" s="39"/>
      <c r="V8" s="39">
        <f t="shared" si="3"/>
        <v>414</v>
      </c>
      <c r="W8" s="39"/>
      <c r="X8" s="39"/>
    </row>
    <row r="9" spans="1:24" x14ac:dyDescent="0.25">
      <c r="A9" s="38">
        <v>2014</v>
      </c>
      <c r="B9" s="39">
        <f>LDSBC!B5</f>
        <v>2415.7894736842109</v>
      </c>
      <c r="C9" s="39">
        <f>Westminstor!B28</f>
        <v>3230</v>
      </c>
      <c r="D9" s="199">
        <f>U!$F46 * D$2</f>
        <v>27202.55</v>
      </c>
      <c r="E9" s="199">
        <f>U!$F46 * E$2</f>
        <v>4800.45</v>
      </c>
      <c r="F9" s="160">
        <f>F8+0.45*(WSU!F127-WSU!F126)</f>
        <v>21037.65</v>
      </c>
      <c r="G9" s="160">
        <f>G8+0.45*(WSU!F127-WSU!F126)</f>
        <v>5021.6499999999996</v>
      </c>
      <c r="H9" s="160">
        <f>H8+0.1*(WSU!F127-WSU!F126)</f>
        <v>853.7</v>
      </c>
      <c r="I9" s="39">
        <f>ROUND(slcc!$C28*M$48,0)</f>
        <v>16525</v>
      </c>
      <c r="J9" s="39">
        <f>ROUND(slcc!$C28*N$48,0)</f>
        <v>5586</v>
      </c>
      <c r="K9" s="39">
        <f>ROUND(slcc!$C28*O$48,0)</f>
        <v>6255</v>
      </c>
      <c r="L9" s="39">
        <f>ROUND(slcc!$C28*P$48,0)</f>
        <v>234</v>
      </c>
      <c r="M9" s="39">
        <f>ROUND(slcc!$C28*Q$48,0)</f>
        <v>2375</v>
      </c>
      <c r="N9" s="39">
        <f>ROUND(slcc!$C28*R$48,0)</f>
        <v>1037</v>
      </c>
      <c r="O9" s="39">
        <f>ROUND(slcc!$C28*S$48,0)</f>
        <v>937</v>
      </c>
      <c r="P9" s="39">
        <f t="shared" si="2"/>
        <v>280</v>
      </c>
      <c r="Q9" s="39">
        <f>ROUND(slcc!$C28*U$48,0)</f>
        <v>368</v>
      </c>
      <c r="R9" s="39"/>
      <c r="S9" s="39">
        <f t="shared" si="1"/>
        <v>33052</v>
      </c>
      <c r="T9" s="39">
        <f>UVU!C28-SUM(U9:X9)</f>
        <v>31168</v>
      </c>
      <c r="U9" s="39"/>
      <c r="V9" s="39">
        <f t="shared" si="3"/>
        <v>421</v>
      </c>
      <c r="W9" s="39"/>
      <c r="X9" s="39"/>
    </row>
    <row r="10" spans="1:24" x14ac:dyDescent="0.25">
      <c r="A10" s="38">
        <v>2015</v>
      </c>
      <c r="B10" s="39">
        <f>LDSBC!B6</f>
        <v>2523.6842105263163</v>
      </c>
      <c r="C10" s="39">
        <f>Westminstor!B29</f>
        <v>3237.5</v>
      </c>
      <c r="D10" s="199">
        <f>U!$F47 * D$2</f>
        <v>27331.75</v>
      </c>
      <c r="E10" s="199">
        <f>U!$F47 * E$2</f>
        <v>4823.25</v>
      </c>
      <c r="F10" s="160">
        <f>F9+0.45*(WSU!F128-WSU!F127)</f>
        <v>20740.2</v>
      </c>
      <c r="G10" s="160">
        <f>G9+0.45*(WSU!F128-WSU!F127)</f>
        <v>4724.2</v>
      </c>
      <c r="H10" s="160">
        <f>H9+0.1*(WSU!F128-WSU!F127)</f>
        <v>787.6</v>
      </c>
      <c r="I10" s="39">
        <f>ROUND(slcc!$C29*M$48,0)</f>
        <v>15379</v>
      </c>
      <c r="J10" s="39">
        <f>ROUND(slcc!$C29*N$48,0)</f>
        <v>5199</v>
      </c>
      <c r="K10" s="39">
        <f>ROUND(slcc!$C29*O$48,0)</f>
        <v>5821</v>
      </c>
      <c r="L10" s="39">
        <f>ROUND(slcc!$C29*P$48,0)</f>
        <v>218</v>
      </c>
      <c r="M10" s="39">
        <f>ROUND(slcc!$C29*Q$48,0)</f>
        <v>2210</v>
      </c>
      <c r="N10" s="39">
        <f>ROUND(slcc!$C29*R$48,0)</f>
        <v>965</v>
      </c>
      <c r="O10" s="39">
        <f>ROUND(slcc!$C29*S$48,0)</f>
        <v>872</v>
      </c>
      <c r="P10" s="39">
        <f t="shared" si="2"/>
        <v>300</v>
      </c>
      <c r="Q10" s="39">
        <f>ROUND(slcc!$C29*U$48,0)</f>
        <v>342</v>
      </c>
      <c r="R10" s="39"/>
      <c r="S10" s="39">
        <f t="shared" si="1"/>
        <v>33079</v>
      </c>
      <c r="T10" s="39">
        <f>UVU!C29-SUM(U10:X10)</f>
        <v>32457</v>
      </c>
      <c r="U10" s="39">
        <v>680</v>
      </c>
      <c r="V10" s="39">
        <f t="shared" si="3"/>
        <v>428</v>
      </c>
      <c r="W10" s="39"/>
      <c r="X10" s="39"/>
    </row>
    <row r="11" spans="1:24" x14ac:dyDescent="0.25">
      <c r="A11" s="38">
        <v>2016</v>
      </c>
      <c r="B11" s="39">
        <f>LDSBC!B7</f>
        <v>2631.5789473684217</v>
      </c>
      <c r="C11" s="39">
        <f>Westminstor!B30</f>
        <v>3245</v>
      </c>
      <c r="D11" s="199">
        <f>U!$F48 * D$2</f>
        <v>27583.35</v>
      </c>
      <c r="E11" s="199">
        <f>U!$F48 * E$2</f>
        <v>4867.6499999999996</v>
      </c>
      <c r="F11" s="160">
        <f>F10+0.45*(WSU!F129-WSU!F128)</f>
        <v>21183</v>
      </c>
      <c r="G11" s="160">
        <f>G10+0.45*(WSU!F129-WSU!F128)</f>
        <v>5167</v>
      </c>
      <c r="H11" s="160">
        <f>H10+0.1*(WSU!F129-WSU!F128)</f>
        <v>886</v>
      </c>
      <c r="I11" s="39">
        <f>ROUND(slcc!$C30*M$48,0)</f>
        <v>15874</v>
      </c>
      <c r="J11" s="39">
        <f>ROUND(slcc!$C30*N$48,0)</f>
        <v>5366</v>
      </c>
      <c r="K11" s="39">
        <f>ROUND(slcc!$C30*O$48,0)</f>
        <v>6009</v>
      </c>
      <c r="L11" s="39">
        <f>ROUND(slcc!$C30*P$48,0)</f>
        <v>225</v>
      </c>
      <c r="M11" s="39">
        <f>ROUND(slcc!$C30*Q$48,0)</f>
        <v>2281</v>
      </c>
      <c r="N11" s="39">
        <f>ROUND(slcc!$C30*R$48,0)</f>
        <v>996</v>
      </c>
      <c r="O11" s="39">
        <f>ROUND(slcc!$C30*S$48,0)</f>
        <v>900</v>
      </c>
      <c r="P11" s="39">
        <f t="shared" si="2"/>
        <v>320</v>
      </c>
      <c r="Q11" s="39">
        <f>ROUND(slcc!$C30*U$48,0)</f>
        <v>353</v>
      </c>
      <c r="R11" s="39"/>
      <c r="S11" s="39">
        <f t="shared" si="1"/>
        <v>33105</v>
      </c>
      <c r="T11" s="39">
        <f>UVU!C30-SUM(U11:X11)</f>
        <v>33992</v>
      </c>
      <c r="U11" s="39">
        <f>ROUND(U$10+(U$45-U$10)*($A11-$A$10)/($A$45-$A$10),0)</f>
        <v>699</v>
      </c>
      <c r="V11" s="39">
        <f t="shared" si="3"/>
        <v>435</v>
      </c>
      <c r="W11" s="39"/>
      <c r="X11" s="39"/>
    </row>
    <row r="12" spans="1:24" x14ac:dyDescent="0.25">
      <c r="A12" s="38">
        <v>2017</v>
      </c>
      <c r="B12" s="39">
        <f>LDSBC!B8</f>
        <v>2739.4736842105272</v>
      </c>
      <c r="C12" s="39">
        <f>Westminstor!B31</f>
        <v>3252.5</v>
      </c>
      <c r="D12" s="199">
        <f>U!$F49 * D$2</f>
        <v>28180.05</v>
      </c>
      <c r="E12" s="199">
        <f>U!$F49 * E$2</f>
        <v>4972.95</v>
      </c>
      <c r="F12" s="160">
        <f>F11+0.45*(WSU!F130-WSU!F129)</f>
        <v>21697.35</v>
      </c>
      <c r="G12" s="160">
        <f>G11+0.45*(WSU!F130-WSU!F129)</f>
        <v>5681.35</v>
      </c>
      <c r="H12" s="160">
        <f>H11+0.1*(WSU!F130-WSU!F129)</f>
        <v>1000.3</v>
      </c>
      <c r="I12" s="39">
        <f>ROUND(slcc!$C31*M$48,0)</f>
        <v>15945</v>
      </c>
      <c r="J12" s="39">
        <f>ROUND(slcc!$C31*N$48,0)</f>
        <v>5390</v>
      </c>
      <c r="K12" s="39">
        <f>ROUND(slcc!$C31*O$48,0)</f>
        <v>6036</v>
      </c>
      <c r="L12" s="39">
        <f>ROUND(slcc!$C31*P$48,0)</f>
        <v>226</v>
      </c>
      <c r="M12" s="39">
        <f>ROUND(slcc!$C31*Q$48,0)</f>
        <v>2292</v>
      </c>
      <c r="N12" s="39">
        <f>ROUND(slcc!$C31*R$48,0)</f>
        <v>1001</v>
      </c>
      <c r="O12" s="39">
        <f>ROUND(slcc!$C31*S$48,0)</f>
        <v>904</v>
      </c>
      <c r="P12" s="39">
        <f t="shared" si="2"/>
        <v>340</v>
      </c>
      <c r="Q12" s="39">
        <f>ROUND(slcc!$C31*U$48,0)</f>
        <v>355</v>
      </c>
      <c r="R12" s="39"/>
      <c r="S12" s="39">
        <f t="shared" si="1"/>
        <v>33131</v>
      </c>
      <c r="T12" s="39">
        <f>UVU!C31-SUM(U12:X12)</f>
        <v>36625</v>
      </c>
      <c r="U12" s="39">
        <f>ROUND(U$10+(U$45-U$10)*($A12-$A$10)/($A$45-$A$10),0)</f>
        <v>718</v>
      </c>
      <c r="V12" s="39">
        <f t="shared" si="3"/>
        <v>442</v>
      </c>
      <c r="W12" s="39"/>
      <c r="X12" s="39"/>
    </row>
    <row r="13" spans="1:24" x14ac:dyDescent="0.25">
      <c r="A13" s="38">
        <v>2018</v>
      </c>
      <c r="B13" s="39">
        <f>LDSBC!B9</f>
        <v>2847.3684210526326</v>
      </c>
      <c r="C13" s="39">
        <f>Westminstor!B32</f>
        <v>3260</v>
      </c>
      <c r="D13" s="199">
        <f>U!$F50 * D$2</f>
        <v>29109.95</v>
      </c>
      <c r="E13" s="199">
        <f>U!$F50 * E$2</f>
        <v>5137.05</v>
      </c>
      <c r="F13" s="160">
        <f>F12+0.45*(WSU!F131-WSU!F130)</f>
        <v>22755.250968598535</v>
      </c>
      <c r="G13" s="160">
        <f>G12+0.45*(WSU!F131-WSU!F130)</f>
        <v>6739.2509685985378</v>
      </c>
      <c r="H13" s="160">
        <f>H12+0.1*(WSU!F131-WSU!F130)</f>
        <v>1235.3891041330085</v>
      </c>
      <c r="I13" s="39">
        <f>ROUND(slcc!$C32*M$48,0)</f>
        <v>16295</v>
      </c>
      <c r="J13" s="39">
        <f>ROUND(slcc!$C32*N$48,0)</f>
        <v>5508</v>
      </c>
      <c r="K13" s="39">
        <f>ROUND(slcc!$C32*O$48,0)</f>
        <v>6168</v>
      </c>
      <c r="L13" s="39">
        <f>ROUND(slcc!$C32*P$48,0)</f>
        <v>231</v>
      </c>
      <c r="M13" s="39">
        <f>ROUND(slcc!$C32*Q$48,0)</f>
        <v>2342</v>
      </c>
      <c r="N13" s="39">
        <f>ROUND(slcc!$C32*R$48,0)</f>
        <v>1023</v>
      </c>
      <c r="O13" s="39">
        <f>ROUND(slcc!$C32*S$48,0)</f>
        <v>924</v>
      </c>
      <c r="P13" s="39">
        <f t="shared" si="2"/>
        <v>360</v>
      </c>
      <c r="Q13" s="39">
        <f>ROUND(slcc!$C32*U$48,0)</f>
        <v>363</v>
      </c>
      <c r="R13" s="39"/>
      <c r="S13" s="39">
        <f t="shared" si="1"/>
        <v>33158</v>
      </c>
      <c r="T13" s="39">
        <f>UVU!C32-SUM(U13:X13)</f>
        <v>36557.193392000001</v>
      </c>
      <c r="U13" s="39">
        <f t="shared" ref="U13:U37" si="4">ROUND(U$10+(U$45-U$10)*($A13-$A$10)/($A$45-$A$10),0)</f>
        <v>737</v>
      </c>
      <c r="V13" s="39">
        <f t="shared" si="3"/>
        <v>448</v>
      </c>
      <c r="W13" s="39"/>
      <c r="X13" s="39"/>
    </row>
    <row r="14" spans="1:24" x14ac:dyDescent="0.25">
      <c r="A14" s="38">
        <v>2019</v>
      </c>
      <c r="B14" s="39">
        <f>LDSBC!B10</f>
        <v>2955.263157894738</v>
      </c>
      <c r="C14" s="39">
        <f>Westminstor!B33</f>
        <v>3267.5</v>
      </c>
      <c r="D14" s="199">
        <f>U!$F51 * D$2</f>
        <v>29959.1</v>
      </c>
      <c r="E14" s="199">
        <f>U!$F51 * E$2</f>
        <v>5286.9</v>
      </c>
      <c r="F14" s="160">
        <f>F13+0.45*(WSU!F132-WSU!F131)</f>
        <v>23382.042430958551</v>
      </c>
      <c r="G14" s="160">
        <f>G13+0.45*(WSU!F132-WSU!F131)</f>
        <v>7366.0424309585551</v>
      </c>
      <c r="H14" s="160">
        <f>H13+0.1*(WSU!F132-WSU!F131)</f>
        <v>1374.6760957685678</v>
      </c>
      <c r="I14" s="39">
        <f>ROUND(slcc!$C33*M$48,0)</f>
        <v>16627</v>
      </c>
      <c r="J14" s="39">
        <f>ROUND(slcc!$C33*N$48,0)</f>
        <v>5621</v>
      </c>
      <c r="K14" s="39">
        <f>ROUND(slcc!$C33*O$48,0)</f>
        <v>6294</v>
      </c>
      <c r="L14" s="39">
        <f>ROUND(slcc!$C33*P$48,0)</f>
        <v>236</v>
      </c>
      <c r="M14" s="39">
        <f>ROUND(slcc!$C33*Q$48,0)</f>
        <v>2390</v>
      </c>
      <c r="N14" s="39">
        <f>ROUND(slcc!$C33*R$48,0)</f>
        <v>1043</v>
      </c>
      <c r="O14" s="39">
        <f>ROUND(slcc!$C33*S$48,0)</f>
        <v>942</v>
      </c>
      <c r="P14" s="39">
        <f t="shared" si="2"/>
        <v>380</v>
      </c>
      <c r="Q14" s="39">
        <f>ROUND(slcc!$C33*U$48,0)</f>
        <v>370</v>
      </c>
      <c r="R14" s="39"/>
      <c r="S14" s="39">
        <f t="shared" si="1"/>
        <v>33184</v>
      </c>
      <c r="T14" s="39">
        <f>UVU!C33-SUM(U14:X14)</f>
        <v>37930.642820720001</v>
      </c>
      <c r="U14" s="39">
        <f t="shared" si="4"/>
        <v>755</v>
      </c>
      <c r="V14" s="39">
        <f t="shared" si="3"/>
        <v>455</v>
      </c>
      <c r="W14" s="39"/>
      <c r="X14" s="39"/>
    </row>
    <row r="15" spans="1:24" x14ac:dyDescent="0.25">
      <c r="A15" s="38">
        <v>2020</v>
      </c>
      <c r="B15" s="39">
        <f>LDSBC!B11</f>
        <v>3063.1578947368434</v>
      </c>
      <c r="C15" s="39">
        <f>Westminstor!B34</f>
        <v>3275</v>
      </c>
      <c r="D15" s="199">
        <f>U!$F52 * D$2</f>
        <v>30666.3</v>
      </c>
      <c r="E15" s="199">
        <f>U!$F52 * E$2</f>
        <v>5411.7</v>
      </c>
      <c r="F15" s="160">
        <f>F14+0.45*(WSU!F133-WSU!F132)</f>
        <v>24004.266563283047</v>
      </c>
      <c r="G15" s="160">
        <f>G14+0.45*(WSU!F133-WSU!F132)</f>
        <v>7988.2665632830522</v>
      </c>
      <c r="H15" s="160">
        <f>H14+0.1*(WSU!F133-WSU!F132)</f>
        <v>1512.9481251740117</v>
      </c>
      <c r="I15" s="39">
        <f>ROUND(slcc!$C34*M$48,0)</f>
        <v>16968</v>
      </c>
      <c r="J15" s="39">
        <f>ROUND(slcc!$C34*N$48,0)</f>
        <v>5736</v>
      </c>
      <c r="K15" s="39">
        <f>ROUND(slcc!$C34*O$48,0)</f>
        <v>6423</v>
      </c>
      <c r="L15" s="39">
        <f>ROUND(slcc!$C34*P$48,0)</f>
        <v>240</v>
      </c>
      <c r="M15" s="39">
        <f>ROUND(slcc!$C34*Q$48,0)</f>
        <v>2439</v>
      </c>
      <c r="N15" s="39">
        <f>ROUND(slcc!$C34*R$48,0)</f>
        <v>1065</v>
      </c>
      <c r="O15" s="39">
        <f>ROUND(slcc!$C34*S$48,0)</f>
        <v>962</v>
      </c>
      <c r="P15" s="39">
        <f t="shared" si="2"/>
        <v>400</v>
      </c>
      <c r="Q15" s="39">
        <f>ROUND(slcc!$C34*U$48,0)</f>
        <v>378</v>
      </c>
      <c r="R15" s="39"/>
      <c r="S15" s="39">
        <f t="shared" si="1"/>
        <v>33210</v>
      </c>
      <c r="T15" s="39">
        <f>UVU!C34-SUM(U15:X15)</f>
        <v>39358.186209744134</v>
      </c>
      <c r="U15" s="39">
        <f t="shared" si="4"/>
        <v>774</v>
      </c>
      <c r="V15" s="39">
        <f t="shared" si="3"/>
        <v>462</v>
      </c>
      <c r="W15" s="39"/>
      <c r="X15" s="39"/>
    </row>
    <row r="16" spans="1:24" x14ac:dyDescent="0.25">
      <c r="A16" s="38">
        <v>2021</v>
      </c>
      <c r="B16" s="39">
        <f>LDSBC!B12</f>
        <v>3171.0526315789489</v>
      </c>
      <c r="C16" s="39">
        <f>Westminstor!B35</f>
        <v>3282.5</v>
      </c>
      <c r="D16" s="199">
        <f>U!$F53 * D$2</f>
        <v>30990.149999999998</v>
      </c>
      <c r="E16" s="199">
        <f>U!$F53 * E$2</f>
        <v>5468.8499999999995</v>
      </c>
      <c r="F16" s="160">
        <f>F15+0.45*(WSU!F134-WSU!F133)</f>
        <v>24610.161216986682</v>
      </c>
      <c r="G16" s="160">
        <f>G15+0.45*(WSU!F134-WSU!F133)</f>
        <v>8594.1612169866876</v>
      </c>
      <c r="H16" s="160">
        <f>H15+0.1*(WSU!F134-WSU!F133)</f>
        <v>1647.5913815525973</v>
      </c>
      <c r="I16" s="39">
        <f>ROUND(slcc!$C35*M$48,0)</f>
        <v>17316</v>
      </c>
      <c r="J16" s="39">
        <f>ROUND(slcc!$C35*N$48,0)</f>
        <v>5854</v>
      </c>
      <c r="K16" s="39">
        <f>ROUND(slcc!$C35*O$48,0)</f>
        <v>6555</v>
      </c>
      <c r="L16" s="39">
        <f>ROUND(slcc!$C35*P$48,0)</f>
        <v>245</v>
      </c>
      <c r="M16" s="39">
        <f>ROUND(slcc!$C35*Q$48,0)</f>
        <v>2489</v>
      </c>
      <c r="N16" s="39">
        <f>ROUND(slcc!$C35*R$48,0)</f>
        <v>1087</v>
      </c>
      <c r="O16" s="39">
        <f>ROUND(slcc!$C35*S$48,0)</f>
        <v>981</v>
      </c>
      <c r="P16" s="39">
        <f t="shared" si="2"/>
        <v>420</v>
      </c>
      <c r="Q16" s="39">
        <f>ROUND(slcc!$C35*U$48,0)</f>
        <v>386</v>
      </c>
      <c r="R16" s="39"/>
      <c r="S16" s="39">
        <f t="shared" si="1"/>
        <v>33237</v>
      </c>
      <c r="T16" s="39">
        <f>UVU!C35-SUM(U16:X16)</f>
        <v>40617.820987142404</v>
      </c>
      <c r="U16" s="39">
        <f t="shared" si="4"/>
        <v>793</v>
      </c>
      <c r="V16" s="39">
        <f t="shared" si="3"/>
        <v>469</v>
      </c>
      <c r="W16" s="39"/>
      <c r="X16" s="39"/>
    </row>
    <row r="17" spans="1:24" x14ac:dyDescent="0.25">
      <c r="A17" s="38">
        <v>2022</v>
      </c>
      <c r="B17" s="39">
        <f>LDSBC!B13</f>
        <v>3278.9473684210543</v>
      </c>
      <c r="C17" s="39">
        <f>Westminstor!B36</f>
        <v>3290</v>
      </c>
      <c r="D17" s="199">
        <f>U!$F54 * D$2</f>
        <v>31236.649999999998</v>
      </c>
      <c r="E17" s="199">
        <f>U!$F54 * E$2</f>
        <v>5512.3499999999995</v>
      </c>
      <c r="F17" s="160">
        <f>F16+0.45*(WSU!F135-WSU!F134)</f>
        <v>25193.796954924441</v>
      </c>
      <c r="G17" s="160">
        <f>G16+0.45*(WSU!F135-WSU!F134)</f>
        <v>9177.7969549244463</v>
      </c>
      <c r="H17" s="160">
        <f>H16+0.1*(WSU!F135-WSU!F134)</f>
        <v>1777.2882122054327</v>
      </c>
      <c r="I17" s="39">
        <f>ROUND(slcc!$C36*M$48,0)</f>
        <v>17665</v>
      </c>
      <c r="J17" s="39">
        <f>ROUND(slcc!$C36*N$48,0)</f>
        <v>5972</v>
      </c>
      <c r="K17" s="39">
        <f>ROUND(slcc!$C36*O$48,0)</f>
        <v>6687</v>
      </c>
      <c r="L17" s="39">
        <f>ROUND(slcc!$C36*P$48,0)</f>
        <v>250</v>
      </c>
      <c r="M17" s="39">
        <f>ROUND(slcc!$C36*Q$48,0)</f>
        <v>2539</v>
      </c>
      <c r="N17" s="39">
        <f>ROUND(slcc!$C36*R$48,0)</f>
        <v>1109</v>
      </c>
      <c r="O17" s="39">
        <f>ROUND(slcc!$C36*S$48,0)</f>
        <v>1001</v>
      </c>
      <c r="P17" s="39">
        <f t="shared" si="2"/>
        <v>440</v>
      </c>
      <c r="Q17" s="39">
        <f>ROUND(slcc!$C36*U$48,0)</f>
        <v>393</v>
      </c>
      <c r="R17" s="39"/>
      <c r="S17" s="39">
        <f t="shared" si="1"/>
        <v>33263</v>
      </c>
      <c r="T17" s="39">
        <f>UVU!C36-SUM(U17:X17)</f>
        <v>42059.166639471514</v>
      </c>
      <c r="U17" s="39">
        <f t="shared" si="4"/>
        <v>812</v>
      </c>
      <c r="V17" s="39">
        <f t="shared" si="3"/>
        <v>476</v>
      </c>
      <c r="W17" s="39"/>
      <c r="X17" s="39"/>
    </row>
    <row r="18" spans="1:24" x14ac:dyDescent="0.25">
      <c r="A18" s="38">
        <v>2023</v>
      </c>
      <c r="B18" s="39">
        <f>LDSBC!B14</f>
        <v>3386.8421052631597</v>
      </c>
      <c r="C18" s="39">
        <f>Westminstor!B37</f>
        <v>3297.5</v>
      </c>
      <c r="D18" s="199">
        <f>U!$F55 * D$2</f>
        <v>31499.3</v>
      </c>
      <c r="E18" s="199">
        <f>U!$F55 * E$2</f>
        <v>5558.7</v>
      </c>
      <c r="F18" s="160">
        <f>F17+0.45*(WSU!F136-WSU!F135)</f>
        <v>25753.622762993153</v>
      </c>
      <c r="G18" s="160">
        <f>G17+0.45*(WSU!F136-WSU!F135)</f>
        <v>9737.62276299316</v>
      </c>
      <c r="H18" s="160">
        <f>H17+0.1*(WSU!F136-WSU!F135)</f>
        <v>1901.6939473318134</v>
      </c>
      <c r="I18" s="39">
        <f>ROUND(slcc!$C37*M$48,0)</f>
        <v>18015</v>
      </c>
      <c r="J18" s="39">
        <f>ROUND(slcc!$C37*N$48,0)</f>
        <v>6090</v>
      </c>
      <c r="K18" s="39">
        <f>ROUND(slcc!$C37*O$48,0)</f>
        <v>6820</v>
      </c>
      <c r="L18" s="39">
        <f>ROUND(slcc!$C37*P$48,0)</f>
        <v>255</v>
      </c>
      <c r="M18" s="39">
        <f>ROUND(slcc!$C37*Q$48,0)</f>
        <v>2589</v>
      </c>
      <c r="N18" s="39">
        <f>ROUND(slcc!$C37*R$48,0)</f>
        <v>1131</v>
      </c>
      <c r="O18" s="39">
        <f>ROUND(slcc!$C37*S$48,0)</f>
        <v>1021</v>
      </c>
      <c r="P18" s="39">
        <f t="shared" si="2"/>
        <v>460</v>
      </c>
      <c r="Q18" s="39">
        <f>ROUND(slcc!$C37*U$48,0)</f>
        <v>401</v>
      </c>
      <c r="R18" s="39"/>
      <c r="S18" s="39">
        <f t="shared" si="1"/>
        <v>33289</v>
      </c>
      <c r="T18" s="39">
        <f>UVU!C37-SUM(U18:X18)</f>
        <v>43355.775515979272</v>
      </c>
      <c r="U18" s="39">
        <f t="shared" si="4"/>
        <v>831</v>
      </c>
      <c r="V18" s="39">
        <f t="shared" si="3"/>
        <v>483</v>
      </c>
      <c r="W18" s="39">
        <v>200</v>
      </c>
      <c r="X18" s="39"/>
    </row>
    <row r="19" spans="1:24" x14ac:dyDescent="0.25">
      <c r="A19" s="38">
        <v>2024</v>
      </c>
      <c r="B19" s="39">
        <f>LDSBC!B15</f>
        <v>3494.7368421052652</v>
      </c>
      <c r="C19" s="39">
        <f>Westminstor!B38</f>
        <v>3305</v>
      </c>
      <c r="D19" s="199">
        <f>U!$F56 * D$2</f>
        <v>31885.200000000001</v>
      </c>
      <c r="E19" s="199">
        <f>U!$F56 * E$2</f>
        <v>5626.8</v>
      </c>
      <c r="F19" s="160">
        <f>F18+0.45*(WSU!F137-WSU!F136)</f>
        <v>26291.058944564542</v>
      </c>
      <c r="G19" s="160">
        <f>G18+0.45*(WSU!F137-WSU!F136)</f>
        <v>10275.058944564549</v>
      </c>
      <c r="H19" s="160">
        <f>H18+0.1*(WSU!F137-WSU!F136)</f>
        <v>2021.1242099032331</v>
      </c>
      <c r="I19" s="39">
        <f>ROUND(slcc!$C38*M$48,0)</f>
        <v>18361</v>
      </c>
      <c r="J19" s="39">
        <f>ROUND(slcc!$C38*N$48,0)</f>
        <v>6207</v>
      </c>
      <c r="K19" s="39">
        <f>ROUND(slcc!$C38*O$48,0)</f>
        <v>6950</v>
      </c>
      <c r="L19" s="39">
        <f>ROUND(slcc!$C38*P$48,0)</f>
        <v>260</v>
      </c>
      <c r="M19" s="39">
        <f>ROUND(slcc!$C38*Q$48,0)</f>
        <v>2639</v>
      </c>
      <c r="N19" s="39">
        <f>ROUND(slcc!$C38*R$48,0)</f>
        <v>1152</v>
      </c>
      <c r="O19" s="39">
        <f>ROUND(slcc!$C38*S$48,0)</f>
        <v>1041</v>
      </c>
      <c r="P19" s="39">
        <f t="shared" si="2"/>
        <v>480</v>
      </c>
      <c r="Q19" s="39">
        <f>ROUND(slcc!$C38*U$48,0)</f>
        <v>409</v>
      </c>
      <c r="R19" s="39">
        <v>400</v>
      </c>
      <c r="S19" s="39">
        <f t="shared" si="1"/>
        <v>33316</v>
      </c>
      <c r="T19" s="39">
        <f>UVU!C38-SUM(U19:X19)</f>
        <v>44856.207744916923</v>
      </c>
      <c r="U19" s="39">
        <f t="shared" si="4"/>
        <v>850</v>
      </c>
      <c r="V19" s="39">
        <f t="shared" si="3"/>
        <v>490</v>
      </c>
      <c r="W19" s="39">
        <f t="shared" ref="W19:W44" si="5">W18+(W$45-$W$18)/($A$45-$A$18)</f>
        <v>254.62962962962962</v>
      </c>
      <c r="X19" s="39"/>
    </row>
    <row r="20" spans="1:24" x14ac:dyDescent="0.25">
      <c r="A20" s="38">
        <v>2025</v>
      </c>
      <c r="B20" s="39">
        <f>LDSBC!B16</f>
        <v>3602.6315789473706</v>
      </c>
      <c r="C20" s="39">
        <f>Westminstor!B39</f>
        <v>3312.5</v>
      </c>
      <c r="D20" s="199">
        <f>U!$F57 * D$2</f>
        <v>32363.75</v>
      </c>
      <c r="E20" s="199">
        <f>U!$F57 * E$2</f>
        <v>5711.25</v>
      </c>
      <c r="F20" s="160">
        <f>F19+0.45*(WSU!F138-WSU!F137)</f>
        <v>26809.20798500429</v>
      </c>
      <c r="G20" s="160">
        <f>G19+0.45*(WSU!F138-WSU!F137)</f>
        <v>10793.207985004297</v>
      </c>
      <c r="H20" s="160">
        <f>H19+0.1*(WSU!F138-WSU!F137)</f>
        <v>2136.2684411120663</v>
      </c>
      <c r="I20" s="39">
        <f>ROUND(slcc!$C39*M$48,0)</f>
        <v>18707</v>
      </c>
      <c r="J20" s="39">
        <f>ROUND(slcc!$C39*N$48,0)</f>
        <v>6324</v>
      </c>
      <c r="K20" s="39">
        <f>ROUND(slcc!$C39*O$48,0)</f>
        <v>7082</v>
      </c>
      <c r="L20" s="39">
        <f>ROUND(slcc!$C39*P$48,0)</f>
        <v>265</v>
      </c>
      <c r="M20" s="39">
        <f>ROUND(slcc!$C39*Q$48,0)</f>
        <v>2689</v>
      </c>
      <c r="N20" s="39">
        <f>ROUND(slcc!$C39*R$48,0)</f>
        <v>1174</v>
      </c>
      <c r="O20" s="39">
        <f>ROUND(slcc!$C39*S$48,0)</f>
        <v>1060</v>
      </c>
      <c r="P20" s="39">
        <f t="shared" si="2"/>
        <v>500</v>
      </c>
      <c r="Q20" s="39">
        <f>ROUND(slcc!$C39*U$48,0)</f>
        <v>417</v>
      </c>
      <c r="R20" s="39">
        <f>R19+224</f>
        <v>624</v>
      </c>
      <c r="S20" s="39">
        <f t="shared" si="1"/>
        <v>33342</v>
      </c>
      <c r="T20" s="39">
        <f>UVU!C39-SUM(U20:X20)</f>
        <v>46416.372647394295</v>
      </c>
      <c r="U20" s="39">
        <f t="shared" si="4"/>
        <v>869</v>
      </c>
      <c r="V20" s="39">
        <f t="shared" si="3"/>
        <v>497</v>
      </c>
      <c r="W20" s="39">
        <f t="shared" si="5"/>
        <v>309.25925925925924</v>
      </c>
      <c r="X20" s="39"/>
    </row>
    <row r="21" spans="1:24" x14ac:dyDescent="0.25">
      <c r="A21" s="38">
        <v>2026</v>
      </c>
      <c r="B21" s="39">
        <f>LDSBC!B17</f>
        <v>3710.526315789476</v>
      </c>
      <c r="C21" s="39">
        <f>Westminstor!B40</f>
        <v>3320</v>
      </c>
      <c r="D21" s="199">
        <f>U!$F58 * D$2</f>
        <v>32839.75</v>
      </c>
      <c r="E21" s="199">
        <f>U!$F58 * E$2</f>
        <v>5795.25</v>
      </c>
      <c r="F21" s="160">
        <f>F20+0.45*(WSU!F139-WSU!F138)</f>
        <v>27265.626907905618</v>
      </c>
      <c r="G21" s="160">
        <f>G20+0.45*(WSU!F139-WSU!F138)</f>
        <v>11249.626907905627</v>
      </c>
      <c r="H21" s="160">
        <f>H20+0.1*(WSU!F139-WSU!F138)</f>
        <v>2237.6948684234731</v>
      </c>
      <c r="I21" s="39">
        <f>ROUND(slcc!$C40*M$48,0)</f>
        <v>19050</v>
      </c>
      <c r="J21" s="39">
        <f>ROUND(slcc!$C40*N$48,0)</f>
        <v>6440</v>
      </c>
      <c r="K21" s="39">
        <f>ROUND(slcc!$C40*O$48,0)</f>
        <v>7211</v>
      </c>
      <c r="L21" s="39">
        <f>ROUND(slcc!$C40*P$48,0)</f>
        <v>270</v>
      </c>
      <c r="M21" s="39">
        <f>ROUND(slcc!$C40*Q$48,0)</f>
        <v>2738</v>
      </c>
      <c r="N21" s="39">
        <f>ROUND(slcc!$C40*R$48,0)</f>
        <v>1195</v>
      </c>
      <c r="O21" s="39">
        <f>ROUND(slcc!$C40*S$48,0)</f>
        <v>1080</v>
      </c>
      <c r="P21" s="39">
        <f t="shared" si="2"/>
        <v>520</v>
      </c>
      <c r="Q21" s="39">
        <f>ROUND(slcc!$C40*U$48,0)</f>
        <v>424</v>
      </c>
      <c r="R21" s="39">
        <f t="shared" ref="R21:R44" si="6">R20+224</f>
        <v>848</v>
      </c>
      <c r="S21" s="39">
        <f t="shared" si="1"/>
        <v>33368</v>
      </c>
      <c r="T21" s="39">
        <f>UVU!C40-SUM(U21:X21)</f>
        <v>48040.111111111109</v>
      </c>
      <c r="U21" s="39">
        <f t="shared" si="4"/>
        <v>887</v>
      </c>
      <c r="V21" s="39">
        <f t="shared" si="3"/>
        <v>504</v>
      </c>
      <c r="W21" s="39">
        <f t="shared" si="5"/>
        <v>363.88888888888886</v>
      </c>
      <c r="X21" s="39"/>
    </row>
    <row r="22" spans="1:24" x14ac:dyDescent="0.25">
      <c r="A22" s="38">
        <v>2027</v>
      </c>
      <c r="B22" s="39">
        <f>LDSBC!B18</f>
        <v>3818.4210526315815</v>
      </c>
      <c r="C22" s="39">
        <f>Westminstor!B41</f>
        <v>3327.5</v>
      </c>
      <c r="D22" s="199">
        <f>U!$F59 * D$2</f>
        <v>33274.1</v>
      </c>
      <c r="E22" s="199">
        <f>U!$F59 * E$2</f>
        <v>5871.9</v>
      </c>
      <c r="F22" s="39">
        <f t="shared" ref="F22:F43" si="7">ROUND(F$21+(F$45-F$21)*($A22-$A$21)/($A$45-$A$21),0)</f>
        <v>27308</v>
      </c>
      <c r="G22" s="39">
        <f t="shared" ref="G22:G43" si="8">ROUND(G$21+(G$45-G$21)*($A22-$A$21)/($A$45-$A$21),0)</f>
        <v>11292</v>
      </c>
      <c r="H22" s="39">
        <f t="shared" ref="H22:H24" si="9">ROUND(H$21+(H$45-H$21)*($A22-$A$21)/($A$45-$A$21),0)</f>
        <v>2247</v>
      </c>
      <c r="I22" s="39">
        <f>ROUND(slcc!$C41*M$48,0)</f>
        <v>19603</v>
      </c>
      <c r="J22" s="39">
        <f>ROUND(slcc!$C41*N$48,0)</f>
        <v>6627</v>
      </c>
      <c r="K22" s="39">
        <f>ROUND(slcc!$C41*O$48,0)</f>
        <v>7420</v>
      </c>
      <c r="L22" s="39">
        <f>ROUND(slcc!$C41*P$48,0)</f>
        <v>278</v>
      </c>
      <c r="M22" s="39">
        <f>ROUND(slcc!$C41*Q$48,0)</f>
        <v>2817</v>
      </c>
      <c r="N22" s="39">
        <f>ROUND(slcc!$C41*R$48,0)</f>
        <v>1230</v>
      </c>
      <c r="O22" s="39">
        <f>ROUND(slcc!$C41*S$48,0)</f>
        <v>1111</v>
      </c>
      <c r="P22" s="39">
        <f t="shared" si="2"/>
        <v>540</v>
      </c>
      <c r="Q22" s="39">
        <f>ROUND(slcc!$C41*U$48,0)</f>
        <v>436</v>
      </c>
      <c r="R22" s="39">
        <f t="shared" si="6"/>
        <v>1072</v>
      </c>
      <c r="S22" s="39">
        <f t="shared" si="1"/>
        <v>33395</v>
      </c>
      <c r="T22" s="39">
        <f>UVU!C41-SUM(U22:X22)</f>
        <v>48648.439814814818</v>
      </c>
      <c r="U22" s="39">
        <f t="shared" si="4"/>
        <v>906</v>
      </c>
      <c r="V22" s="39">
        <f t="shared" si="3"/>
        <v>511</v>
      </c>
      <c r="W22" s="39">
        <f t="shared" si="5"/>
        <v>418.51851851851848</v>
      </c>
      <c r="X22" s="39"/>
    </row>
    <row r="23" spans="1:24" x14ac:dyDescent="0.25">
      <c r="A23" s="38">
        <v>2028</v>
      </c>
      <c r="B23" s="39">
        <f>LDSBC!B19</f>
        <v>3926.3157894736869</v>
      </c>
      <c r="C23" s="39">
        <f>Westminstor!B42</f>
        <v>3335</v>
      </c>
      <c r="D23" s="199">
        <f>U!$F60 * D$2</f>
        <v>33666.799999999996</v>
      </c>
      <c r="E23" s="199">
        <f>U!$F60 * E$2</f>
        <v>5941.2</v>
      </c>
      <c r="F23" s="39">
        <f t="shared" si="7"/>
        <v>27350</v>
      </c>
      <c r="G23" s="39">
        <f t="shared" si="8"/>
        <v>11334</v>
      </c>
      <c r="H23" s="39">
        <f t="shared" si="9"/>
        <v>2256</v>
      </c>
      <c r="I23" s="39">
        <f>ROUND(slcc!$C42*M$48,0)</f>
        <v>20155</v>
      </c>
      <c r="J23" s="39">
        <f>ROUND(slcc!$C42*N$48,0)</f>
        <v>6814</v>
      </c>
      <c r="K23" s="39">
        <f>ROUND(slcc!$C42*O$48,0)</f>
        <v>7630</v>
      </c>
      <c r="L23" s="39">
        <f>ROUND(slcc!$C42*P$48,0)</f>
        <v>286</v>
      </c>
      <c r="M23" s="39">
        <f>ROUND(slcc!$C42*Q$48,0)</f>
        <v>2897</v>
      </c>
      <c r="N23" s="39">
        <f>ROUND(slcc!$C42*R$48,0)</f>
        <v>1265</v>
      </c>
      <c r="O23" s="39">
        <f>ROUND(slcc!$C42*S$48,0)</f>
        <v>1142</v>
      </c>
      <c r="P23" s="39">
        <f t="shared" si="2"/>
        <v>560</v>
      </c>
      <c r="Q23" s="39">
        <f>ROUND(slcc!$C42*U$48,0)</f>
        <v>449</v>
      </c>
      <c r="R23" s="39">
        <f t="shared" si="6"/>
        <v>1296</v>
      </c>
      <c r="S23" s="39">
        <f t="shared" si="1"/>
        <v>33421</v>
      </c>
      <c r="T23" s="39">
        <f>UVU!C42-SUM(U23:X23)</f>
        <v>49256.768518518518</v>
      </c>
      <c r="U23" s="39">
        <f t="shared" si="4"/>
        <v>925</v>
      </c>
      <c r="V23" s="39">
        <f t="shared" si="3"/>
        <v>518</v>
      </c>
      <c r="W23" s="39">
        <f t="shared" si="5"/>
        <v>473.1481481481481</v>
      </c>
      <c r="X23" s="39"/>
    </row>
    <row r="24" spans="1:24" x14ac:dyDescent="0.25">
      <c r="A24" s="38">
        <v>2029</v>
      </c>
      <c r="B24" s="39">
        <f>LDSBC!B20</f>
        <v>4034.2105263157923</v>
      </c>
      <c r="C24" s="39">
        <f>Westminstor!B43</f>
        <v>3342.5</v>
      </c>
      <c r="D24" s="199">
        <f>U!$F61 * D$2</f>
        <v>34017.85</v>
      </c>
      <c r="E24" s="199">
        <f>U!$F61 * E$2</f>
        <v>6003.15</v>
      </c>
      <c r="F24" s="39">
        <f t="shared" si="7"/>
        <v>27392</v>
      </c>
      <c r="G24" s="39">
        <f t="shared" si="8"/>
        <v>11376</v>
      </c>
      <c r="H24" s="39">
        <f t="shared" si="9"/>
        <v>2266</v>
      </c>
      <c r="I24" s="39">
        <f>ROUND(slcc!$C43*M$48,0)</f>
        <v>20707</v>
      </c>
      <c r="J24" s="39">
        <f>ROUND(slcc!$C43*N$48,0)</f>
        <v>7000</v>
      </c>
      <c r="K24" s="39">
        <f>ROUND(slcc!$C43*O$48,0)</f>
        <v>7839</v>
      </c>
      <c r="L24" s="39">
        <f>ROUND(slcc!$C43*P$48,0)</f>
        <v>293</v>
      </c>
      <c r="M24" s="39">
        <f>ROUND(slcc!$C43*Q$48,0)</f>
        <v>2976</v>
      </c>
      <c r="N24" s="39">
        <f>ROUND(slcc!$C43*R$48,0)</f>
        <v>1299</v>
      </c>
      <c r="O24" s="39">
        <f>ROUND(slcc!$C43*S$48,0)</f>
        <v>1174</v>
      </c>
      <c r="P24" s="39">
        <f t="shared" si="2"/>
        <v>580</v>
      </c>
      <c r="Q24" s="39">
        <f>ROUND(slcc!$C43*U$48,0)</f>
        <v>461</v>
      </c>
      <c r="R24" s="39">
        <f t="shared" si="6"/>
        <v>1520</v>
      </c>
      <c r="S24" s="39">
        <f t="shared" si="1"/>
        <v>33447</v>
      </c>
      <c r="T24" s="39">
        <f>UVU!C43-SUM(U24:X24)</f>
        <v>49865.097222222219</v>
      </c>
      <c r="U24" s="39">
        <f t="shared" si="4"/>
        <v>944</v>
      </c>
      <c r="V24" s="39">
        <f t="shared" si="3"/>
        <v>525</v>
      </c>
      <c r="W24" s="39">
        <f t="shared" si="5"/>
        <v>527.77777777777771</v>
      </c>
      <c r="X24" s="39"/>
    </row>
    <row r="25" spans="1:24" x14ac:dyDescent="0.25">
      <c r="A25" s="38">
        <v>2030</v>
      </c>
      <c r="B25" s="39">
        <f>LDSBC!B21</f>
        <v>4142.1052631578978</v>
      </c>
      <c r="C25" s="39">
        <f>Westminstor!B44</f>
        <v>3350</v>
      </c>
      <c r="D25" s="199">
        <f>U!$F62 * D$2</f>
        <v>34327.25</v>
      </c>
      <c r="E25" s="199">
        <f>U!$F62 * E$2</f>
        <v>6057.75</v>
      </c>
      <c r="F25" s="39">
        <f t="shared" si="7"/>
        <v>27434</v>
      </c>
      <c r="G25" s="39">
        <f t="shared" si="8"/>
        <v>11418</v>
      </c>
      <c r="H25" s="39">
        <f>ROUND(H$21+(H$45-H$21)*($A25-$A$21)/($A$45-$A$21),0)</f>
        <v>2275</v>
      </c>
      <c r="I25" s="39">
        <f>ROUND(slcc!$C44*M$48,0)</f>
        <v>21260</v>
      </c>
      <c r="J25" s="39">
        <f>ROUND(slcc!$C44*N$48,0)</f>
        <v>7187</v>
      </c>
      <c r="K25" s="39">
        <f>ROUND(slcc!$C44*O$48,0)</f>
        <v>8048</v>
      </c>
      <c r="L25" s="39">
        <f>ROUND(slcc!$C44*P$48,0)</f>
        <v>301</v>
      </c>
      <c r="M25" s="39">
        <f>ROUND(slcc!$C44*Q$48,0)</f>
        <v>3056</v>
      </c>
      <c r="N25" s="39">
        <f>ROUND(slcc!$C44*R$48,0)</f>
        <v>1334</v>
      </c>
      <c r="O25" s="39">
        <f>ROUND(slcc!$C44*S$48,0)</f>
        <v>1205</v>
      </c>
      <c r="P25" s="39">
        <f t="shared" si="2"/>
        <v>600</v>
      </c>
      <c r="Q25" s="39">
        <f>ROUND(slcc!$C44*U$48,0)</f>
        <v>473</v>
      </c>
      <c r="R25" s="39">
        <f t="shared" si="6"/>
        <v>1744</v>
      </c>
      <c r="S25" s="39">
        <f t="shared" si="1"/>
        <v>33474</v>
      </c>
      <c r="T25" s="39">
        <f>UVU!C44-SUM(U25:X25)</f>
        <v>50473.425925925927</v>
      </c>
      <c r="U25" s="39">
        <f t="shared" si="4"/>
        <v>963</v>
      </c>
      <c r="V25" s="39">
        <f t="shared" si="3"/>
        <v>532</v>
      </c>
      <c r="W25" s="39">
        <f t="shared" si="5"/>
        <v>582.40740740740739</v>
      </c>
      <c r="X25" s="39"/>
    </row>
    <row r="26" spans="1:24" x14ac:dyDescent="0.25">
      <c r="A26" s="38">
        <v>2031</v>
      </c>
      <c r="B26" s="39">
        <f>LDSBC!B22</f>
        <v>4250.0000000000027</v>
      </c>
      <c r="C26" s="39">
        <f>Westminstor!B45</f>
        <v>3357.5</v>
      </c>
      <c r="D26" s="199">
        <f>U!$F63 * D$2</f>
        <v>34595</v>
      </c>
      <c r="E26" s="199">
        <f>U!$F63 * E$2</f>
        <v>6105</v>
      </c>
      <c r="F26" s="39">
        <f t="shared" si="7"/>
        <v>27476</v>
      </c>
      <c r="G26" s="39">
        <f t="shared" si="8"/>
        <v>11460</v>
      </c>
      <c r="H26" s="39">
        <f t="shared" ref="H26:H44" si="10">ROUND(H$21+(H$45-H$21)*($A26-$A$21)/($A$45-$A$21),0)</f>
        <v>2285</v>
      </c>
      <c r="I26" s="39">
        <f>ROUND(slcc!$C45*M$48,0)</f>
        <v>21812</v>
      </c>
      <c r="J26" s="39">
        <f>ROUND(slcc!$C45*N$48,0)</f>
        <v>7374</v>
      </c>
      <c r="K26" s="39">
        <f>ROUND(slcc!$C45*O$48,0)</f>
        <v>8257</v>
      </c>
      <c r="L26" s="39">
        <f>ROUND(slcc!$C45*P$48,0)</f>
        <v>309</v>
      </c>
      <c r="M26" s="39">
        <f>ROUND(slcc!$C45*Q$48,0)</f>
        <v>3135</v>
      </c>
      <c r="N26" s="39">
        <f>ROUND(slcc!$C45*R$48,0)</f>
        <v>1369</v>
      </c>
      <c r="O26" s="39">
        <f>ROUND(slcc!$C45*S$48,0)</f>
        <v>1236</v>
      </c>
      <c r="P26" s="39">
        <f t="shared" si="2"/>
        <v>620</v>
      </c>
      <c r="Q26" s="39">
        <f>ROUND(slcc!$C45*U$48,0)</f>
        <v>486</v>
      </c>
      <c r="R26" s="39">
        <f t="shared" si="6"/>
        <v>1968</v>
      </c>
      <c r="S26" s="39">
        <f t="shared" si="1"/>
        <v>33500</v>
      </c>
      <c r="T26" s="39">
        <f>UVU!C45-SUM(U26:X26)</f>
        <v>51082.754629629628</v>
      </c>
      <c r="U26" s="39">
        <f t="shared" si="4"/>
        <v>982</v>
      </c>
      <c r="V26" s="39">
        <f t="shared" si="3"/>
        <v>538</v>
      </c>
      <c r="W26" s="39">
        <f t="shared" si="5"/>
        <v>637.03703703703707</v>
      </c>
      <c r="X26" s="39"/>
    </row>
    <row r="27" spans="1:24" x14ac:dyDescent="0.25">
      <c r="A27" s="38">
        <v>2032</v>
      </c>
      <c r="B27" s="39">
        <f>LDSBC!B23</f>
        <v>4357.8947368421077</v>
      </c>
      <c r="C27" s="39">
        <f>Westminstor!B46</f>
        <v>3365</v>
      </c>
      <c r="D27" s="199">
        <f>U!$F64 * D$2</f>
        <v>34821.1</v>
      </c>
      <c r="E27" s="199">
        <f>U!$F64 * E$2</f>
        <v>6144.9</v>
      </c>
      <c r="F27" s="39">
        <f t="shared" si="7"/>
        <v>27518</v>
      </c>
      <c r="G27" s="39">
        <f t="shared" si="8"/>
        <v>11502</v>
      </c>
      <c r="H27" s="39">
        <f t="shared" si="10"/>
        <v>2294</v>
      </c>
      <c r="I27" s="39">
        <f>ROUND(slcc!$C46*M$48,0)</f>
        <v>22365</v>
      </c>
      <c r="J27" s="39">
        <f>ROUND(slcc!$C46*N$48,0)</f>
        <v>7561</v>
      </c>
      <c r="K27" s="39">
        <f>ROUND(slcc!$C46*O$48,0)</f>
        <v>8466</v>
      </c>
      <c r="L27" s="39">
        <f>ROUND(slcc!$C46*P$48,0)</f>
        <v>317</v>
      </c>
      <c r="M27" s="39">
        <f>ROUND(slcc!$C46*Q$48,0)</f>
        <v>3214</v>
      </c>
      <c r="N27" s="39">
        <f>ROUND(slcc!$C46*R$48,0)</f>
        <v>1403</v>
      </c>
      <c r="O27" s="39">
        <f>ROUND(slcc!$C46*S$48,0)</f>
        <v>1268</v>
      </c>
      <c r="P27" s="39">
        <f t="shared" si="2"/>
        <v>640</v>
      </c>
      <c r="Q27" s="39">
        <f>ROUND(slcc!$C46*U$48,0)</f>
        <v>498</v>
      </c>
      <c r="R27" s="39">
        <f t="shared" si="6"/>
        <v>2192</v>
      </c>
      <c r="S27" s="39">
        <f t="shared" si="1"/>
        <v>33526</v>
      </c>
      <c r="T27" s="39">
        <f>UVU!C46-SUM(U27:X27)</f>
        <v>51691.083333333336</v>
      </c>
      <c r="U27" s="39">
        <f t="shared" si="4"/>
        <v>1001</v>
      </c>
      <c r="V27" s="39">
        <f t="shared" si="3"/>
        <v>545</v>
      </c>
      <c r="W27" s="39">
        <f t="shared" si="5"/>
        <v>691.66666666666674</v>
      </c>
      <c r="X27" s="39"/>
    </row>
    <row r="28" spans="1:24" x14ac:dyDescent="0.25">
      <c r="A28" s="38">
        <v>2033</v>
      </c>
      <c r="B28" s="39">
        <f>LDSBC!B24</f>
        <v>4465.7894736842127</v>
      </c>
      <c r="C28" s="39">
        <f>Westminstor!B47</f>
        <v>3372.5</v>
      </c>
      <c r="D28" s="199">
        <f>U!$F65 * D$2</f>
        <v>35005.549999999996</v>
      </c>
      <c r="E28" s="199">
        <f>U!$F65 * E$2</f>
        <v>6177.45</v>
      </c>
      <c r="F28" s="39">
        <f t="shared" si="7"/>
        <v>27561</v>
      </c>
      <c r="G28" s="39">
        <f t="shared" si="8"/>
        <v>11545</v>
      </c>
      <c r="H28" s="39">
        <f t="shared" si="10"/>
        <v>2303</v>
      </c>
      <c r="I28" s="39">
        <f>ROUND(slcc!$C47*M$48,0)</f>
        <v>22917</v>
      </c>
      <c r="J28" s="39">
        <f>ROUND(slcc!$C47*N$48,0)</f>
        <v>7747</v>
      </c>
      <c r="K28" s="39">
        <f>ROUND(slcc!$C47*O$48,0)</f>
        <v>8675</v>
      </c>
      <c r="L28" s="39">
        <f>ROUND(slcc!$C47*P$48,0)</f>
        <v>325</v>
      </c>
      <c r="M28" s="39">
        <f>ROUND(slcc!$C47*Q$48,0)</f>
        <v>3294</v>
      </c>
      <c r="N28" s="39">
        <f>ROUND(slcc!$C47*R$48,0)</f>
        <v>1438</v>
      </c>
      <c r="O28" s="39">
        <f>ROUND(slcc!$C47*S$48,0)</f>
        <v>1299</v>
      </c>
      <c r="P28" s="39">
        <f t="shared" si="2"/>
        <v>660</v>
      </c>
      <c r="Q28" s="39">
        <f>ROUND(slcc!$C47*U$48,0)</f>
        <v>510</v>
      </c>
      <c r="R28" s="39">
        <f t="shared" si="6"/>
        <v>2416</v>
      </c>
      <c r="S28" s="39">
        <f t="shared" si="1"/>
        <v>33552</v>
      </c>
      <c r="T28" s="39">
        <f>UVU!C47-SUM(U28:X28)</f>
        <v>52000.412037037036</v>
      </c>
      <c r="U28" s="39">
        <f t="shared" si="4"/>
        <v>1019</v>
      </c>
      <c r="V28" s="39">
        <f t="shared" si="3"/>
        <v>552</v>
      </c>
      <c r="W28" s="39">
        <f t="shared" si="5"/>
        <v>746.29629629629642</v>
      </c>
      <c r="X28" s="39">
        <v>300</v>
      </c>
    </row>
    <row r="29" spans="1:24" x14ac:dyDescent="0.25">
      <c r="A29" s="38">
        <v>2034</v>
      </c>
      <c r="B29" s="39">
        <f>LDSBC!B25</f>
        <v>4573.6842105263177</v>
      </c>
      <c r="C29" s="39">
        <f>Westminstor!B48</f>
        <v>3380</v>
      </c>
      <c r="D29" s="199">
        <f>U!$F66 * D$2</f>
        <v>35148.35</v>
      </c>
      <c r="E29" s="199">
        <f>U!$F66 * E$2</f>
        <v>6202.65</v>
      </c>
      <c r="F29" s="39">
        <f t="shared" si="7"/>
        <v>27603</v>
      </c>
      <c r="G29" s="39">
        <f t="shared" si="8"/>
        <v>11587</v>
      </c>
      <c r="H29" s="39">
        <f t="shared" si="10"/>
        <v>2313</v>
      </c>
      <c r="I29" s="39">
        <f>ROUND(slcc!$C48*M$48,0)</f>
        <v>23469</v>
      </c>
      <c r="J29" s="39">
        <f>ROUND(slcc!$C48*N$48,0)</f>
        <v>7934</v>
      </c>
      <c r="K29" s="39">
        <f>ROUND(slcc!$C48*O$48,0)</f>
        <v>8884</v>
      </c>
      <c r="L29" s="39">
        <f>ROUND(slcc!$C48*P$48,0)</f>
        <v>333</v>
      </c>
      <c r="M29" s="39">
        <f>ROUND(slcc!$C48*Q$48,0)</f>
        <v>3373</v>
      </c>
      <c r="N29" s="39">
        <f>ROUND(slcc!$C48*R$48,0)</f>
        <v>1473</v>
      </c>
      <c r="O29" s="39">
        <f>ROUND(slcc!$C48*S$48,0)</f>
        <v>1330</v>
      </c>
      <c r="P29" s="39">
        <f t="shared" si="2"/>
        <v>680</v>
      </c>
      <c r="Q29" s="39">
        <f>ROUND(slcc!$C48*U$48,0)</f>
        <v>523</v>
      </c>
      <c r="R29" s="39">
        <f t="shared" si="6"/>
        <v>2640</v>
      </c>
      <c r="S29" s="39">
        <f t="shared" si="1"/>
        <v>33579</v>
      </c>
      <c r="T29" s="39">
        <f>UVU!C48-SUM(U29:X29)</f>
        <v>52527.858387799562</v>
      </c>
      <c r="U29" s="39">
        <f t="shared" si="4"/>
        <v>1038</v>
      </c>
      <c r="V29" s="39">
        <f t="shared" si="3"/>
        <v>559</v>
      </c>
      <c r="W29" s="39">
        <f t="shared" si="5"/>
        <v>800.92592592592609</v>
      </c>
      <c r="X29" s="39">
        <f t="shared" ref="X29:X44" si="11">X28+(X$45-$X$28)/($A$45-$A$28)</f>
        <v>380.88235294117646</v>
      </c>
    </row>
    <row r="30" spans="1:24" x14ac:dyDescent="0.25">
      <c r="A30" s="38">
        <v>2035</v>
      </c>
      <c r="B30" s="39">
        <f>LDSBC!B26</f>
        <v>4681.5789473684226</v>
      </c>
      <c r="C30" s="39">
        <f>Westminstor!B49</f>
        <v>3387.5</v>
      </c>
      <c r="D30" s="199">
        <f>U!$F67 * D$2</f>
        <v>35278.400000000001</v>
      </c>
      <c r="E30" s="199">
        <f>U!$F67 * E$2</f>
        <v>6225.5999999999995</v>
      </c>
      <c r="F30" s="39">
        <f t="shared" si="7"/>
        <v>27645</v>
      </c>
      <c r="G30" s="39">
        <f t="shared" si="8"/>
        <v>11629</v>
      </c>
      <c r="H30" s="39">
        <f t="shared" si="10"/>
        <v>2322</v>
      </c>
      <c r="I30" s="39">
        <f>ROUND(slcc!$C49*M$48,0)</f>
        <v>24022</v>
      </c>
      <c r="J30" s="39">
        <f>ROUND(slcc!$C49*N$48,0)</f>
        <v>8121</v>
      </c>
      <c r="K30" s="39">
        <f>ROUND(slcc!$C49*O$48,0)</f>
        <v>9093</v>
      </c>
      <c r="L30" s="39">
        <f>ROUND(slcc!$C49*P$48,0)</f>
        <v>340</v>
      </c>
      <c r="M30" s="39">
        <f>ROUND(slcc!$C49*Q$48,0)</f>
        <v>3453</v>
      </c>
      <c r="N30" s="39">
        <f>ROUND(slcc!$C49*R$48,0)</f>
        <v>1507</v>
      </c>
      <c r="O30" s="39">
        <f>ROUND(slcc!$C49*S$48,0)</f>
        <v>1362</v>
      </c>
      <c r="P30" s="39">
        <f t="shared" si="2"/>
        <v>700</v>
      </c>
      <c r="Q30" s="39">
        <f>ROUND(slcc!$C49*U$48,0)</f>
        <v>535</v>
      </c>
      <c r="R30" s="39">
        <f t="shared" si="6"/>
        <v>2864</v>
      </c>
      <c r="S30" s="39">
        <f t="shared" si="1"/>
        <v>33605</v>
      </c>
      <c r="T30" s="39">
        <f>UVU!C49-SUM(U30:X30)</f>
        <v>53055.304738562088</v>
      </c>
      <c r="U30" s="39">
        <f t="shared" si="4"/>
        <v>1057</v>
      </c>
      <c r="V30" s="39">
        <f t="shared" si="3"/>
        <v>566</v>
      </c>
      <c r="W30" s="39">
        <f t="shared" si="5"/>
        <v>855.55555555555577</v>
      </c>
      <c r="X30" s="39">
        <f t="shared" si="11"/>
        <v>461.76470588235293</v>
      </c>
    </row>
    <row r="31" spans="1:24" x14ac:dyDescent="0.25">
      <c r="A31" s="38">
        <v>2036</v>
      </c>
      <c r="B31" s="39">
        <f>LDSBC!B27</f>
        <v>4789.4736842105276</v>
      </c>
      <c r="C31" s="39">
        <f>Westminstor!B50</f>
        <v>3395</v>
      </c>
      <c r="D31" s="199">
        <f>U!$F68 * D$2</f>
        <v>35395.699999999997</v>
      </c>
      <c r="E31" s="199">
        <f>U!$F68 * E$2</f>
        <v>6246.3</v>
      </c>
      <c r="F31" s="39">
        <f t="shared" si="7"/>
        <v>27687</v>
      </c>
      <c r="G31" s="39">
        <f t="shared" si="8"/>
        <v>11671</v>
      </c>
      <c r="H31" s="39">
        <f t="shared" si="10"/>
        <v>2331</v>
      </c>
      <c r="I31" s="39">
        <f>ROUND(slcc!$C50*M$48,0)</f>
        <v>24574</v>
      </c>
      <c r="J31" s="39">
        <f>ROUND(slcc!$C50*N$48,0)</f>
        <v>8307</v>
      </c>
      <c r="K31" s="39">
        <f>ROUND(slcc!$C50*O$48,0)</f>
        <v>9302</v>
      </c>
      <c r="L31" s="39">
        <f>ROUND(slcc!$C50*P$48,0)</f>
        <v>348</v>
      </c>
      <c r="M31" s="39">
        <f>ROUND(slcc!$C50*Q$48,0)</f>
        <v>3532</v>
      </c>
      <c r="N31" s="39">
        <f>ROUND(slcc!$C50*R$48,0)</f>
        <v>1542</v>
      </c>
      <c r="O31" s="39">
        <f>ROUND(slcc!$C50*S$48,0)</f>
        <v>1393</v>
      </c>
      <c r="P31" s="39">
        <f t="shared" si="2"/>
        <v>720</v>
      </c>
      <c r="Q31" s="39">
        <f>ROUND(slcc!$C50*U$48,0)</f>
        <v>547</v>
      </c>
      <c r="R31" s="39">
        <f t="shared" si="6"/>
        <v>3088</v>
      </c>
      <c r="S31" s="39">
        <f t="shared" si="1"/>
        <v>33631</v>
      </c>
      <c r="T31" s="39">
        <f>UVU!C50-SUM(U31:X31)</f>
        <v>53582.751089324622</v>
      </c>
      <c r="U31" s="39">
        <f t="shared" si="4"/>
        <v>1076</v>
      </c>
      <c r="V31" s="39">
        <f t="shared" si="3"/>
        <v>573</v>
      </c>
      <c r="W31" s="39">
        <f t="shared" si="5"/>
        <v>910.18518518518545</v>
      </c>
      <c r="X31" s="39">
        <f t="shared" si="11"/>
        <v>542.64705882352939</v>
      </c>
    </row>
    <row r="32" spans="1:24" x14ac:dyDescent="0.25">
      <c r="A32" s="38">
        <v>2037</v>
      </c>
      <c r="B32" s="39">
        <f>LDSBC!B28</f>
        <v>4897.3684210526326</v>
      </c>
      <c r="C32" s="39">
        <f>Westminstor!B51</f>
        <v>3402.5</v>
      </c>
      <c r="D32" s="199">
        <f>U!$F69 * D$2</f>
        <v>35500.25</v>
      </c>
      <c r="E32" s="199">
        <f>U!$F69 * E$2</f>
        <v>6264.75</v>
      </c>
      <c r="F32" s="39">
        <f t="shared" si="7"/>
        <v>27729</v>
      </c>
      <c r="G32" s="39">
        <f t="shared" si="8"/>
        <v>11713</v>
      </c>
      <c r="H32" s="39">
        <f t="shared" si="10"/>
        <v>2341</v>
      </c>
      <c r="I32" s="39">
        <f>ROUND(slcc!$C51*M$48,0)</f>
        <v>25127</v>
      </c>
      <c r="J32" s="39">
        <f>ROUND(slcc!$C51*N$48,0)</f>
        <v>8494</v>
      </c>
      <c r="K32" s="39">
        <f>ROUND(slcc!$C51*O$48,0)</f>
        <v>9512</v>
      </c>
      <c r="L32" s="39">
        <f>ROUND(slcc!$C51*P$48,0)</f>
        <v>356</v>
      </c>
      <c r="M32" s="39">
        <f>ROUND(slcc!$C51*Q$48,0)</f>
        <v>3611</v>
      </c>
      <c r="N32" s="39">
        <f>ROUND(slcc!$C51*R$48,0)</f>
        <v>1577</v>
      </c>
      <c r="O32" s="39">
        <f>ROUND(slcc!$C51*S$48,0)</f>
        <v>1424</v>
      </c>
      <c r="P32" s="39">
        <f t="shared" si="2"/>
        <v>740</v>
      </c>
      <c r="Q32" s="39">
        <f>ROUND(slcc!$C51*U$48,0)</f>
        <v>560</v>
      </c>
      <c r="R32" s="39">
        <f t="shared" si="6"/>
        <v>3312</v>
      </c>
      <c r="S32" s="39">
        <f t="shared" si="1"/>
        <v>33658</v>
      </c>
      <c r="T32" s="39">
        <f>UVU!C51-SUM(U32:X32)</f>
        <v>54110.19744008714</v>
      </c>
      <c r="U32" s="39">
        <f t="shared" si="4"/>
        <v>1095</v>
      </c>
      <c r="V32" s="39">
        <f t="shared" si="3"/>
        <v>580</v>
      </c>
      <c r="W32" s="39">
        <f t="shared" si="5"/>
        <v>964.81481481481512</v>
      </c>
      <c r="X32" s="39">
        <f t="shared" si="11"/>
        <v>623.52941176470586</v>
      </c>
    </row>
    <row r="33" spans="1:24" x14ac:dyDescent="0.25">
      <c r="A33" s="38">
        <v>2038</v>
      </c>
      <c r="B33" s="39">
        <f>LDSBC!B29</f>
        <v>5005.2631578947376</v>
      </c>
      <c r="C33" s="39">
        <f>Westminstor!B52</f>
        <v>3410</v>
      </c>
      <c r="D33" s="199">
        <f>U!$F70 * D$2</f>
        <v>35592.049999999996</v>
      </c>
      <c r="E33" s="199">
        <f>U!$F70 * E$2</f>
        <v>6280.95</v>
      </c>
      <c r="F33" s="39">
        <f t="shared" si="7"/>
        <v>27771</v>
      </c>
      <c r="G33" s="39">
        <f t="shared" si="8"/>
        <v>11755</v>
      </c>
      <c r="H33" s="39">
        <f t="shared" si="10"/>
        <v>2350</v>
      </c>
      <c r="I33" s="39">
        <f>ROUND(slcc!$C52*M$48,0)</f>
        <v>25679</v>
      </c>
      <c r="J33" s="39">
        <f>ROUND(slcc!$C52*N$48,0)</f>
        <v>8681</v>
      </c>
      <c r="K33" s="39">
        <f>ROUND(slcc!$C52*O$48,0)</f>
        <v>9721</v>
      </c>
      <c r="L33" s="39">
        <f>ROUND(slcc!$C52*P$48,0)</f>
        <v>364</v>
      </c>
      <c r="M33" s="39">
        <f>ROUND(slcc!$C52*Q$48,0)</f>
        <v>3691</v>
      </c>
      <c r="N33" s="39">
        <f>ROUND(slcc!$C52*R$48,0)</f>
        <v>1611</v>
      </c>
      <c r="O33" s="39">
        <f>ROUND(slcc!$C52*S$48,0)</f>
        <v>1455</v>
      </c>
      <c r="P33" s="39">
        <f t="shared" si="2"/>
        <v>760</v>
      </c>
      <c r="Q33" s="39">
        <f>ROUND(slcc!$C52*U$48,0)</f>
        <v>572</v>
      </c>
      <c r="R33" s="39">
        <f t="shared" si="6"/>
        <v>3536</v>
      </c>
      <c r="S33" s="39">
        <f t="shared" si="1"/>
        <v>33684</v>
      </c>
      <c r="T33" s="39">
        <f>UVU!C52-SUM(U33:X33)</f>
        <v>54637.643790849674</v>
      </c>
      <c r="U33" s="39">
        <f t="shared" si="4"/>
        <v>1114</v>
      </c>
      <c r="V33" s="39">
        <f t="shared" si="3"/>
        <v>587</v>
      </c>
      <c r="W33" s="39">
        <f t="shared" si="5"/>
        <v>1019.4444444444448</v>
      </c>
      <c r="X33" s="39">
        <f t="shared" si="11"/>
        <v>704.41176470588232</v>
      </c>
    </row>
    <row r="34" spans="1:24" x14ac:dyDescent="0.25">
      <c r="A34" s="38">
        <v>2039</v>
      </c>
      <c r="B34" s="39">
        <f>LDSBC!B30</f>
        <v>5113.1578947368425</v>
      </c>
      <c r="C34" s="39">
        <f>Westminstor!B53</f>
        <v>3417.5</v>
      </c>
      <c r="D34" s="199">
        <f>U!$F71 * D$2</f>
        <v>35671.1</v>
      </c>
      <c r="E34" s="199">
        <f>U!$F71 * E$2</f>
        <v>6294.9</v>
      </c>
      <c r="F34" s="39">
        <f t="shared" si="7"/>
        <v>27813</v>
      </c>
      <c r="G34" s="39">
        <f t="shared" si="8"/>
        <v>11797</v>
      </c>
      <c r="H34" s="39">
        <f t="shared" si="10"/>
        <v>2359</v>
      </c>
      <c r="I34" s="39">
        <f>ROUND(slcc!$C53*M$48,0)</f>
        <v>26232</v>
      </c>
      <c r="J34" s="39">
        <f>ROUND(slcc!$C53*N$48,0)</f>
        <v>8868</v>
      </c>
      <c r="K34" s="39">
        <f>ROUND(slcc!$C53*O$48,0)</f>
        <v>9930</v>
      </c>
      <c r="L34" s="39">
        <f>ROUND(slcc!$C53*P$48,0)</f>
        <v>372</v>
      </c>
      <c r="M34" s="39">
        <f>ROUND(slcc!$C53*Q$48,0)</f>
        <v>3770</v>
      </c>
      <c r="N34" s="39">
        <f>ROUND(slcc!$C53*R$48,0)</f>
        <v>1646</v>
      </c>
      <c r="O34" s="39">
        <f>ROUND(slcc!$C53*S$48,0)</f>
        <v>1487</v>
      </c>
      <c r="P34" s="39">
        <f t="shared" si="2"/>
        <v>780</v>
      </c>
      <c r="Q34" s="39">
        <f>ROUND(slcc!$C53*U$48,0)</f>
        <v>584</v>
      </c>
      <c r="R34" s="39">
        <f t="shared" si="6"/>
        <v>3760</v>
      </c>
      <c r="S34" s="39">
        <f t="shared" si="1"/>
        <v>33710</v>
      </c>
      <c r="T34" s="39">
        <f>UVU!C53-SUM(U34:X34)</f>
        <v>55165.0901416122</v>
      </c>
      <c r="U34" s="39">
        <f t="shared" si="4"/>
        <v>1133</v>
      </c>
      <c r="V34" s="39">
        <f t="shared" si="3"/>
        <v>594</v>
      </c>
      <c r="W34" s="39">
        <f t="shared" si="5"/>
        <v>1074.0740740740744</v>
      </c>
      <c r="X34" s="39">
        <f t="shared" si="11"/>
        <v>785.29411764705878</v>
      </c>
    </row>
    <row r="35" spans="1:24" x14ac:dyDescent="0.25">
      <c r="A35" s="38">
        <v>2040</v>
      </c>
      <c r="B35" s="39">
        <f>LDSBC!B31</f>
        <v>5221.0526315789475</v>
      </c>
      <c r="C35" s="39">
        <f>Westminstor!B54</f>
        <v>3425</v>
      </c>
      <c r="D35" s="199">
        <f>U!$F72 * D$2</f>
        <v>35737.4</v>
      </c>
      <c r="E35" s="199">
        <f>U!$F72 * E$2</f>
        <v>6306.5999999999995</v>
      </c>
      <c r="F35" s="39">
        <f t="shared" si="7"/>
        <v>27855</v>
      </c>
      <c r="G35" s="39">
        <f t="shared" si="8"/>
        <v>11839</v>
      </c>
      <c r="H35" s="39">
        <f t="shared" si="10"/>
        <v>2369</v>
      </c>
      <c r="I35" s="39">
        <f>ROUND(slcc!$C54*M$48,0)</f>
        <v>26784</v>
      </c>
      <c r="J35" s="39">
        <f>ROUND(slcc!$C54*N$48,0)</f>
        <v>9054</v>
      </c>
      <c r="K35" s="39">
        <f>ROUND(slcc!$C54*O$48,0)</f>
        <v>10139</v>
      </c>
      <c r="L35" s="39">
        <f>ROUND(slcc!$C54*P$48,0)</f>
        <v>380</v>
      </c>
      <c r="M35" s="39">
        <f>ROUND(slcc!$C54*Q$48,0)</f>
        <v>3850</v>
      </c>
      <c r="N35" s="39">
        <f>ROUND(slcc!$C54*R$48,0)</f>
        <v>1681</v>
      </c>
      <c r="O35" s="39">
        <f>ROUND(slcc!$C54*S$48,0)</f>
        <v>1518</v>
      </c>
      <c r="P35" s="39">
        <f t="shared" si="2"/>
        <v>800</v>
      </c>
      <c r="Q35" s="39">
        <f>ROUND(slcc!$C54*U$48,0)</f>
        <v>596</v>
      </c>
      <c r="R35" s="39">
        <f t="shared" si="6"/>
        <v>3984</v>
      </c>
      <c r="S35" s="39">
        <f t="shared" si="1"/>
        <v>33737</v>
      </c>
      <c r="T35" s="39">
        <f>UVU!C54-SUM(U35:X35)</f>
        <v>55693.536492374726</v>
      </c>
      <c r="U35" s="39">
        <f t="shared" si="4"/>
        <v>1151</v>
      </c>
      <c r="V35" s="39">
        <f t="shared" si="3"/>
        <v>601</v>
      </c>
      <c r="W35" s="39">
        <f t="shared" si="5"/>
        <v>1128.7037037037039</v>
      </c>
      <c r="X35" s="39">
        <f t="shared" si="11"/>
        <v>866.17647058823525</v>
      </c>
    </row>
    <row r="36" spans="1:24" x14ac:dyDescent="0.25">
      <c r="A36" s="38">
        <v>2041</v>
      </c>
      <c r="B36" s="39">
        <f>LDSBC!B32</f>
        <v>5328.9473684210525</v>
      </c>
      <c r="C36" s="39">
        <f>Westminstor!B55</f>
        <v>3432.5</v>
      </c>
      <c r="D36" s="199">
        <f>U!$F73 * D$2</f>
        <v>35790.949999999997</v>
      </c>
      <c r="E36" s="199">
        <f>U!$F73 * E$2</f>
        <v>6316.05</v>
      </c>
      <c r="F36" s="39">
        <f t="shared" si="7"/>
        <v>27898</v>
      </c>
      <c r="G36" s="39">
        <f t="shared" si="8"/>
        <v>11882</v>
      </c>
      <c r="H36" s="39">
        <f t="shared" si="10"/>
        <v>2378</v>
      </c>
      <c r="I36" s="39">
        <f>ROUND(slcc!$C55*M$48,0)</f>
        <v>27336</v>
      </c>
      <c r="J36" s="39">
        <f>ROUND(slcc!$C55*N$48,0)</f>
        <v>9241</v>
      </c>
      <c r="K36" s="39">
        <f>ROUND(slcc!$C55*O$48,0)</f>
        <v>10348</v>
      </c>
      <c r="L36" s="39">
        <f>ROUND(slcc!$C55*P$48,0)</f>
        <v>387</v>
      </c>
      <c r="M36" s="39">
        <f>ROUND(slcc!$C55*Q$48,0)</f>
        <v>3929</v>
      </c>
      <c r="N36" s="39">
        <f>ROUND(slcc!$C55*R$48,0)</f>
        <v>1715</v>
      </c>
      <c r="O36" s="39">
        <f>ROUND(slcc!$C55*S$48,0)</f>
        <v>1549</v>
      </c>
      <c r="P36" s="39">
        <f t="shared" si="2"/>
        <v>820</v>
      </c>
      <c r="Q36" s="39">
        <f>ROUND(slcc!$C55*U$48,0)</f>
        <v>609</v>
      </c>
      <c r="R36" s="39">
        <f t="shared" si="6"/>
        <v>4208</v>
      </c>
      <c r="S36" s="39">
        <f t="shared" si="1"/>
        <v>33763</v>
      </c>
      <c r="T36" s="39">
        <f>UVU!C55-SUM(U36:X36)</f>
        <v>56220.982843137252</v>
      </c>
      <c r="U36" s="39">
        <f t="shared" si="4"/>
        <v>1170</v>
      </c>
      <c r="V36" s="39">
        <f t="shared" si="3"/>
        <v>608</v>
      </c>
      <c r="W36" s="39">
        <f t="shared" si="5"/>
        <v>1183.3333333333335</v>
      </c>
      <c r="X36" s="39">
        <f t="shared" si="11"/>
        <v>947.05882352941171</v>
      </c>
    </row>
    <row r="37" spans="1:24" x14ac:dyDescent="0.25">
      <c r="A37" s="38">
        <v>2042</v>
      </c>
      <c r="B37" s="39">
        <f>LDSBC!B33</f>
        <v>5436.8421052631575</v>
      </c>
      <c r="C37" s="39">
        <f>Westminstor!B56</f>
        <v>3440</v>
      </c>
      <c r="D37" s="199">
        <f>U!$F74 * D$2</f>
        <v>35831.75</v>
      </c>
      <c r="E37" s="199">
        <f>U!$F74 * E$2</f>
        <v>6323.25</v>
      </c>
      <c r="F37" s="39">
        <f t="shared" si="7"/>
        <v>27940</v>
      </c>
      <c r="G37" s="39">
        <f t="shared" si="8"/>
        <v>11924</v>
      </c>
      <c r="H37" s="39">
        <f t="shared" si="10"/>
        <v>2387</v>
      </c>
      <c r="I37" s="39">
        <f>ROUND(slcc!$C56*M$48,0)</f>
        <v>27889</v>
      </c>
      <c r="J37" s="39">
        <f>ROUND(slcc!$C56*N$48,0)</f>
        <v>9428</v>
      </c>
      <c r="K37" s="39">
        <f>ROUND(slcc!$C56*O$48,0)</f>
        <v>10557</v>
      </c>
      <c r="L37" s="39">
        <f>ROUND(slcc!$C56*P$48,0)</f>
        <v>395</v>
      </c>
      <c r="M37" s="39">
        <f>ROUND(slcc!$C56*Q$48,0)</f>
        <v>4008</v>
      </c>
      <c r="N37" s="39">
        <f>ROUND(slcc!$C56*R$48,0)</f>
        <v>1750</v>
      </c>
      <c r="O37" s="39">
        <f>ROUND(slcc!$C56*S$48,0)</f>
        <v>1581</v>
      </c>
      <c r="P37" s="39">
        <f t="shared" si="2"/>
        <v>840</v>
      </c>
      <c r="Q37" s="39">
        <f>ROUND(slcc!$C56*U$48,0)</f>
        <v>621</v>
      </c>
      <c r="R37" s="39">
        <f t="shared" si="6"/>
        <v>4432</v>
      </c>
      <c r="S37" s="39">
        <f t="shared" si="1"/>
        <v>33789</v>
      </c>
      <c r="T37" s="39">
        <f>UVU!C56-SUM(U37:X37)</f>
        <v>56748.429193899785</v>
      </c>
      <c r="U37" s="39">
        <f t="shared" si="4"/>
        <v>1189</v>
      </c>
      <c r="V37" s="39">
        <f t="shared" si="3"/>
        <v>615</v>
      </c>
      <c r="W37" s="39">
        <f t="shared" si="5"/>
        <v>1237.962962962963</v>
      </c>
      <c r="X37" s="39">
        <f t="shared" si="11"/>
        <v>1027.9411764705883</v>
      </c>
    </row>
    <row r="38" spans="1:24" x14ac:dyDescent="0.25">
      <c r="A38" s="38">
        <v>2043</v>
      </c>
      <c r="B38" s="39">
        <f>LDSBC!B34</f>
        <v>5544.7368421052624</v>
      </c>
      <c r="C38" s="39">
        <f>Westminstor!B57</f>
        <v>3447.5</v>
      </c>
      <c r="D38" s="199">
        <f>U!$F75 * D$2</f>
        <v>35859.799999999996</v>
      </c>
      <c r="E38" s="199">
        <f>U!$F75 * E$2</f>
        <v>6328.2</v>
      </c>
      <c r="F38" s="39">
        <f t="shared" si="7"/>
        <v>27982</v>
      </c>
      <c r="G38" s="39">
        <f t="shared" si="8"/>
        <v>11966</v>
      </c>
      <c r="H38" s="39">
        <f t="shared" si="10"/>
        <v>2397</v>
      </c>
      <c r="I38" s="39">
        <f>ROUND(slcc!$C57*M$48,0)</f>
        <v>28441</v>
      </c>
      <c r="J38" s="39">
        <f>ROUND(slcc!$C57*N$48,0)</f>
        <v>9615</v>
      </c>
      <c r="K38" s="39">
        <f>ROUND(slcc!$C57*O$48,0)</f>
        <v>10766</v>
      </c>
      <c r="L38" s="39">
        <f>ROUND(slcc!$C57*P$48,0)</f>
        <v>403</v>
      </c>
      <c r="M38" s="39">
        <f>ROUND(slcc!$C57*Q$48,0)</f>
        <v>4088</v>
      </c>
      <c r="N38" s="39">
        <f>ROUND(slcc!$C57*R$48,0)</f>
        <v>1785</v>
      </c>
      <c r="O38" s="39">
        <f>ROUND(slcc!$C57*S$48,0)</f>
        <v>1612</v>
      </c>
      <c r="P38" s="39">
        <f t="shared" si="2"/>
        <v>860</v>
      </c>
      <c r="Q38" s="39">
        <f>ROUND(slcc!$C57*U$48,0)</f>
        <v>633</v>
      </c>
      <c r="R38" s="39">
        <f t="shared" si="6"/>
        <v>4656</v>
      </c>
      <c r="S38" s="39">
        <f t="shared" si="1"/>
        <v>33816</v>
      </c>
      <c r="T38" s="39">
        <f>UVU!C57-SUM(U38:X38)</f>
        <v>57275.875544662311</v>
      </c>
      <c r="U38" s="39">
        <f t="shared" ref="U38:U44" si="12">ROUND(U$10+(U$35-U$10)*($A38-$A$10)/($A$35-$A$10),0)</f>
        <v>1208</v>
      </c>
      <c r="V38" s="39">
        <f t="shared" si="3"/>
        <v>622</v>
      </c>
      <c r="W38" s="39">
        <f t="shared" si="5"/>
        <v>1292.5925925925926</v>
      </c>
      <c r="X38" s="39">
        <f t="shared" si="11"/>
        <v>1108.8235294117649</v>
      </c>
    </row>
    <row r="39" spans="1:24" x14ac:dyDescent="0.25">
      <c r="A39" s="38">
        <v>2044</v>
      </c>
      <c r="B39" s="39">
        <f>LDSBC!B35</f>
        <v>5652.6315789473674</v>
      </c>
      <c r="C39" s="39">
        <f>Westminstor!B58</f>
        <v>3455</v>
      </c>
      <c r="D39" s="199">
        <f>U!$F76 * D$2</f>
        <v>35883.599999999999</v>
      </c>
      <c r="E39" s="199">
        <f>U!$F76 * E$2</f>
        <v>6332.4</v>
      </c>
      <c r="F39" s="39">
        <f t="shared" si="7"/>
        <v>28024</v>
      </c>
      <c r="G39" s="39">
        <f t="shared" si="8"/>
        <v>12008</v>
      </c>
      <c r="H39" s="39">
        <f t="shared" si="10"/>
        <v>2406</v>
      </c>
      <c r="I39" s="39">
        <f>ROUND(slcc!$C58*M$48,0)</f>
        <v>28994</v>
      </c>
      <c r="J39" s="39">
        <f>ROUND(slcc!$C58*N$48,0)</f>
        <v>9801</v>
      </c>
      <c r="K39" s="39">
        <f>ROUND(slcc!$C58*O$48,0)</f>
        <v>10975</v>
      </c>
      <c r="L39" s="39">
        <f>ROUND(slcc!$C58*P$48,0)</f>
        <v>411</v>
      </c>
      <c r="M39" s="39">
        <f>ROUND(slcc!$C58*Q$48,0)</f>
        <v>4167</v>
      </c>
      <c r="N39" s="39">
        <f>ROUND(slcc!$C58*R$48,0)</f>
        <v>1819</v>
      </c>
      <c r="O39" s="39">
        <f>ROUND(slcc!$C58*S$48,0)</f>
        <v>1643</v>
      </c>
      <c r="P39" s="39">
        <f t="shared" si="2"/>
        <v>880</v>
      </c>
      <c r="Q39" s="39">
        <f>ROUND(slcc!$C58*U$48,0)</f>
        <v>646</v>
      </c>
      <c r="R39" s="39">
        <f t="shared" si="6"/>
        <v>4880</v>
      </c>
      <c r="S39" s="39">
        <f t="shared" si="1"/>
        <v>33842</v>
      </c>
      <c r="T39" s="39">
        <f>UVU!C58-SUM(U39:X39)</f>
        <v>57805.321895424837</v>
      </c>
      <c r="U39" s="39">
        <f t="shared" si="12"/>
        <v>1226</v>
      </c>
      <c r="V39" s="39">
        <f t="shared" si="3"/>
        <v>628</v>
      </c>
      <c r="W39" s="39">
        <f t="shared" si="5"/>
        <v>1347.2222222222222</v>
      </c>
      <c r="X39" s="39">
        <f t="shared" si="11"/>
        <v>1189.7058823529414</v>
      </c>
    </row>
    <row r="40" spans="1:24" x14ac:dyDescent="0.25">
      <c r="A40" s="38">
        <v>2045</v>
      </c>
      <c r="B40" s="39">
        <f>LDSBC!B36</f>
        <v>5760.5263157894724</v>
      </c>
      <c r="C40" s="39">
        <f>Westminstor!B59</f>
        <v>3462.5</v>
      </c>
      <c r="D40" s="199">
        <f>U!$F77 * D$2</f>
        <v>35903.15</v>
      </c>
      <c r="E40" s="199">
        <f>U!$F77 * E$2</f>
        <v>6335.8499999999995</v>
      </c>
      <c r="F40" s="39">
        <f t="shared" si="7"/>
        <v>28066</v>
      </c>
      <c r="G40" s="39">
        <f t="shared" si="8"/>
        <v>12050</v>
      </c>
      <c r="H40" s="39">
        <f t="shared" si="10"/>
        <v>2416</v>
      </c>
      <c r="I40" s="39">
        <f>ROUND(slcc!$C59*M$48,0)</f>
        <v>29546</v>
      </c>
      <c r="J40" s="39">
        <f>ROUND(slcc!$C59*N$48,0)</f>
        <v>9988</v>
      </c>
      <c r="K40" s="39">
        <f>ROUND(slcc!$C59*O$48,0)</f>
        <v>11184</v>
      </c>
      <c r="L40" s="39">
        <f>ROUND(slcc!$C59*P$48,0)</f>
        <v>419</v>
      </c>
      <c r="M40" s="39">
        <f>ROUND(slcc!$C59*Q$48,0)</f>
        <v>4246</v>
      </c>
      <c r="N40" s="39">
        <f>ROUND(slcc!$C59*R$48,0)</f>
        <v>1854</v>
      </c>
      <c r="O40" s="39">
        <f>ROUND(slcc!$C59*S$48,0)</f>
        <v>1675</v>
      </c>
      <c r="P40" s="39">
        <f t="shared" si="2"/>
        <v>900</v>
      </c>
      <c r="Q40" s="39">
        <f>ROUND(slcc!$C59*U$48,0)</f>
        <v>658</v>
      </c>
      <c r="R40" s="39">
        <f t="shared" si="6"/>
        <v>5104</v>
      </c>
      <c r="S40" s="39">
        <f t="shared" si="1"/>
        <v>33868</v>
      </c>
      <c r="T40" s="39">
        <f>UVU!C59-SUM(U40:X40)</f>
        <v>58332.768246187363</v>
      </c>
      <c r="U40" s="39">
        <f t="shared" si="12"/>
        <v>1245</v>
      </c>
      <c r="V40" s="39">
        <f t="shared" si="3"/>
        <v>635</v>
      </c>
      <c r="W40" s="39">
        <f t="shared" si="5"/>
        <v>1401.8518518518517</v>
      </c>
      <c r="X40" s="39">
        <f t="shared" si="11"/>
        <v>1270.588235294118</v>
      </c>
    </row>
    <row r="41" spans="1:24" x14ac:dyDescent="0.25">
      <c r="A41" s="38">
        <v>2046</v>
      </c>
      <c r="B41" s="39">
        <f>LDSBC!B37</f>
        <v>5868.4210526315774</v>
      </c>
      <c r="C41" s="39">
        <f>Westminstor!B60</f>
        <v>3470</v>
      </c>
      <c r="D41" s="199">
        <f>U!$F78 * D$2</f>
        <v>35918.449999999997</v>
      </c>
      <c r="E41" s="199">
        <f>U!$F78 * E$2</f>
        <v>6338.55</v>
      </c>
      <c r="F41" s="39">
        <f t="shared" si="7"/>
        <v>28108</v>
      </c>
      <c r="G41" s="39">
        <f t="shared" si="8"/>
        <v>12092</v>
      </c>
      <c r="H41" s="39">
        <f t="shared" si="10"/>
        <v>2425</v>
      </c>
      <c r="I41" s="39">
        <f>ROUND(slcc!$C60*M$48,0)</f>
        <v>30098</v>
      </c>
      <c r="J41" s="39">
        <f>ROUND(slcc!$C60*N$48,0)</f>
        <v>10175</v>
      </c>
      <c r="K41" s="39">
        <f>ROUND(slcc!$C60*O$48,0)</f>
        <v>11394</v>
      </c>
      <c r="L41" s="39">
        <f>ROUND(slcc!$C60*P$48,0)</f>
        <v>426</v>
      </c>
      <c r="M41" s="39">
        <f>ROUND(slcc!$C60*Q$48,0)</f>
        <v>4326</v>
      </c>
      <c r="N41" s="39">
        <f>ROUND(slcc!$C60*R$48,0)</f>
        <v>1889</v>
      </c>
      <c r="O41" s="39">
        <f>ROUND(slcc!$C60*S$48,0)</f>
        <v>1706</v>
      </c>
      <c r="P41" s="39">
        <f t="shared" si="2"/>
        <v>920</v>
      </c>
      <c r="Q41" s="39">
        <f>ROUND(slcc!$C60*U$48,0)</f>
        <v>670</v>
      </c>
      <c r="R41" s="39">
        <f t="shared" si="6"/>
        <v>5328</v>
      </c>
      <c r="S41" s="39">
        <f t="shared" si="1"/>
        <v>33895</v>
      </c>
      <c r="T41" s="39">
        <f>UVU!C60-SUM(U41:X41)</f>
        <v>58860.214596949889</v>
      </c>
      <c r="U41" s="39">
        <f t="shared" si="12"/>
        <v>1264</v>
      </c>
      <c r="V41" s="39">
        <f t="shared" si="3"/>
        <v>642</v>
      </c>
      <c r="W41" s="39">
        <f t="shared" si="5"/>
        <v>1456.4814814814813</v>
      </c>
      <c r="X41" s="39">
        <f t="shared" si="11"/>
        <v>1351.4705882352946</v>
      </c>
    </row>
    <row r="42" spans="1:24" x14ac:dyDescent="0.25">
      <c r="A42" s="38">
        <v>2047</v>
      </c>
      <c r="B42" s="39">
        <f>LDSBC!B38</f>
        <v>5976.3157894736823</v>
      </c>
      <c r="C42" s="39">
        <f>Westminstor!B61</f>
        <v>3477.5</v>
      </c>
      <c r="D42" s="199">
        <f>U!$F79 * D$2</f>
        <v>35929.5</v>
      </c>
      <c r="E42" s="199">
        <f>U!$F79 * E$2</f>
        <v>6340.5</v>
      </c>
      <c r="F42" s="39">
        <f t="shared" si="7"/>
        <v>28150</v>
      </c>
      <c r="G42" s="39">
        <f t="shared" si="8"/>
        <v>12134</v>
      </c>
      <c r="H42" s="39">
        <f t="shared" si="10"/>
        <v>2434</v>
      </c>
      <c r="I42" s="39">
        <f>ROUND(slcc!$C61*M$48,0)</f>
        <v>30651</v>
      </c>
      <c r="J42" s="39">
        <f>ROUND(slcc!$C61*N$48,0)</f>
        <v>10362</v>
      </c>
      <c r="K42" s="39">
        <f>ROUND(slcc!$C61*O$48,0)</f>
        <v>11603</v>
      </c>
      <c r="L42" s="39">
        <f>ROUND(slcc!$C61*P$48,0)</f>
        <v>434</v>
      </c>
      <c r="M42" s="39">
        <f>ROUND(slcc!$C61*Q$48,0)</f>
        <v>4405</v>
      </c>
      <c r="N42" s="39">
        <f>ROUND(slcc!$C61*R$48,0)</f>
        <v>1923</v>
      </c>
      <c r="O42" s="39">
        <f>ROUND(slcc!$C61*S$48,0)</f>
        <v>1737</v>
      </c>
      <c r="P42" s="39">
        <f t="shared" si="2"/>
        <v>940</v>
      </c>
      <c r="Q42" s="39">
        <f>ROUND(slcc!$C61*U$48,0)</f>
        <v>683</v>
      </c>
      <c r="R42" s="39">
        <f t="shared" si="6"/>
        <v>5552</v>
      </c>
      <c r="S42" s="39">
        <f t="shared" si="1"/>
        <v>33921</v>
      </c>
      <c r="T42" s="39">
        <f>UVU!C61-SUM(U42:X42)</f>
        <v>59387.660947712415</v>
      </c>
      <c r="U42" s="39">
        <f t="shared" si="12"/>
        <v>1283</v>
      </c>
      <c r="V42" s="39">
        <f t="shared" si="3"/>
        <v>649</v>
      </c>
      <c r="W42" s="39">
        <f t="shared" si="5"/>
        <v>1511.1111111111109</v>
      </c>
      <c r="X42" s="39">
        <f t="shared" si="11"/>
        <v>1432.3529411764712</v>
      </c>
    </row>
    <row r="43" spans="1:24" x14ac:dyDescent="0.25">
      <c r="A43" s="38">
        <v>2048</v>
      </c>
      <c r="B43" s="39">
        <f>LDSBC!B39</f>
        <v>6084.2105263157873</v>
      </c>
      <c r="C43" s="39">
        <f>Westminstor!B62</f>
        <v>3485</v>
      </c>
      <c r="D43" s="199">
        <f>U!$F80 * D$2</f>
        <v>35936.299999999996</v>
      </c>
      <c r="E43" s="199">
        <f>U!$F80 * E$2</f>
        <v>6341.7</v>
      </c>
      <c r="F43" s="39">
        <f t="shared" si="7"/>
        <v>28193</v>
      </c>
      <c r="G43" s="39">
        <f t="shared" si="8"/>
        <v>12177</v>
      </c>
      <c r="H43" s="39">
        <f t="shared" si="10"/>
        <v>2444</v>
      </c>
      <c r="I43" s="39">
        <f>ROUND(slcc!$C62*M$48,0)</f>
        <v>31203</v>
      </c>
      <c r="J43" s="39">
        <f>ROUND(slcc!$C62*N$48,0)</f>
        <v>10548</v>
      </c>
      <c r="K43" s="39">
        <f>ROUND(slcc!$C62*O$48,0)</f>
        <v>11812</v>
      </c>
      <c r="L43" s="39">
        <f>ROUND(slcc!$C62*P$48,0)</f>
        <v>442</v>
      </c>
      <c r="M43" s="39">
        <f>ROUND(slcc!$C62*Q$48,0)</f>
        <v>4485</v>
      </c>
      <c r="N43" s="39">
        <f>ROUND(slcc!$C62*R$48,0)</f>
        <v>1958</v>
      </c>
      <c r="O43" s="39">
        <f>ROUND(slcc!$C62*S$48,0)</f>
        <v>1769</v>
      </c>
      <c r="P43" s="39">
        <f t="shared" si="2"/>
        <v>960</v>
      </c>
      <c r="Q43" s="39">
        <f>ROUND(slcc!$C62*U$48,0)</f>
        <v>695</v>
      </c>
      <c r="R43" s="39">
        <f t="shared" si="6"/>
        <v>5776</v>
      </c>
      <c r="S43" s="39">
        <f t="shared" si="1"/>
        <v>33947</v>
      </c>
      <c r="T43" s="39">
        <f>UVU!C62-SUM(U43:X43)</f>
        <v>59915.107298474948</v>
      </c>
      <c r="U43" s="39">
        <f t="shared" si="12"/>
        <v>1302</v>
      </c>
      <c r="V43" s="39">
        <f t="shared" si="3"/>
        <v>656</v>
      </c>
      <c r="W43" s="39">
        <f t="shared" si="5"/>
        <v>1565.7407407407404</v>
      </c>
      <c r="X43" s="39">
        <f t="shared" si="11"/>
        <v>1513.2352941176478</v>
      </c>
    </row>
    <row r="44" spans="1:24" x14ac:dyDescent="0.25">
      <c r="A44" s="38">
        <v>2049</v>
      </c>
      <c r="B44" s="39">
        <f>LDSBC!B40</f>
        <v>6192.1052631578923</v>
      </c>
      <c r="C44" s="39">
        <f>Westminstor!B63</f>
        <v>3492.5</v>
      </c>
      <c r="D44" s="199">
        <f>U!$F81 * D$2</f>
        <v>35938.85</v>
      </c>
      <c r="E44" s="199">
        <f>U!$F81 * E$2</f>
        <v>6342.15</v>
      </c>
      <c r="F44" s="39">
        <f>ROUND(F$21+(F$45-F$21)*($A44-$A$21)/($A$45-$A$21),0)</f>
        <v>28235</v>
      </c>
      <c r="G44" s="39">
        <f>ROUND(G$21+(G$45-G$21)*($A44-$A$21)/($A$45-$A$21),0)</f>
        <v>12219</v>
      </c>
      <c r="H44" s="39">
        <f t="shared" si="10"/>
        <v>2453</v>
      </c>
      <c r="I44" s="39">
        <f>ROUND(slcc!$C63*M$48,0)</f>
        <v>31756</v>
      </c>
      <c r="J44" s="39">
        <f>ROUND(slcc!$C63*N$48,0)</f>
        <v>10735</v>
      </c>
      <c r="K44" s="39">
        <f>ROUND(slcc!$C63*O$48,0)</f>
        <v>12021</v>
      </c>
      <c r="L44" s="39">
        <f>ROUND(slcc!$C63*P$48,0)</f>
        <v>450</v>
      </c>
      <c r="M44" s="39">
        <f>ROUND(slcc!$C63*Q$48,0)</f>
        <v>4564</v>
      </c>
      <c r="N44" s="39">
        <f>ROUND(slcc!$C63*R$48,0)</f>
        <v>1993</v>
      </c>
      <c r="O44" s="39">
        <f>ROUND(slcc!$C63*S$48,0)</f>
        <v>1800</v>
      </c>
      <c r="P44" s="39">
        <f t="shared" si="2"/>
        <v>980</v>
      </c>
      <c r="Q44" s="39">
        <f>ROUND(slcc!$C63*U$48,0)</f>
        <v>707</v>
      </c>
      <c r="R44" s="39">
        <f t="shared" si="6"/>
        <v>6000</v>
      </c>
      <c r="S44" s="39">
        <f t="shared" si="1"/>
        <v>33974</v>
      </c>
      <c r="T44" s="39">
        <f>UVU!C63-SUM(U44:X44)</f>
        <v>60442.553649237481</v>
      </c>
      <c r="U44" s="39">
        <f t="shared" si="12"/>
        <v>1321</v>
      </c>
      <c r="V44" s="39">
        <f t="shared" si="3"/>
        <v>663</v>
      </c>
      <c r="W44" s="39">
        <f t="shared" si="5"/>
        <v>1620.37037037037</v>
      </c>
      <c r="X44" s="39">
        <f t="shared" si="11"/>
        <v>1594.1176470588243</v>
      </c>
    </row>
    <row r="45" spans="1:24" x14ac:dyDescent="0.25">
      <c r="A45" s="38">
        <v>2050</v>
      </c>
      <c r="B45" s="39">
        <f>LDSBC!B41</f>
        <v>6300</v>
      </c>
      <c r="C45" s="39">
        <f>Westminstor!B64</f>
        <v>3500</v>
      </c>
      <c r="D45" s="199">
        <f>U!$F82 * D$2</f>
        <v>35938.85</v>
      </c>
      <c r="E45" s="199">
        <f>U!$F82 * E$2</f>
        <v>6342.15</v>
      </c>
      <c r="F45" s="39">
        <f>F6+0.45*(summary!C8-WSU!F124)</f>
        <v>28276.799999999999</v>
      </c>
      <c r="G45" s="39">
        <f>G6+0.45*(summary!C8-WSU!F124)</f>
        <v>12260.8</v>
      </c>
      <c r="H45" s="39">
        <f>H6+0.1*(summary!C8-WSU!F124)</f>
        <v>2462.4</v>
      </c>
      <c r="I45" s="39">
        <f>ROUND(slcc!$C64*M$48,0)</f>
        <v>32308</v>
      </c>
      <c r="J45" s="39">
        <f>ROUND(slcc!$C64*N$48,0)</f>
        <v>10922</v>
      </c>
      <c r="K45" s="39">
        <f>ROUND(slcc!$C64*O$48,0)</f>
        <v>12230</v>
      </c>
      <c r="L45" s="39">
        <f>ROUND(slcc!$C64*P$48,0)</f>
        <v>458</v>
      </c>
      <c r="M45" s="39">
        <f>ROUND(slcc!$C64*Q$48,0)</f>
        <v>4643</v>
      </c>
      <c r="N45" s="39">
        <f>ROUND(slcc!$C64*R$48,0)</f>
        <v>2027</v>
      </c>
      <c r="O45" s="39">
        <f>ROUND(slcc!$C64*S$48,0)</f>
        <v>1831</v>
      </c>
      <c r="P45" s="39">
        <f t="shared" si="2"/>
        <v>1000</v>
      </c>
      <c r="Q45" s="39">
        <f>ROUND(slcc!$C64*U$48,0)</f>
        <v>719</v>
      </c>
      <c r="R45" s="39">
        <f>R44+224</f>
        <v>6224</v>
      </c>
      <c r="S45" s="39">
        <f>summary!F8</f>
        <v>34000</v>
      </c>
      <c r="T45" s="39">
        <f>UVU!C64-SUM(U45:X45)</f>
        <v>60970</v>
      </c>
      <c r="U45" s="39">
        <f>summary!D8*0.02</f>
        <v>1340</v>
      </c>
      <c r="V45" s="39">
        <f>summary!D8*0.01</f>
        <v>670</v>
      </c>
      <c r="W45" s="39">
        <f>summary!D8*0.025</f>
        <v>1675</v>
      </c>
      <c r="X45" s="39">
        <f>summary!D8*0.025</f>
        <v>1675</v>
      </c>
    </row>
    <row r="46" spans="1:24" x14ac:dyDescent="0.25">
      <c r="B46" s="39">
        <f>U!F83</f>
        <v>0</v>
      </c>
    </row>
    <row r="47" spans="1:24" x14ac:dyDescent="0.25">
      <c r="B47" s="39"/>
      <c r="M47" t="s">
        <v>181</v>
      </c>
      <c r="N47" t="s">
        <v>182</v>
      </c>
      <c r="O47" t="s">
        <v>183</v>
      </c>
      <c r="P47" t="s">
        <v>101</v>
      </c>
      <c r="Q47" t="s">
        <v>184</v>
      </c>
      <c r="R47" t="s">
        <v>187</v>
      </c>
      <c r="S47" t="s">
        <v>206</v>
      </c>
      <c r="T47" t="s">
        <v>102</v>
      </c>
      <c r="U47" t="s">
        <v>107</v>
      </c>
    </row>
    <row r="48" spans="1:24" x14ac:dyDescent="0.25">
      <c r="B48" s="39">
        <f>U!F84</f>
        <v>0</v>
      </c>
      <c r="M48">
        <v>0.49399999999999999</v>
      </c>
      <c r="N48">
        <v>0.16700000000000001</v>
      </c>
      <c r="O48">
        <v>0.187</v>
      </c>
      <c r="P48">
        <v>7.0000000000000001E-3</v>
      </c>
      <c r="Q48">
        <v>7.0999999999999994E-2</v>
      </c>
      <c r="R48">
        <v>3.1E-2</v>
      </c>
      <c r="S48">
        <v>2.8000000000000001E-2</v>
      </c>
      <c r="T48">
        <v>4.0000000000000001E-3</v>
      </c>
      <c r="U48">
        <v>1.0999999999999999E-2</v>
      </c>
    </row>
    <row r="49" spans="1:22" x14ac:dyDescent="0.25">
      <c r="A49" t="s">
        <v>221</v>
      </c>
      <c r="B49" s="39">
        <f>U!F85</f>
        <v>0</v>
      </c>
      <c r="E49" s="50" t="s">
        <v>225</v>
      </c>
      <c r="F49" s="50"/>
      <c r="G49" s="50" t="s">
        <v>222</v>
      </c>
      <c r="H49" s="50" t="s">
        <v>223</v>
      </c>
      <c r="I49" s="50"/>
      <c r="J49" s="50"/>
      <c r="K49" s="50"/>
      <c r="L49" s="50"/>
      <c r="M49" s="50" t="s">
        <v>224</v>
      </c>
      <c r="N49" s="50" t="s">
        <v>224</v>
      </c>
      <c r="O49" s="50" t="s">
        <v>224</v>
      </c>
      <c r="P49" s="50" t="s">
        <v>224</v>
      </c>
      <c r="Q49" s="50" t="s">
        <v>224</v>
      </c>
      <c r="R49" s="50" t="s">
        <v>224</v>
      </c>
      <c r="S49" s="50" t="s">
        <v>224</v>
      </c>
      <c r="T49" s="50" t="s">
        <v>224</v>
      </c>
      <c r="U49" s="50" t="s">
        <v>224</v>
      </c>
      <c r="V49" s="50"/>
    </row>
    <row r="50" spans="1:22" x14ac:dyDescent="0.25">
      <c r="B50" s="39">
        <f>U!F86</f>
        <v>0</v>
      </c>
      <c r="E50" t="s">
        <v>226</v>
      </c>
    </row>
  </sheetData>
  <mergeCells count="4">
    <mergeCell ref="F3:H3"/>
    <mergeCell ref="T3:X3"/>
    <mergeCell ref="I3:R3"/>
    <mergeCell ref="D3:E3"/>
  </mergeCells>
  <pageMargins left="0.7" right="0.7" top="0.75" bottom="0.75" header="0.3" footer="0.3"/>
  <pageSetup scale="6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Y47"/>
  <sheetViews>
    <sheetView topLeftCell="A16" workbookViewId="0">
      <selection activeCell="B7" sqref="B7"/>
    </sheetView>
  </sheetViews>
  <sheetFormatPr defaultRowHeight="12.75" x14ac:dyDescent="0.2"/>
  <cols>
    <col min="1" max="1" width="22.5703125" style="17" customWidth="1"/>
    <col min="2" max="2" width="7.7109375" style="17" customWidth="1"/>
    <col min="3" max="3" width="8.140625" style="17" customWidth="1"/>
    <col min="4" max="4" width="7.7109375" style="17" customWidth="1"/>
    <col min="5" max="5" width="8" style="17" customWidth="1"/>
    <col min="6" max="6" width="8.140625" style="17" customWidth="1"/>
    <col min="7" max="7" width="9.140625" style="17"/>
    <col min="8" max="8" width="8" style="17" customWidth="1"/>
    <col min="9" max="9" width="8.28515625" style="17" customWidth="1"/>
    <col min="10" max="10" width="8.7109375" style="17" customWidth="1"/>
    <col min="11" max="11" width="8.140625" style="17" customWidth="1"/>
    <col min="12" max="16384" width="9.140625" style="17"/>
  </cols>
  <sheetData>
    <row r="1" spans="1:25" ht="23.25" x14ac:dyDescent="0.35">
      <c r="A1" s="243" t="s">
        <v>14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N1" s="243" t="s">
        <v>242</v>
      </c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</row>
    <row r="2" spans="1:25" ht="15.75" x14ac:dyDescent="0.25">
      <c r="B2" s="244" t="s">
        <v>82</v>
      </c>
      <c r="C2" s="245"/>
      <c r="D2" s="245"/>
      <c r="E2" s="245"/>
      <c r="F2" s="245"/>
      <c r="G2" s="245"/>
      <c r="H2" s="245"/>
      <c r="I2" s="245"/>
      <c r="J2" s="245"/>
      <c r="K2" s="246"/>
      <c r="N2"/>
      <c r="O2" s="244" t="s">
        <v>82</v>
      </c>
      <c r="P2" s="245"/>
      <c r="Q2" s="245"/>
      <c r="R2" s="245"/>
      <c r="S2" s="245"/>
      <c r="T2" s="245"/>
      <c r="U2" s="245"/>
      <c r="V2" s="245"/>
      <c r="W2" s="245"/>
      <c r="X2" s="246"/>
      <c r="Y2"/>
    </row>
    <row r="3" spans="1:25" ht="45.75" thickBot="1" x14ac:dyDescent="0.3">
      <c r="A3" s="18" t="s">
        <v>83</v>
      </c>
      <c r="B3" s="19">
        <v>2012</v>
      </c>
      <c r="C3" s="19">
        <v>2013</v>
      </c>
      <c r="D3" s="19">
        <v>2014</v>
      </c>
      <c r="E3" s="19">
        <v>2015</v>
      </c>
      <c r="F3" s="19">
        <v>2016</v>
      </c>
      <c r="G3" s="19">
        <v>2017</v>
      </c>
      <c r="H3" s="19">
        <v>2018</v>
      </c>
      <c r="I3" s="19">
        <v>2019</v>
      </c>
      <c r="J3" s="19">
        <v>2020</v>
      </c>
      <c r="K3" s="19">
        <v>2021</v>
      </c>
      <c r="L3" s="20" t="s">
        <v>84</v>
      </c>
      <c r="N3" s="18" t="s">
        <v>83</v>
      </c>
      <c r="O3" s="19">
        <v>2012</v>
      </c>
      <c r="P3" s="19">
        <v>2013</v>
      </c>
      <c r="Q3" s="19">
        <v>2014</v>
      </c>
      <c r="R3" s="19">
        <v>2015</v>
      </c>
      <c r="S3" s="19">
        <v>2016</v>
      </c>
      <c r="T3" s="19">
        <v>2017</v>
      </c>
      <c r="U3" s="19">
        <v>2018</v>
      </c>
      <c r="V3" s="19">
        <v>2019</v>
      </c>
      <c r="W3" s="19">
        <v>2020</v>
      </c>
      <c r="X3" s="19">
        <v>2021</v>
      </c>
      <c r="Y3" s="20" t="s">
        <v>84</v>
      </c>
    </row>
    <row r="4" spans="1:25" ht="13.5" thickTop="1" x14ac:dyDescent="0.2">
      <c r="A4" s="17" t="s">
        <v>85</v>
      </c>
      <c r="B4" s="21">
        <v>33955</v>
      </c>
      <c r="C4" s="21">
        <v>34770</v>
      </c>
      <c r="D4" s="21">
        <v>35361</v>
      </c>
      <c r="E4" s="21">
        <v>35856</v>
      </c>
      <c r="F4" s="21">
        <v>36287</v>
      </c>
      <c r="G4" s="21">
        <v>36650</v>
      </c>
      <c r="H4" s="21">
        <v>36943</v>
      </c>
      <c r="I4" s="21">
        <v>37164</v>
      </c>
      <c r="J4" s="21">
        <v>37387</v>
      </c>
      <c r="K4" s="21">
        <v>37574</v>
      </c>
      <c r="L4" s="21"/>
      <c r="N4" s="17" t="s">
        <v>85</v>
      </c>
      <c r="O4" s="21">
        <v>28067</v>
      </c>
      <c r="P4" s="21">
        <v>28741</v>
      </c>
      <c r="Q4" s="21">
        <v>29230</v>
      </c>
      <c r="R4" s="21">
        <v>29639</v>
      </c>
      <c r="S4" s="21">
        <v>29995</v>
      </c>
      <c r="T4" s="21">
        <v>30294</v>
      </c>
      <c r="U4" s="21">
        <v>30537</v>
      </c>
      <c r="V4" s="21">
        <v>30720</v>
      </c>
      <c r="W4" s="21">
        <v>30904</v>
      </c>
      <c r="X4" s="21">
        <v>31059</v>
      </c>
      <c r="Y4" s="21"/>
    </row>
    <row r="5" spans="1:25" x14ac:dyDescent="0.2">
      <c r="A5" s="17" t="s">
        <v>86</v>
      </c>
      <c r="B5" s="22"/>
      <c r="C5" s="22">
        <v>2.4002356059490502E-2</v>
      </c>
      <c r="D5" s="22">
        <v>1.6997411561691114E-2</v>
      </c>
      <c r="E5" s="22">
        <v>1.3998472893866123E-2</v>
      </c>
      <c r="F5" s="22">
        <v>1.2020303435966087E-2</v>
      </c>
      <c r="G5" s="22">
        <v>1.0003582550224599E-2</v>
      </c>
      <c r="H5" s="22">
        <v>7.9945429740791267E-3</v>
      </c>
      <c r="I5" s="22">
        <v>5.9821887773055787E-3</v>
      </c>
      <c r="J5" s="22">
        <v>6.0004305241631688E-3</v>
      </c>
      <c r="K5" s="22">
        <v>5.0017385722309895E-3</v>
      </c>
      <c r="L5" s="22">
        <v>1.1333447483224145E-2</v>
      </c>
      <c r="N5" s="17" t="s">
        <v>86</v>
      </c>
      <c r="O5" s="22"/>
      <c r="P5" s="22">
        <v>2.4013966579969358E-2</v>
      </c>
      <c r="Q5" s="22">
        <v>1.7014021780731359E-2</v>
      </c>
      <c r="R5" s="22">
        <v>1.3992473486144373E-2</v>
      </c>
      <c r="S5" s="22">
        <v>1.2011201457539053E-2</v>
      </c>
      <c r="T5" s="22">
        <v>9.9683280546757798E-3</v>
      </c>
      <c r="U5" s="22">
        <v>8.0213903743315516E-3</v>
      </c>
      <c r="V5" s="22">
        <v>5.992730130661165E-3</v>
      </c>
      <c r="W5" s="22">
        <v>5.9895833333333337E-3</v>
      </c>
      <c r="X5" s="22">
        <v>5.0155319699715251E-3</v>
      </c>
      <c r="Y5" s="22">
        <v>1.1335469685261945E-2</v>
      </c>
    </row>
    <row r="6" spans="1:25" ht="15" x14ac:dyDescent="0.25"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N6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x14ac:dyDescent="0.2">
      <c r="A7" s="17" t="s">
        <v>87</v>
      </c>
      <c r="B7" s="21">
        <v>30373.586199999998</v>
      </c>
      <c r="C7" s="21">
        <v>31309.782201999995</v>
      </c>
      <c r="D7" s="21">
        <v>32278.745064069994</v>
      </c>
      <c r="E7" s="21">
        <v>33281.621626312437</v>
      </c>
      <c r="F7" s="21">
        <v>34319.59886823337</v>
      </c>
      <c r="G7" s="21">
        <v>35393.905313621537</v>
      </c>
      <c r="H7" s="21">
        <v>36505.812484598289</v>
      </c>
      <c r="I7" s="21">
        <v>37656.636406559221</v>
      </c>
      <c r="J7" s="21">
        <v>38847.739165788793</v>
      </c>
      <c r="K7" s="21">
        <v>40080.53052159139</v>
      </c>
      <c r="L7" s="21"/>
      <c r="N7" s="17" t="s">
        <v>87</v>
      </c>
      <c r="O7" s="21">
        <v>22159</v>
      </c>
      <c r="P7" s="21">
        <v>22916</v>
      </c>
      <c r="Q7" s="21">
        <v>23674</v>
      </c>
      <c r="R7" s="21">
        <v>24431</v>
      </c>
      <c r="S7" s="21">
        <v>25189</v>
      </c>
      <c r="T7" s="21">
        <v>25947</v>
      </c>
      <c r="U7" s="21">
        <v>26704</v>
      </c>
      <c r="V7" s="21">
        <v>27462</v>
      </c>
      <c r="W7" s="21">
        <v>28220</v>
      </c>
      <c r="X7" s="21">
        <v>28977</v>
      </c>
      <c r="Y7" s="21"/>
    </row>
    <row r="8" spans="1:25" x14ac:dyDescent="0.2">
      <c r="A8" s="17" t="s">
        <v>86</v>
      </c>
      <c r="B8" s="22"/>
      <c r="C8" s="22">
        <v>3.0822702193789582E-2</v>
      </c>
      <c r="D8" s="22">
        <v>3.0947607869597497E-2</v>
      </c>
      <c r="E8" s="22">
        <v>3.1069255023757476E-2</v>
      </c>
      <c r="F8" s="22">
        <v>3.1187700334298272E-2</v>
      </c>
      <c r="G8" s="22">
        <v>3.1303001224252593E-2</v>
      </c>
      <c r="H8" s="22">
        <v>3.1415215730625487E-2</v>
      </c>
      <c r="I8" s="22">
        <v>3.1524402379661073E-2</v>
      </c>
      <c r="J8" s="22">
        <v>3.163062006839517E-2</v>
      </c>
      <c r="K8" s="22">
        <v>3.1733927952447061E-2</v>
      </c>
      <c r="L8" s="22">
        <v>3.1292714752980469E-2</v>
      </c>
      <c r="N8" s="17" t="s">
        <v>86</v>
      </c>
      <c r="O8" s="22"/>
      <c r="P8" s="22">
        <v>3.4162191434631527E-2</v>
      </c>
      <c r="Q8" s="22">
        <v>3.3077325885843951E-2</v>
      </c>
      <c r="R8" s="22">
        <v>3.1976007434316125E-2</v>
      </c>
      <c r="S8" s="22">
        <v>3.1026155294502887E-2</v>
      </c>
      <c r="T8" s="22">
        <v>3.0092500694747708E-2</v>
      </c>
      <c r="U8" s="22">
        <v>2.917485643812387E-2</v>
      </c>
      <c r="V8" s="22">
        <v>2.8385260635110845E-2</v>
      </c>
      <c r="W8" s="22">
        <v>2.7601777000946764E-2</v>
      </c>
      <c r="X8" s="22">
        <v>2.6824946846208363E-2</v>
      </c>
      <c r="Y8" s="22">
        <v>3.0257891296048001E-2</v>
      </c>
    </row>
    <row r="9" spans="1:25" ht="15" x14ac:dyDescent="0.25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N9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x14ac:dyDescent="0.2">
      <c r="A10" s="17" t="s">
        <v>88</v>
      </c>
      <c r="B10" s="21">
        <v>26484.840999999997</v>
      </c>
      <c r="C10" s="21">
        <v>27559.462869999992</v>
      </c>
      <c r="D10" s="21">
        <v>28671.696505449992</v>
      </c>
      <c r="E10" s="21">
        <v>29822.858318140734</v>
      </c>
      <c r="F10" s="21">
        <v>31014.310794275658</v>
      </c>
      <c r="G10" s="21">
        <v>32247.464107075302</v>
      </c>
      <c r="H10" s="21">
        <v>33523.777785822938</v>
      </c>
      <c r="I10" s="21">
        <v>34844.762443326734</v>
      </c>
      <c r="J10" s="21">
        <v>36211.981563843161</v>
      </c>
      <c r="K10" s="21">
        <v>37626.813999999998</v>
      </c>
      <c r="L10" s="21"/>
      <c r="N10" s="17" t="s">
        <v>88</v>
      </c>
      <c r="O10" s="21">
        <v>16572.639799999997</v>
      </c>
      <c r="P10" s="21">
        <v>17281.768807999997</v>
      </c>
      <c r="Q10" s="21">
        <v>18015.717331279993</v>
      </c>
      <c r="R10" s="21">
        <v>18775.354052874791</v>
      </c>
      <c r="S10" s="21">
        <v>19561.578059725405</v>
      </c>
      <c r="T10" s="21">
        <v>20375.319906815792</v>
      </c>
      <c r="U10" s="21">
        <v>21217.542718554341</v>
      </c>
      <c r="V10" s="21">
        <v>22089.243328703742</v>
      </c>
      <c r="W10" s="21">
        <v>22991.45346020837</v>
      </c>
      <c r="X10" s="21">
        <v>23925.082999999999</v>
      </c>
      <c r="Y10" s="21"/>
    </row>
    <row r="11" spans="1:25" x14ac:dyDescent="0.2">
      <c r="A11" s="17" t="s">
        <v>86</v>
      </c>
      <c r="B11" s="22"/>
      <c r="C11" s="22">
        <v>4.0574979098420699E-2</v>
      </c>
      <c r="D11" s="22">
        <v>4.0357594801338763E-2</v>
      </c>
      <c r="E11" s="22">
        <v>4.014976276244852E-2</v>
      </c>
      <c r="F11" s="22">
        <v>3.9950982009332885E-2</v>
      </c>
      <c r="G11" s="22">
        <v>3.9760784012883785E-2</v>
      </c>
      <c r="H11" s="22">
        <v>3.9578730113776744E-2</v>
      </c>
      <c r="I11" s="22">
        <v>3.9404409191091651E-2</v>
      </c>
      <c r="J11" s="22">
        <v>3.9237435546881423E-2</v>
      </c>
      <c r="K11" s="22">
        <v>3.9070837194104716E-2</v>
      </c>
      <c r="L11" s="22">
        <v>3.9787279414475463E-2</v>
      </c>
      <c r="N11" s="17" t="s">
        <v>86</v>
      </c>
      <c r="O11" s="22"/>
      <c r="P11" s="22">
        <v>4.2789140206860705E-2</v>
      </c>
      <c r="Q11" s="22">
        <v>4.2469525627506374E-2</v>
      </c>
      <c r="R11" s="22">
        <v>4.2165222046189062E-2</v>
      </c>
      <c r="S11" s="22">
        <v>4.1875322544462572E-2</v>
      </c>
      <c r="T11" s="22">
        <v>4.1598987801795453E-2</v>
      </c>
      <c r="U11" s="22">
        <v>4.1335439914090166E-2</v>
      </c>
      <c r="V11" s="22">
        <v>4.1083956880035639E-2</v>
      </c>
      <c r="W11" s="22">
        <v>4.084386767256331E-2</v>
      </c>
      <c r="X11" s="22">
        <v>4.0607678040341162E-2</v>
      </c>
      <c r="Y11" s="22">
        <v>4.1641015637093826E-2</v>
      </c>
    </row>
    <row r="12" spans="1:25" ht="15" x14ac:dyDescent="0.25"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N12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x14ac:dyDescent="0.2">
      <c r="A13" s="17" t="s">
        <v>89</v>
      </c>
      <c r="B13" s="21">
        <v>8881.7020493374948</v>
      </c>
      <c r="C13" s="21">
        <v>9032.5226613331324</v>
      </c>
      <c r="D13" s="21">
        <v>9240.7725251606244</v>
      </c>
      <c r="E13" s="21">
        <v>9437.178651209977</v>
      </c>
      <c r="F13" s="21">
        <v>9543.1333736570214</v>
      </c>
      <c r="G13" s="21">
        <v>9680.1559050852702</v>
      </c>
      <c r="H13" s="21">
        <v>9858.5922692288877</v>
      </c>
      <c r="I13" s="21">
        <v>10057.169422763765</v>
      </c>
      <c r="J13" s="21">
        <v>10220.389972490852</v>
      </c>
      <c r="K13" s="21">
        <v>10431.899519860102</v>
      </c>
      <c r="L13" s="21"/>
      <c r="N13" s="17" t="s">
        <v>89</v>
      </c>
      <c r="O13" s="21">
        <v>6720.8</v>
      </c>
      <c r="P13" s="21">
        <v>6903.1</v>
      </c>
      <c r="Q13" s="21">
        <v>7046.3</v>
      </c>
      <c r="R13" s="21">
        <v>7208.1</v>
      </c>
      <c r="S13" s="21">
        <v>7456.4</v>
      </c>
      <c r="T13" s="21">
        <v>7666.1</v>
      </c>
      <c r="U13" s="21">
        <v>7846.1</v>
      </c>
      <c r="V13" s="21">
        <v>8003.6</v>
      </c>
      <c r="W13" s="21">
        <v>8150.1</v>
      </c>
      <c r="X13" s="21">
        <v>8250.4</v>
      </c>
      <c r="Y13" s="21"/>
    </row>
    <row r="14" spans="1:25" x14ac:dyDescent="0.2">
      <c r="A14" s="17" t="s">
        <v>86</v>
      </c>
      <c r="B14" s="22"/>
      <c r="C14" s="22">
        <v>1.6981048357379611E-2</v>
      </c>
      <c r="D14" s="22">
        <v>2.3055559519266772E-2</v>
      </c>
      <c r="E14" s="22">
        <v>2.1254297247830883E-2</v>
      </c>
      <c r="F14" s="22">
        <v>1.1227372752285395E-2</v>
      </c>
      <c r="G14" s="22">
        <v>1.4358232884650598E-2</v>
      </c>
      <c r="H14" s="22">
        <v>1.8433211809107296E-2</v>
      </c>
      <c r="I14" s="22">
        <v>2.0142546533209026E-2</v>
      </c>
      <c r="J14" s="22">
        <v>1.622927315489453E-2</v>
      </c>
      <c r="K14" s="22">
        <v>2.0694860757617749E-2</v>
      </c>
      <c r="L14" s="22">
        <v>1.8041822557360209E-2</v>
      </c>
      <c r="N14" s="17" t="s">
        <v>86</v>
      </c>
      <c r="O14" s="22"/>
      <c r="P14" s="22">
        <v>2.7124747053922177E-2</v>
      </c>
      <c r="Q14" s="22">
        <v>2.0744303284031783E-2</v>
      </c>
      <c r="R14" s="22">
        <v>2.2962405801626409E-2</v>
      </c>
      <c r="S14" s="22">
        <v>3.444735783354827E-2</v>
      </c>
      <c r="T14" s="22">
        <v>2.8123491229011418E-2</v>
      </c>
      <c r="U14" s="22">
        <v>2.3479996347556122E-2</v>
      </c>
      <c r="V14" s="22">
        <v>2.0073667172225692E-2</v>
      </c>
      <c r="W14" s="22">
        <v>1.8304263081613273E-2</v>
      </c>
      <c r="X14" s="22">
        <v>1.2306597465061688E-2</v>
      </c>
      <c r="Y14" s="22">
        <v>2.3062981029844092E-2</v>
      </c>
    </row>
    <row r="15" spans="1:25" ht="15" x14ac:dyDescent="0.25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N15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x14ac:dyDescent="0.2">
      <c r="A16" s="17" t="s">
        <v>90</v>
      </c>
      <c r="B16" s="21">
        <v>4610</v>
      </c>
      <c r="C16" s="21">
        <v>4796</v>
      </c>
      <c r="D16" s="21">
        <v>5008</v>
      </c>
      <c r="E16" s="21">
        <v>5249</v>
      </c>
      <c r="F16" s="21">
        <v>5523</v>
      </c>
      <c r="G16" s="21">
        <v>5834</v>
      </c>
      <c r="H16" s="21">
        <v>6186</v>
      </c>
      <c r="I16" s="21">
        <v>6584</v>
      </c>
      <c r="J16" s="21">
        <v>7033</v>
      </c>
      <c r="K16" s="21">
        <v>7539</v>
      </c>
      <c r="L16" s="21"/>
      <c r="N16" s="17" t="s">
        <v>90</v>
      </c>
      <c r="O16" s="21">
        <v>3641.9</v>
      </c>
      <c r="P16" s="21">
        <v>3823.7</v>
      </c>
      <c r="Q16" s="21">
        <v>4032</v>
      </c>
      <c r="R16" s="21">
        <v>4269.7</v>
      </c>
      <c r="S16" s="21">
        <v>4540.5</v>
      </c>
      <c r="T16" s="21">
        <v>4848.3999999999996</v>
      </c>
      <c r="U16" s="21">
        <v>5198.1000000000004</v>
      </c>
      <c r="V16" s="21">
        <v>5594.6</v>
      </c>
      <c r="W16" s="21">
        <v>6043.7</v>
      </c>
      <c r="X16" s="21">
        <v>6552.1</v>
      </c>
      <c r="Y16" s="21"/>
    </row>
    <row r="17" spans="1:25" x14ac:dyDescent="0.2">
      <c r="A17" s="17" t="s">
        <v>86</v>
      </c>
      <c r="B17" s="23"/>
      <c r="C17" s="22">
        <v>4.0347071583514096E-2</v>
      </c>
      <c r="D17" s="22">
        <v>4.4203502919099247E-2</v>
      </c>
      <c r="E17" s="22">
        <v>4.812300319488818E-2</v>
      </c>
      <c r="F17" s="22">
        <v>5.2200419127452845E-2</v>
      </c>
      <c r="G17" s="22">
        <v>5.6309976462067715E-2</v>
      </c>
      <c r="H17" s="22">
        <v>6.0335961604388068E-2</v>
      </c>
      <c r="I17" s="22">
        <v>6.433882961526026E-2</v>
      </c>
      <c r="J17" s="22">
        <v>6.8195625759416761E-2</v>
      </c>
      <c r="K17" s="22">
        <v>7.1946537750604292E-2</v>
      </c>
      <c r="L17" s="22">
        <v>5.6222325335187943E-2</v>
      </c>
      <c r="N17" s="17" t="s">
        <v>86</v>
      </c>
      <c r="O17" s="22"/>
      <c r="P17" s="22">
        <v>4.9918998325050035E-2</v>
      </c>
      <c r="Q17" s="22">
        <v>5.4476031069383112E-2</v>
      </c>
      <c r="R17" s="22">
        <v>5.8953373015872973E-2</v>
      </c>
      <c r="S17" s="22">
        <v>6.3423659741902283E-2</v>
      </c>
      <c r="T17" s="22">
        <v>6.7811914987336117E-2</v>
      </c>
      <c r="U17" s="22">
        <v>7.2126887220526514E-2</v>
      </c>
      <c r="V17" s="22">
        <v>7.6277870760470171E-2</v>
      </c>
      <c r="W17" s="22">
        <v>8.0273835484216821E-2</v>
      </c>
      <c r="X17" s="22">
        <v>8.4120654565911709E-2</v>
      </c>
      <c r="Y17" s="22">
        <v>6.7487025018963295E-2</v>
      </c>
    </row>
    <row r="18" spans="1:25" ht="15" x14ac:dyDescent="0.25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N18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x14ac:dyDescent="0.2">
      <c r="A19" s="17" t="s">
        <v>91</v>
      </c>
      <c r="B19" s="21">
        <v>9211.2800000000007</v>
      </c>
      <c r="C19" s="21">
        <v>9598.1537600000011</v>
      </c>
      <c r="D19" s="21">
        <v>10001.276217920002</v>
      </c>
      <c r="E19" s="21">
        <v>10421.329819072642</v>
      </c>
      <c r="F19" s="21">
        <v>10859.025671473693</v>
      </c>
      <c r="G19" s="21">
        <v>11315.104749675589</v>
      </c>
      <c r="H19" s="21">
        <v>11790.339149161964</v>
      </c>
      <c r="I19" s="21">
        <v>12285.533393426767</v>
      </c>
      <c r="J19" s="21">
        <v>12801.525795950693</v>
      </c>
      <c r="K19" s="21">
        <v>13339.189879380621</v>
      </c>
      <c r="L19" s="21"/>
      <c r="N19" s="17" t="s">
        <v>91</v>
      </c>
      <c r="O19" s="21">
        <v>6798.9789999999994</v>
      </c>
      <c r="P19" s="21">
        <v>7104.9330549999995</v>
      </c>
      <c r="Q19" s="21">
        <v>7424.6550424749994</v>
      </c>
      <c r="R19" s="21">
        <v>7758.7645193863746</v>
      </c>
      <c r="S19" s="21">
        <v>8107.908922758761</v>
      </c>
      <c r="T19" s="21">
        <v>8472.7648242829055</v>
      </c>
      <c r="U19" s="21">
        <v>8854.0392413756363</v>
      </c>
      <c r="V19" s="21">
        <v>9252.4710072375401</v>
      </c>
      <c r="W19" s="21">
        <v>9668.8322025632297</v>
      </c>
      <c r="X19" s="21">
        <v>10103.929651678574</v>
      </c>
      <c r="Y19" s="21"/>
    </row>
    <row r="20" spans="1:25" x14ac:dyDescent="0.2">
      <c r="A20" s="17" t="s">
        <v>86</v>
      </c>
      <c r="B20" s="22"/>
      <c r="C20" s="22">
        <v>4.2000000000000037E-2</v>
      </c>
      <c r="D20" s="22">
        <v>4.2000000000000065E-2</v>
      </c>
      <c r="E20" s="22">
        <v>4.2000000000000003E-2</v>
      </c>
      <c r="F20" s="22">
        <v>4.2000000000000051E-2</v>
      </c>
      <c r="G20" s="22">
        <v>4.2000000000000058E-2</v>
      </c>
      <c r="H20" s="22">
        <v>4.2000000000000016E-2</v>
      </c>
      <c r="I20" s="22">
        <v>4.2000000000000065E-2</v>
      </c>
      <c r="J20" s="22">
        <v>4.2000000000000079E-2</v>
      </c>
      <c r="K20" s="22">
        <v>4.1999999999999975E-2</v>
      </c>
      <c r="L20" s="22">
        <v>4.2000000000000037E-2</v>
      </c>
      <c r="N20" s="17" t="s">
        <v>86</v>
      </c>
      <c r="O20" s="22"/>
      <c r="P20" s="22">
        <v>4.5000000000000026E-2</v>
      </c>
      <c r="Q20" s="22">
        <v>4.4999999999999984E-2</v>
      </c>
      <c r="R20" s="22">
        <v>4.5000000000000026E-2</v>
      </c>
      <c r="S20" s="22">
        <v>4.499999999999995E-2</v>
      </c>
      <c r="T20" s="22">
        <v>4.5000000000000019E-2</v>
      </c>
      <c r="U20" s="22">
        <v>4.5000000000000005E-2</v>
      </c>
      <c r="V20" s="22">
        <v>4.5000000000000026E-2</v>
      </c>
      <c r="W20" s="22">
        <v>4.5000000000000026E-2</v>
      </c>
      <c r="X20" s="22">
        <v>4.4999999999999936E-2</v>
      </c>
      <c r="Y20" s="22">
        <v>4.5000000000000005E-2</v>
      </c>
    </row>
    <row r="21" spans="1:25" ht="15" x14ac:dyDescent="0.25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N21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x14ac:dyDescent="0.2">
      <c r="A22" s="17" t="s">
        <v>92</v>
      </c>
      <c r="B22" s="21">
        <v>34085.134773359998</v>
      </c>
      <c r="C22" s="21">
        <v>35442.530271152515</v>
      </c>
      <c r="D22" s="21">
        <v>36853.424649062406</v>
      </c>
      <c r="E22" s="21">
        <v>38280.150649214425</v>
      </c>
      <c r="F22" s="21">
        <v>39765.144414512841</v>
      </c>
      <c r="G22" s="21">
        <v>41310.950131053367</v>
      </c>
      <c r="H22" s="21">
        <v>42920.224881143164</v>
      </c>
      <c r="I22" s="21">
        <v>44595.743716568337</v>
      </c>
      <c r="J22" s="21">
        <v>46340.404962193403</v>
      </c>
      <c r="K22" s="21">
        <v>47870.5</v>
      </c>
      <c r="L22" s="21"/>
      <c r="N22" s="17" t="s">
        <v>92</v>
      </c>
      <c r="O22" s="21">
        <v>23636.264665669329</v>
      </c>
      <c r="P22" s="21">
        <v>24924.223425478613</v>
      </c>
      <c r="Q22" s="21">
        <v>26084.630269987512</v>
      </c>
      <c r="R22" s="21">
        <v>27351.335180045902</v>
      </c>
      <c r="S22" s="21">
        <v>28691.844365094461</v>
      </c>
      <c r="T22" s="21">
        <v>30110.742423749969</v>
      </c>
      <c r="U22" s="21">
        <v>31612.901392964901</v>
      </c>
      <c r="V22" s="21">
        <v>33203.498851707998</v>
      </c>
      <c r="W22" s="21">
        <v>34888.037168002062</v>
      </c>
      <c r="X22" s="21">
        <v>36257.167329999997</v>
      </c>
      <c r="Y22" s="21"/>
    </row>
    <row r="23" spans="1:25" x14ac:dyDescent="0.2">
      <c r="A23" s="17" t="s">
        <v>86</v>
      </c>
      <c r="B23" s="22"/>
      <c r="C23" s="22">
        <v>3.9823679936082275E-2</v>
      </c>
      <c r="D23" s="22">
        <v>3.9807947319671216E-2</v>
      </c>
      <c r="E23" s="22">
        <v>3.8713525642136398E-2</v>
      </c>
      <c r="F23" s="22">
        <v>3.8792787910015447E-2</v>
      </c>
      <c r="G23" s="22">
        <v>3.8873383695706205E-2</v>
      </c>
      <c r="H23" s="22">
        <v>3.8955161887697855E-2</v>
      </c>
      <c r="I23" s="22">
        <v>3.9037978949670087E-2</v>
      </c>
      <c r="J23" s="22">
        <v>3.9121698624725129E-2</v>
      </c>
      <c r="K23" s="22">
        <v>3.3018594443767119E-2</v>
      </c>
      <c r="L23" s="22">
        <v>3.8460528712163516E-2</v>
      </c>
      <c r="N23" s="17" t="s">
        <v>86</v>
      </c>
      <c r="O23" s="22"/>
      <c r="P23" s="22">
        <v>5.4490791080030063E-2</v>
      </c>
      <c r="Q23" s="22">
        <v>4.6557392168242319E-2</v>
      </c>
      <c r="R23" s="22">
        <v>4.8561351912886297E-2</v>
      </c>
      <c r="S23" s="22">
        <v>4.9010740288339703E-2</v>
      </c>
      <c r="T23" s="22">
        <v>4.9453009733375387E-2</v>
      </c>
      <c r="U23" s="22">
        <v>4.9887809077404144E-2</v>
      </c>
      <c r="V23" s="22">
        <v>5.0314820489620327E-2</v>
      </c>
      <c r="W23" s="22">
        <v>5.0733759228732918E-2</v>
      </c>
      <c r="X23" s="22">
        <v>3.924354228943689E-2</v>
      </c>
      <c r="Y23" s="22">
        <v>4.8694801807563116E-2</v>
      </c>
    </row>
    <row r="24" spans="1:25" ht="15" x14ac:dyDescent="0.25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N2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x14ac:dyDescent="0.2">
      <c r="A25" s="17" t="s">
        <v>93</v>
      </c>
      <c r="B25" s="21">
        <v>36871</v>
      </c>
      <c r="C25" s="21">
        <v>37679</v>
      </c>
      <c r="D25" s="21">
        <v>38375</v>
      </c>
      <c r="E25" s="21">
        <v>39018</v>
      </c>
      <c r="F25" s="21">
        <v>39641</v>
      </c>
      <c r="G25" s="21">
        <v>39973</v>
      </c>
      <c r="H25" s="21">
        <v>40179</v>
      </c>
      <c r="I25" s="21">
        <v>40339</v>
      </c>
      <c r="J25" s="21">
        <v>40452</v>
      </c>
      <c r="K25" s="21">
        <v>40541</v>
      </c>
      <c r="L25" s="21"/>
      <c r="N25" s="17" t="s">
        <v>93</v>
      </c>
      <c r="O25" s="21">
        <v>18505</v>
      </c>
      <c r="P25" s="21">
        <v>18863</v>
      </c>
      <c r="Q25" s="21">
        <v>19173</v>
      </c>
      <c r="R25" s="21">
        <v>19459</v>
      </c>
      <c r="S25" s="21">
        <v>19734</v>
      </c>
      <c r="T25" s="21">
        <v>19883</v>
      </c>
      <c r="U25" s="21">
        <v>19974</v>
      </c>
      <c r="V25" s="21">
        <v>20045</v>
      </c>
      <c r="W25" s="21">
        <v>20095</v>
      </c>
      <c r="X25" s="21">
        <v>20134</v>
      </c>
      <c r="Y25" s="21"/>
    </row>
    <row r="26" spans="1:25" ht="13.5" thickBot="1" x14ac:dyDescent="0.25">
      <c r="A26" s="24" t="s">
        <v>86</v>
      </c>
      <c r="B26" s="25"/>
      <c r="C26" s="25">
        <v>2.1914241544845541E-2</v>
      </c>
      <c r="D26" s="25">
        <v>1.8471827808593647E-2</v>
      </c>
      <c r="E26" s="25">
        <v>1.6755700325732897E-2</v>
      </c>
      <c r="F26" s="25">
        <v>1.5966989594546108E-2</v>
      </c>
      <c r="G26" s="25">
        <v>8.3751671249463946E-3</v>
      </c>
      <c r="H26" s="25">
        <v>5.153478598053686E-3</v>
      </c>
      <c r="I26" s="25">
        <v>3.9821797456382688E-3</v>
      </c>
      <c r="J26" s="25">
        <v>2.8012593272019634E-3</v>
      </c>
      <c r="K26" s="25">
        <v>2.2001384356768517E-3</v>
      </c>
      <c r="L26" s="25">
        <v>1.0624553611692816E-2</v>
      </c>
      <c r="N26" s="24" t="s">
        <v>86</v>
      </c>
      <c r="O26" s="25"/>
      <c r="P26" s="25">
        <v>1.9346122669548771E-2</v>
      </c>
      <c r="Q26" s="25">
        <v>1.6434289349520226E-2</v>
      </c>
      <c r="R26" s="25">
        <v>1.4916810097532989E-2</v>
      </c>
      <c r="S26" s="25">
        <v>1.4132278123233465E-2</v>
      </c>
      <c r="T26" s="25">
        <v>7.550420593898855E-3</v>
      </c>
      <c r="U26" s="25">
        <v>4.5767741286526177E-3</v>
      </c>
      <c r="V26" s="25">
        <v>3.5546210073095024E-3</v>
      </c>
      <c r="W26" s="25">
        <v>2.4943876278373661E-3</v>
      </c>
      <c r="X26" s="25">
        <v>1.9407812888778302E-3</v>
      </c>
      <c r="Y26" s="25">
        <v>9.4384983207124028E-3</v>
      </c>
    </row>
    <row r="27" spans="1:25" ht="4.5" customHeight="1" thickTop="1" x14ac:dyDescent="0.25">
      <c r="N27"/>
      <c r="O27"/>
      <c r="P27"/>
      <c r="Q27"/>
      <c r="R27"/>
      <c r="S27"/>
      <c r="T27"/>
      <c r="U27"/>
      <c r="V27"/>
      <c r="W27"/>
      <c r="X27"/>
      <c r="Y27"/>
    </row>
    <row r="28" spans="1:25" x14ac:dyDescent="0.2">
      <c r="A28" s="26" t="s">
        <v>94</v>
      </c>
      <c r="B28" s="27">
        <v>184472.54402269749</v>
      </c>
      <c r="C28" s="27">
        <v>190187.45176448562</v>
      </c>
      <c r="D28" s="27">
        <v>195789.91496166302</v>
      </c>
      <c r="E28" s="27">
        <v>201366.13906395022</v>
      </c>
      <c r="F28" s="27">
        <v>206952.21312215258</v>
      </c>
      <c r="G28" s="27">
        <v>212404.58020651105</v>
      </c>
      <c r="H28" s="27">
        <v>217906.74656995523</v>
      </c>
      <c r="I28" s="27">
        <v>223526.84538264482</v>
      </c>
      <c r="J28" s="27">
        <v>229294.04146026689</v>
      </c>
      <c r="K28" s="27">
        <v>235002.93392083212</v>
      </c>
      <c r="L28" s="27"/>
      <c r="N28" s="26" t="s">
        <v>94</v>
      </c>
      <c r="O28" s="27">
        <v>126101.58346566933</v>
      </c>
      <c r="P28" s="27">
        <v>130557.72528847861</v>
      </c>
      <c r="Q28" s="27">
        <v>134680.30264374253</v>
      </c>
      <c r="R28" s="27">
        <v>138892.25375230706</v>
      </c>
      <c r="S28" s="27">
        <v>143276.23134757864</v>
      </c>
      <c r="T28" s="27">
        <v>147597.32715484867</v>
      </c>
      <c r="U28" s="27">
        <v>151943.68335289488</v>
      </c>
      <c r="V28" s="27">
        <v>156370.4131876493</v>
      </c>
      <c r="W28" s="27">
        <v>160961.12283077365</v>
      </c>
      <c r="X28" s="27">
        <v>165258.67998167855</v>
      </c>
      <c r="Y28" s="27"/>
    </row>
    <row r="29" spans="1:25" ht="13.5" thickBot="1" x14ac:dyDescent="0.25">
      <c r="A29" s="28" t="s">
        <v>86</v>
      </c>
      <c r="B29" s="29"/>
      <c r="C29" s="29">
        <v>3.0979719893085948E-2</v>
      </c>
      <c r="D29" s="29">
        <v>2.9457585898543283E-2</v>
      </c>
      <c r="E29" s="29">
        <v>2.8480650310201455E-2</v>
      </c>
      <c r="F29" s="29">
        <v>2.7740880786457953E-2</v>
      </c>
      <c r="G29" s="29">
        <v>2.6346019702336961E-2</v>
      </c>
      <c r="H29" s="29">
        <v>2.5904179458346333E-2</v>
      </c>
      <c r="I29" s="29">
        <v>2.5791302477573181E-2</v>
      </c>
      <c r="J29" s="29">
        <v>2.5800910256436899E-2</v>
      </c>
      <c r="K29" s="29">
        <v>2.4897692169443011E-2</v>
      </c>
      <c r="L29" s="29">
        <v>2.7266548994713893E-2</v>
      </c>
      <c r="N29" s="28" t="s">
        <v>86</v>
      </c>
      <c r="O29" s="29"/>
      <c r="P29" s="29">
        <v>3.533771504163901E-2</v>
      </c>
      <c r="Q29" s="29">
        <v>3.1576663473223993E-2</v>
      </c>
      <c r="R29" s="29">
        <v>3.1273697978731335E-2</v>
      </c>
      <c r="S29" s="29">
        <v>3.1563873987455922E-2</v>
      </c>
      <c r="T29" s="29">
        <v>3.015919505020577E-2</v>
      </c>
      <c r="U29" s="29">
        <v>2.9447390964514701E-2</v>
      </c>
      <c r="V29" s="29">
        <v>2.913401687435194E-2</v>
      </c>
      <c r="W29" s="29">
        <v>2.9357917201480743E-2</v>
      </c>
      <c r="X29" s="29">
        <v>2.6699348732943034E-2</v>
      </c>
      <c r="Y29" s="29">
        <v>3.0505535478282934E-2</v>
      </c>
    </row>
    <row r="30" spans="1:25" ht="15.75" thickTop="1" x14ac:dyDescent="0.2">
      <c r="N30" s="30"/>
    </row>
    <row r="31" spans="1:25" ht="15" x14ac:dyDescent="0.2">
      <c r="A31" s="17" t="str">
        <f>A4</f>
        <v>University of Utah</v>
      </c>
      <c r="B31" s="51">
        <f>B4/O4</f>
        <v>1.209783731784658</v>
      </c>
      <c r="C31" s="51">
        <f t="shared" ref="C31:K31" si="0">C4/P4</f>
        <v>1.2097700149612052</v>
      </c>
      <c r="D31" s="51">
        <f t="shared" si="0"/>
        <v>1.2097502565856997</v>
      </c>
      <c r="E31" s="223">
        <f t="shared" si="0"/>
        <v>1.2097574142177536</v>
      </c>
      <c r="F31" s="51">
        <f t="shared" si="0"/>
        <v>1.209768294715786</v>
      </c>
      <c r="G31" s="51">
        <f t="shared" si="0"/>
        <v>1.2098105235360137</v>
      </c>
      <c r="H31" s="51">
        <f t="shared" si="0"/>
        <v>1.2097783017323247</v>
      </c>
      <c r="I31" s="51">
        <f t="shared" si="0"/>
        <v>1.209765625</v>
      </c>
      <c r="J31" s="51">
        <f t="shared" si="0"/>
        <v>1.2097786694279058</v>
      </c>
      <c r="K31" s="51">
        <f t="shared" si="0"/>
        <v>1.2097620657458386</v>
      </c>
      <c r="N31" s="30"/>
    </row>
    <row r="32" spans="1:25" ht="15" x14ac:dyDescent="0.2">
      <c r="A32" s="17" t="str">
        <f>A7</f>
        <v>Utah State University</v>
      </c>
      <c r="B32" s="51">
        <f t="shared" ref="B32:K32" si="1">B7/O7</f>
        <v>1.3707110519427772</v>
      </c>
      <c r="C32" s="51">
        <f t="shared" si="1"/>
        <v>1.3662847880083782</v>
      </c>
      <c r="D32" s="51">
        <f t="shared" si="1"/>
        <v>1.3634681534202076</v>
      </c>
      <c r="E32" s="51">
        <f t="shared" si="1"/>
        <v>1.3622701332860889</v>
      </c>
      <c r="F32" s="51">
        <f t="shared" si="1"/>
        <v>1.3624835788730545</v>
      </c>
      <c r="G32" s="51">
        <f t="shared" si="1"/>
        <v>1.3640846846888479</v>
      </c>
      <c r="H32" s="51">
        <f t="shared" si="1"/>
        <v>1.3670540924430157</v>
      </c>
      <c r="I32" s="51">
        <f t="shared" si="1"/>
        <v>1.3712270193925868</v>
      </c>
      <c r="J32" s="51">
        <f t="shared" si="1"/>
        <v>1.3766030887947835</v>
      </c>
      <c r="K32" s="51">
        <f t="shared" si="1"/>
        <v>1.3831842675774368</v>
      </c>
      <c r="N32" s="30"/>
    </row>
    <row r="33" spans="1:14" ht="15" x14ac:dyDescent="0.2">
      <c r="A33" s="17" t="str">
        <f>A10</f>
        <v>Weber State University</v>
      </c>
      <c r="B33" s="51">
        <f t="shared" ref="B33:K33" si="2">B10/O10</f>
        <v>1.5981063559952593</v>
      </c>
      <c r="C33" s="51">
        <f t="shared" si="2"/>
        <v>1.5947130861536749</v>
      </c>
      <c r="D33" s="51">
        <f t="shared" si="2"/>
        <v>1.591482369434629</v>
      </c>
      <c r="E33" s="223">
        <f t="shared" si="2"/>
        <v>1.5884045773067275</v>
      </c>
      <c r="F33" s="51">
        <f t="shared" si="2"/>
        <v>1.585470798909105</v>
      </c>
      <c r="G33" s="51">
        <f t="shared" si="2"/>
        <v>1.5826727754241607</v>
      </c>
      <c r="H33" s="51">
        <f t="shared" si="2"/>
        <v>1.5800028415405063</v>
      </c>
      <c r="I33" s="51">
        <f t="shared" si="2"/>
        <v>1.5774538731278271</v>
      </c>
      <c r="J33" s="51">
        <f t="shared" si="2"/>
        <v>1.5750192403675454</v>
      </c>
      <c r="K33" s="51">
        <f t="shared" si="2"/>
        <v>1.572693143844057</v>
      </c>
      <c r="N33" s="30"/>
    </row>
    <row r="34" spans="1:14" ht="15" x14ac:dyDescent="0.2">
      <c r="A34" s="17" t="str">
        <f>A13</f>
        <v>Southern Utah University</v>
      </c>
      <c r="B34" s="51">
        <f t="shared" ref="B34:K34" si="3">B13/O13</f>
        <v>1.3215245282313854</v>
      </c>
      <c r="C34" s="51">
        <f t="shared" si="3"/>
        <v>1.3084733904091106</v>
      </c>
      <c r="D34" s="51">
        <f t="shared" si="3"/>
        <v>1.3114361473625342</v>
      </c>
      <c r="E34" s="51">
        <f t="shared" si="3"/>
        <v>1.3092463549631632</v>
      </c>
      <c r="F34" s="51">
        <f t="shared" si="3"/>
        <v>1.2798580244698543</v>
      </c>
      <c r="G34" s="51">
        <f t="shared" si="3"/>
        <v>1.2627223627509776</v>
      </c>
      <c r="H34" s="51">
        <f t="shared" si="3"/>
        <v>1.2564958730106535</v>
      </c>
      <c r="I34" s="51">
        <f t="shared" si="3"/>
        <v>1.2565807165230352</v>
      </c>
      <c r="J34" s="51">
        <f t="shared" si="3"/>
        <v>1.2540201926958996</v>
      </c>
      <c r="K34" s="51">
        <f t="shared" si="3"/>
        <v>1.2644113642805321</v>
      </c>
      <c r="N34" s="30"/>
    </row>
    <row r="35" spans="1:14" x14ac:dyDescent="0.2">
      <c r="A35" s="17" t="str">
        <f>A16</f>
        <v>Snow College</v>
      </c>
      <c r="B35" s="51">
        <f t="shared" ref="B35:K35" si="4">B16/O16</f>
        <v>1.2658227848101264</v>
      </c>
      <c r="C35" s="51">
        <f t="shared" si="4"/>
        <v>1.2542825012422523</v>
      </c>
      <c r="D35" s="51">
        <f t="shared" si="4"/>
        <v>1.2420634920634921</v>
      </c>
      <c r="E35" s="51">
        <f t="shared" si="4"/>
        <v>1.2293603766072558</v>
      </c>
      <c r="F35" s="51">
        <f t="shared" si="4"/>
        <v>1.2163858605880409</v>
      </c>
      <c r="G35" s="51">
        <f t="shared" si="4"/>
        <v>1.2032835574622556</v>
      </c>
      <c r="H35" s="51">
        <f t="shared" si="4"/>
        <v>1.1900502106538926</v>
      </c>
      <c r="I35" s="51">
        <f t="shared" si="4"/>
        <v>1.1768491044936187</v>
      </c>
      <c r="J35" s="51">
        <f t="shared" si="4"/>
        <v>1.1636911163691117</v>
      </c>
      <c r="K35" s="51">
        <f t="shared" si="4"/>
        <v>1.1506234642328412</v>
      </c>
    </row>
    <row r="36" spans="1:14" x14ac:dyDescent="0.2">
      <c r="A36" s="17" t="str">
        <f>A19</f>
        <v>Dixie State College</v>
      </c>
      <c r="B36" s="51">
        <f t="shared" ref="B36:K36" si="5">B19/O19</f>
        <v>1.3548034197487595</v>
      </c>
      <c r="C36" s="51">
        <f t="shared" si="5"/>
        <v>1.3509140319408683</v>
      </c>
      <c r="D36" s="51">
        <f t="shared" si="5"/>
        <v>1.3470358098396029</v>
      </c>
      <c r="E36" s="51">
        <f t="shared" si="5"/>
        <v>1.3431687213903025</v>
      </c>
      <c r="F36" s="51">
        <f t="shared" si="5"/>
        <v>1.3393127346303304</v>
      </c>
      <c r="G36" s="51">
        <f t="shared" si="5"/>
        <v>1.3354678176888082</v>
      </c>
      <c r="H36" s="51">
        <f t="shared" si="5"/>
        <v>1.3316339387863523</v>
      </c>
      <c r="I36" s="51">
        <f t="shared" si="5"/>
        <v>1.3278110662348124</v>
      </c>
      <c r="J36" s="51">
        <f t="shared" si="5"/>
        <v>1.3239991684370092</v>
      </c>
      <c r="K36" s="51">
        <f t="shared" si="5"/>
        <v>1.3201982138864725</v>
      </c>
    </row>
    <row r="37" spans="1:14" x14ac:dyDescent="0.2">
      <c r="A37" s="17" t="str">
        <f>A22</f>
        <v>Utah Valley University</v>
      </c>
      <c r="B37" s="51">
        <f t="shared" ref="B37" si="6">B22/O22</f>
        <v>1.4420694325219334</v>
      </c>
      <c r="C37" s="51">
        <f t="shared" ref="C37" si="7">C22/P22</f>
        <v>1.4220114170105551</v>
      </c>
      <c r="D37" s="51">
        <f t="shared" ref="D37" si="8">D22/Q22</f>
        <v>1.4128405987592343</v>
      </c>
      <c r="E37" s="223">
        <f t="shared" ref="E37" si="9">E22/R22</f>
        <v>1.3995715528045451</v>
      </c>
      <c r="F37" s="51">
        <f t="shared" ref="F37" si="10">F22/S22</f>
        <v>1.3859389416906842</v>
      </c>
      <c r="G37" s="51">
        <f t="shared" ref="G37" si="11">G22/T22</f>
        <v>1.3719671720372191</v>
      </c>
      <c r="H37" s="51">
        <f t="shared" ref="H37" si="12">H22/U22</f>
        <v>1.3576806616900587</v>
      </c>
      <c r="I37" s="51">
        <f t="shared" ref="I37" si="13">I22/V22</f>
        <v>1.3431037468593259</v>
      </c>
      <c r="J37" s="51">
        <f t="shared" ref="J37" si="14">J22/W22</f>
        <v>1.328260593711331</v>
      </c>
      <c r="K37" s="51">
        <f t="shared" ref="K37" si="15">K22/X22</f>
        <v>1.3203044673705349</v>
      </c>
    </row>
    <row r="38" spans="1:14" x14ac:dyDescent="0.2">
      <c r="A38" s="17" t="str">
        <f>A25</f>
        <v>Salt Lake Community College</v>
      </c>
      <c r="B38" s="51">
        <f t="shared" ref="B38:K38" si="16">B25/O25</f>
        <v>1.9924885166171304</v>
      </c>
      <c r="C38" s="51">
        <f t="shared" si="16"/>
        <v>1.9975083496792663</v>
      </c>
      <c r="D38" s="51">
        <f t="shared" si="16"/>
        <v>2.0015125436812182</v>
      </c>
      <c r="E38" s="223">
        <f t="shared" si="16"/>
        <v>2.0051390102266304</v>
      </c>
      <c r="F38" s="51">
        <f t="shared" si="16"/>
        <v>2.0087665957231176</v>
      </c>
      <c r="G38" s="51">
        <f t="shared" si="16"/>
        <v>2.0104109037871547</v>
      </c>
      <c r="H38" s="51">
        <f t="shared" si="16"/>
        <v>2.0115650345449083</v>
      </c>
      <c r="I38" s="51">
        <f t="shared" si="16"/>
        <v>2.0124220503866299</v>
      </c>
      <c r="J38" s="51">
        <f t="shared" si="16"/>
        <v>2.0130380691714356</v>
      </c>
      <c r="K38" s="51">
        <f t="shared" si="16"/>
        <v>2.0135591536704083</v>
      </c>
    </row>
    <row r="41" spans="1:14" x14ac:dyDescent="0.2">
      <c r="A41" s="17" t="s">
        <v>6</v>
      </c>
    </row>
    <row r="42" spans="1:14" ht="25.5" x14ac:dyDescent="0.2">
      <c r="A42" s="3" t="s">
        <v>13</v>
      </c>
      <c r="B42" s="4" t="s">
        <v>14</v>
      </c>
      <c r="C42" s="4" t="s">
        <v>243</v>
      </c>
      <c r="D42" s="52" t="s">
        <v>244</v>
      </c>
      <c r="E42" s="52" t="s">
        <v>245</v>
      </c>
    </row>
    <row r="43" spans="1:14" ht="13.5" thickBot="1" x14ac:dyDescent="0.25">
      <c r="A43" s="53">
        <v>2008</v>
      </c>
      <c r="B43" s="54">
        <v>1383</v>
      </c>
      <c r="C43" s="54">
        <v>1173</v>
      </c>
      <c r="D43" s="55">
        <v>3895.7674418325337</v>
      </c>
      <c r="E43" s="56">
        <v>1173</v>
      </c>
      <c r="F43" s="222">
        <f>B43/C43</f>
        <v>1.1790281329923273</v>
      </c>
    </row>
    <row r="45" spans="1:14" x14ac:dyDescent="0.2">
      <c r="A45" s="17" t="s">
        <v>246</v>
      </c>
    </row>
    <row r="46" spans="1:14" ht="25.5" x14ac:dyDescent="0.2">
      <c r="A46" s="3" t="s">
        <v>13</v>
      </c>
      <c r="B46" s="4" t="s">
        <v>14</v>
      </c>
      <c r="C46" s="4" t="s">
        <v>243</v>
      </c>
      <c r="D46" s="52" t="s">
        <v>244</v>
      </c>
      <c r="E46" s="52" t="s">
        <v>245</v>
      </c>
    </row>
    <row r="47" spans="1:14" x14ac:dyDescent="0.2">
      <c r="A47" s="16">
        <v>2008</v>
      </c>
      <c r="B47" s="57">
        <v>2857</v>
      </c>
      <c r="C47" s="57">
        <v>2601</v>
      </c>
      <c r="D47" s="56">
        <v>2654.0817854944244</v>
      </c>
      <c r="E47" s="58">
        <v>2601</v>
      </c>
      <c r="F47" s="222">
        <f>B47/C47</f>
        <v>1.0984236831987697</v>
      </c>
    </row>
  </sheetData>
  <mergeCells count="4">
    <mergeCell ref="A1:L1"/>
    <mergeCell ref="B2:K2"/>
    <mergeCell ref="N1:Y1"/>
    <mergeCell ref="O2:X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F13"/>
  <sheetViews>
    <sheetView workbookViewId="0">
      <selection activeCell="A13" sqref="A13:D13"/>
    </sheetView>
  </sheetViews>
  <sheetFormatPr defaultRowHeight="15" x14ac:dyDescent="0.25"/>
  <cols>
    <col min="2" max="2" width="21.85546875" bestFit="1" customWidth="1"/>
    <col min="3" max="3" width="10.140625" bestFit="1" customWidth="1"/>
    <col min="4" max="4" width="12" bestFit="1" customWidth="1"/>
    <col min="5" max="5" width="10.5703125" bestFit="1" customWidth="1"/>
  </cols>
  <sheetData>
    <row r="1" spans="1:6" x14ac:dyDescent="0.25">
      <c r="D1" t="s">
        <v>227</v>
      </c>
    </row>
    <row r="2" spans="1:6" x14ac:dyDescent="0.25">
      <c r="A2" t="s">
        <v>228</v>
      </c>
      <c r="D2" t="s">
        <v>229</v>
      </c>
    </row>
    <row r="3" spans="1:6" x14ac:dyDescent="0.25">
      <c r="A3" t="s">
        <v>230</v>
      </c>
      <c r="B3" t="s">
        <v>231</v>
      </c>
      <c r="C3" t="s">
        <v>178</v>
      </c>
      <c r="D3" t="s">
        <v>232</v>
      </c>
      <c r="E3" t="s">
        <v>240</v>
      </c>
    </row>
    <row r="4" spans="1:6" x14ac:dyDescent="0.25">
      <c r="A4">
        <v>2.0099999999999998</v>
      </c>
      <c r="B4" t="s">
        <v>91</v>
      </c>
      <c r="C4" t="s">
        <v>233</v>
      </c>
      <c r="D4" s="228">
        <v>8082</v>
      </c>
    </row>
    <row r="5" spans="1:6" x14ac:dyDescent="0.25">
      <c r="A5">
        <v>3</v>
      </c>
      <c r="B5" t="s">
        <v>234</v>
      </c>
      <c r="D5" s="228">
        <v>1799</v>
      </c>
      <c r="E5" s="227">
        <f>Result!B5</f>
        <v>2000</v>
      </c>
      <c r="F5" s="226">
        <f>1-D5/E5</f>
        <v>0.10050000000000003</v>
      </c>
    </row>
    <row r="6" spans="1:6" x14ac:dyDescent="0.25">
      <c r="B6" t="s">
        <v>235</v>
      </c>
      <c r="C6" t="s">
        <v>236</v>
      </c>
      <c r="D6" s="228">
        <v>25265</v>
      </c>
      <c r="E6" s="227">
        <f>SUM(Result!I5:Q5)</f>
        <v>38334</v>
      </c>
      <c r="F6" s="226">
        <f>1-D6/E6</f>
        <v>0.34092450566077115</v>
      </c>
    </row>
    <row r="7" spans="1:6" x14ac:dyDescent="0.25">
      <c r="A7">
        <v>6.01</v>
      </c>
      <c r="B7" t="s">
        <v>87</v>
      </c>
      <c r="C7" t="s">
        <v>237</v>
      </c>
      <c r="D7" s="228">
        <v>16472</v>
      </c>
      <c r="E7" s="227"/>
    </row>
    <row r="8" spans="1:6" x14ac:dyDescent="0.25">
      <c r="A8">
        <v>7.01</v>
      </c>
      <c r="B8" t="s">
        <v>92</v>
      </c>
      <c r="C8" t="s">
        <v>238</v>
      </c>
      <c r="D8" s="228">
        <v>23172</v>
      </c>
      <c r="E8" s="227">
        <f>SUM(Result!T5:V5)</f>
        <v>31739</v>
      </c>
      <c r="F8" s="226">
        <f>1-D8/E8</f>
        <v>0.26992028734364659</v>
      </c>
    </row>
    <row r="9" spans="1:6" x14ac:dyDescent="0.25">
      <c r="A9">
        <v>8</v>
      </c>
      <c r="B9" t="s">
        <v>85</v>
      </c>
      <c r="D9" s="228">
        <v>30819</v>
      </c>
      <c r="E9" s="227">
        <f>(Result!D5 + Result!E5)</f>
        <v>31643</v>
      </c>
      <c r="F9" s="226">
        <f>1-D9/E9</f>
        <v>2.6040514489776623E-2</v>
      </c>
    </row>
    <row r="10" spans="1:6" x14ac:dyDescent="0.25">
      <c r="A10">
        <v>9.01</v>
      </c>
      <c r="B10" t="s">
        <v>88</v>
      </c>
      <c r="C10" t="s">
        <v>168</v>
      </c>
      <c r="D10" s="228">
        <v>15191</v>
      </c>
      <c r="E10" s="227">
        <f>Result!F5</f>
        <v>19352</v>
      </c>
      <c r="F10" s="226">
        <f>1-D10/E10</f>
        <v>0.21501653575857793</v>
      </c>
    </row>
    <row r="11" spans="1:6" x14ac:dyDescent="0.25">
      <c r="A11">
        <v>9.02</v>
      </c>
      <c r="B11" t="s">
        <v>88</v>
      </c>
      <c r="C11" t="s">
        <v>174</v>
      </c>
      <c r="D11" s="228">
        <v>3557</v>
      </c>
      <c r="E11" s="227">
        <f>SUM(Result!G5:H5)</f>
        <v>5144</v>
      </c>
      <c r="F11" s="226">
        <f>1-D11/E11</f>
        <v>0.30851477449455678</v>
      </c>
    </row>
    <row r="12" spans="1:6" x14ac:dyDescent="0.25">
      <c r="A12">
        <v>10</v>
      </c>
      <c r="B12" t="s">
        <v>239</v>
      </c>
      <c r="D12" s="228">
        <v>3163</v>
      </c>
      <c r="E12" s="227">
        <f>Result!C5</f>
        <v>3200</v>
      </c>
      <c r="F12" s="226">
        <f>1-D12/E12</f>
        <v>1.1562500000000031E-2</v>
      </c>
    </row>
    <row r="13" spans="1:6" x14ac:dyDescent="0.25">
      <c r="A13" s="247" t="s">
        <v>241</v>
      </c>
      <c r="B13" s="247"/>
      <c r="C13" s="247"/>
      <c r="D13" s="247"/>
    </row>
  </sheetData>
  <mergeCells count="1">
    <mergeCell ref="A13:D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M31"/>
  <sheetViews>
    <sheetView workbookViewId="0">
      <selection activeCell="F29" sqref="F29"/>
    </sheetView>
  </sheetViews>
  <sheetFormatPr defaultRowHeight="15" x14ac:dyDescent="0.25"/>
  <cols>
    <col min="1" max="4" width="9.7109375" style="1" customWidth="1"/>
    <col min="5" max="6" width="10.7109375" style="1" customWidth="1"/>
    <col min="7" max="13" width="9.710937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2011</v>
      </c>
      <c r="B2" s="2">
        <f>VLOOKUP(A2,WSU!$A:$E,3,FALSE)</f>
        <v>25301</v>
      </c>
      <c r="C2" s="2"/>
      <c r="D2" s="2"/>
      <c r="E2" s="2"/>
      <c r="F2" s="2">
        <f>VLOOKUP(A2,U!A:C,3,FALSE)</f>
        <v>31660</v>
      </c>
      <c r="G2" s="2"/>
      <c r="H2" s="2"/>
      <c r="I2" s="2"/>
      <c r="J2" s="2"/>
      <c r="K2" s="2"/>
      <c r="L2" s="2">
        <f>VLOOKUP(A2,UVU!A:C,2,FALSE)</f>
        <v>33395</v>
      </c>
      <c r="M2" s="2"/>
    </row>
    <row r="3" spans="1:13" x14ac:dyDescent="0.25">
      <c r="A3" s="1">
        <v>2012</v>
      </c>
      <c r="B3" s="2">
        <f>VLOOKUP(A3,WSU!$A:$E,3,FALSE)</f>
        <v>26532</v>
      </c>
      <c r="C3" s="2"/>
      <c r="D3" s="2"/>
      <c r="E3" s="2"/>
      <c r="F3" s="2">
        <f>VLOOKUP(A3,U!A:C,3,FALSE)</f>
        <v>32388</v>
      </c>
      <c r="G3" s="2"/>
      <c r="H3" s="2"/>
      <c r="I3" s="2"/>
      <c r="J3" s="2"/>
      <c r="K3" s="2"/>
      <c r="L3" s="2">
        <f>VLOOKUP(A3,UVU!A:C,2,FALSE)</f>
        <v>34085.134773359998</v>
      </c>
      <c r="M3" s="2"/>
    </row>
    <row r="4" spans="1:13" x14ac:dyDescent="0.25">
      <c r="A4" s="1">
        <v>2013</v>
      </c>
      <c r="B4" s="2">
        <f>VLOOKUP(A4,WSU!$A:$E,3,FALSE)</f>
        <v>27559.462869999992</v>
      </c>
      <c r="C4" s="2"/>
      <c r="D4" s="2"/>
      <c r="E4" s="2"/>
      <c r="F4" s="2">
        <f>VLOOKUP(A4,U!A:C,3,FALSE)</f>
        <v>34770</v>
      </c>
      <c r="G4" s="2"/>
      <c r="H4" s="2"/>
      <c r="I4" s="2"/>
      <c r="J4" s="2"/>
      <c r="K4" s="2"/>
      <c r="L4" s="2">
        <f>VLOOKUP(A4,UVU!A:C,2,FALSE)</f>
        <v>35442.530271152515</v>
      </c>
      <c r="M4" s="2"/>
    </row>
    <row r="5" spans="1:13" x14ac:dyDescent="0.25">
      <c r="A5" s="1">
        <v>2014</v>
      </c>
      <c r="B5" s="2">
        <f>VLOOKUP(A5,WSU!$A:$E,3,FALSE)</f>
        <v>28671.696505449992</v>
      </c>
      <c r="C5" s="2"/>
      <c r="D5" s="2"/>
      <c r="E5" s="2"/>
      <c r="F5" s="2">
        <f>VLOOKUP(A5,U!A:C,3,FALSE)</f>
        <v>35361</v>
      </c>
      <c r="G5" s="2"/>
      <c r="H5" s="2"/>
      <c r="I5" s="2"/>
      <c r="J5" s="2"/>
      <c r="K5" s="2"/>
      <c r="L5" s="2">
        <f>VLOOKUP(A5,UVU!A:C,2,FALSE)</f>
        <v>36853.424649062406</v>
      </c>
      <c r="M5" s="2"/>
    </row>
    <row r="6" spans="1:13" x14ac:dyDescent="0.25">
      <c r="A6" s="1">
        <v>2015</v>
      </c>
      <c r="B6" s="2">
        <f>VLOOKUP(A6,WSU!$A:$E,3,FALSE)</f>
        <v>29822.858318140734</v>
      </c>
      <c r="C6" s="2"/>
      <c r="D6" s="2"/>
      <c r="E6" s="2"/>
      <c r="F6" s="2">
        <f>VLOOKUP(A6,U!A:C,3,FALSE)</f>
        <v>35856</v>
      </c>
      <c r="G6" s="2"/>
      <c r="H6" s="2"/>
      <c r="I6" s="2"/>
      <c r="J6" s="2"/>
      <c r="K6" s="2"/>
      <c r="L6" s="2">
        <f>VLOOKUP(A6,UVU!A:C,2,FALSE)</f>
        <v>38280.150649214425</v>
      </c>
      <c r="M6" s="2"/>
    </row>
    <row r="7" spans="1:13" x14ac:dyDescent="0.25">
      <c r="A7" s="1">
        <v>2016</v>
      </c>
      <c r="B7" s="2">
        <f>VLOOKUP(A7,WSU!$A:$E,3,FALSE)</f>
        <v>31014.310794275658</v>
      </c>
      <c r="C7" s="2"/>
      <c r="D7" s="2"/>
      <c r="E7" s="2"/>
      <c r="F7" s="2">
        <f>VLOOKUP(A7,U!A:C,3,FALSE)</f>
        <v>36287</v>
      </c>
      <c r="G7" s="2"/>
      <c r="H7" s="2"/>
      <c r="I7" s="2"/>
      <c r="J7" s="2"/>
      <c r="K7" s="2"/>
      <c r="L7" s="2">
        <f>VLOOKUP(A7,UVU!A:C,2,FALSE)</f>
        <v>39765.144414512841</v>
      </c>
      <c r="M7" s="2"/>
    </row>
    <row r="8" spans="1:13" x14ac:dyDescent="0.25">
      <c r="A8" s="1">
        <v>2017</v>
      </c>
      <c r="B8" s="2">
        <f>VLOOKUP(A8,WSU!$A:$E,3,FALSE)</f>
        <v>32247.464107075302</v>
      </c>
      <c r="C8" s="2"/>
      <c r="D8" s="2"/>
      <c r="E8" s="2"/>
      <c r="F8" s="2">
        <f>VLOOKUP(A8,U!A:C,3,FALSE)</f>
        <v>36650</v>
      </c>
      <c r="G8" s="2"/>
      <c r="H8" s="2"/>
      <c r="I8" s="2"/>
      <c r="J8" s="2"/>
      <c r="K8" s="2"/>
      <c r="L8" s="2">
        <f>VLOOKUP(A8,UVU!A:C,2,FALSE)</f>
        <v>41310.950131053367</v>
      </c>
      <c r="M8" s="2"/>
    </row>
    <row r="9" spans="1:13" x14ac:dyDescent="0.25">
      <c r="A9" s="1">
        <v>2018</v>
      </c>
      <c r="B9" s="2">
        <f>VLOOKUP(A9,WSU!$A:$E,3,FALSE)</f>
        <v>33523.777785822938</v>
      </c>
      <c r="C9" s="2"/>
      <c r="D9" s="2"/>
      <c r="E9" s="2"/>
      <c r="F9" s="2">
        <f>VLOOKUP(A9,U!A:C,3,FALSE)</f>
        <v>36943</v>
      </c>
      <c r="G9" s="2"/>
      <c r="H9" s="2"/>
      <c r="I9" s="2"/>
      <c r="J9" s="2"/>
      <c r="K9" s="2"/>
      <c r="L9" s="2">
        <f>VLOOKUP(A9,UVU!A:C,2,FALSE)</f>
        <v>42920.224881143164</v>
      </c>
      <c r="M9" s="2"/>
    </row>
    <row r="10" spans="1:13" x14ac:dyDescent="0.25">
      <c r="A10" s="1">
        <v>2019</v>
      </c>
      <c r="B10" s="2">
        <f>VLOOKUP(A10,WSU!$A:$E,3,FALSE)</f>
        <v>34844.762443326734</v>
      </c>
      <c r="C10" s="2"/>
      <c r="D10" s="2"/>
      <c r="E10" s="2"/>
      <c r="F10" s="2">
        <f>VLOOKUP(A10,U!A:C,3,FALSE)</f>
        <v>37164</v>
      </c>
      <c r="G10" s="2"/>
      <c r="H10" s="2"/>
      <c r="I10" s="2"/>
      <c r="J10" s="2"/>
      <c r="K10" s="2"/>
      <c r="L10" s="2">
        <f>VLOOKUP(A10,UVU!A:C,2,FALSE)</f>
        <v>44595.743716568337</v>
      </c>
      <c r="M10" s="2"/>
    </row>
    <row r="11" spans="1:13" x14ac:dyDescent="0.25">
      <c r="A11" s="1">
        <v>2020</v>
      </c>
      <c r="B11" s="2">
        <f>VLOOKUP(A11,WSU!$A:$E,3,FALSE)</f>
        <v>36211.981563843161</v>
      </c>
      <c r="C11" s="2"/>
      <c r="D11" s="2"/>
      <c r="E11" s="2"/>
      <c r="F11" s="2">
        <f>VLOOKUP(A11,U!A:C,3,FALSE)</f>
        <v>37387</v>
      </c>
      <c r="G11" s="2"/>
      <c r="H11" s="2"/>
      <c r="I11" s="2"/>
      <c r="J11" s="2"/>
      <c r="K11" s="2"/>
      <c r="L11" s="2">
        <f>VLOOKUP(A11,UVU!A:C,2,FALSE)</f>
        <v>46340.404962193403</v>
      </c>
      <c r="M11" s="2"/>
    </row>
    <row r="12" spans="1:13" x14ac:dyDescent="0.25">
      <c r="A12" s="1">
        <v>2021</v>
      </c>
      <c r="B12" s="2">
        <f>VLOOKUP(A12,WSU!$A:$E,3,FALSE)</f>
        <v>37626.813999999998</v>
      </c>
      <c r="C12" s="2"/>
      <c r="D12" s="2"/>
      <c r="E12" s="2"/>
      <c r="F12" s="2">
        <f>VLOOKUP(A12,U!A:C,3,FALSE)</f>
        <v>37574</v>
      </c>
      <c r="G12" s="2"/>
      <c r="H12" s="2"/>
      <c r="I12" s="2"/>
      <c r="J12" s="2"/>
      <c r="K12" s="2"/>
      <c r="L12" s="2">
        <f>VLOOKUP(A12,UVU!A:C,2,FALSE)</f>
        <v>47870.5</v>
      </c>
      <c r="M12" s="2"/>
    </row>
    <row r="13" spans="1:13" x14ac:dyDescent="0.25">
      <c r="A13" s="1">
        <v>2022</v>
      </c>
      <c r="B13" s="2">
        <f>VLOOKUP(A13,WSU!$A:$E,4,FALSE)</f>
        <v>38340.427052736537</v>
      </c>
      <c r="C13" s="2"/>
      <c r="D13" s="2"/>
      <c r="E13" s="2"/>
      <c r="F13" s="2">
        <f>VLOOKUP(A13,U!A:E,5,FALSE)</f>
        <v>37862.155382907949</v>
      </c>
      <c r="G13" s="2"/>
      <c r="H13" s="2"/>
      <c r="I13" s="2"/>
      <c r="J13" s="2"/>
      <c r="K13" s="2"/>
      <c r="L13" s="2">
        <f>VLOOKUP(A13,UVU!A:C,2,FALSE)</f>
        <v>46883.983055212069</v>
      </c>
      <c r="M13" s="2"/>
    </row>
    <row r="14" spans="1:13" x14ac:dyDescent="0.25">
      <c r="A14" s="1">
        <v>2023</v>
      </c>
      <c r="B14" s="2">
        <f>VLOOKUP(A14,WSU!$A:$E,4,FALSE)</f>
        <v>39054.040105473076</v>
      </c>
      <c r="C14" s="2"/>
      <c r="D14" s="2"/>
      <c r="E14" s="2"/>
      <c r="F14" s="2">
        <f>VLOOKUP(A14,U!A:E,5,FALSE)</f>
        <v>38150.310765815782</v>
      </c>
      <c r="G14" s="2"/>
      <c r="H14" s="2"/>
      <c r="I14" s="2"/>
      <c r="J14" s="2"/>
      <c r="K14" s="2"/>
      <c r="L14" s="2">
        <f>VLOOKUP(A14,UVU!A:C,2,FALSE)</f>
        <v>48110.317310835235</v>
      </c>
      <c r="M14" s="2"/>
    </row>
    <row r="15" spans="1:13" x14ac:dyDescent="0.25">
      <c r="A15" s="1">
        <v>2024</v>
      </c>
      <c r="B15" s="2">
        <f>VLOOKUP(A15,WSU!$A:$E,4,FALSE)</f>
        <v>39767.653158209621</v>
      </c>
      <c r="C15" s="2"/>
      <c r="D15" s="2"/>
      <c r="E15" s="2"/>
      <c r="F15" s="2">
        <f>VLOOKUP(A15,U!A:E,5,FALSE)</f>
        <v>38438.466148723732</v>
      </c>
      <c r="G15" s="2"/>
      <c r="H15" s="2"/>
      <c r="I15" s="2"/>
      <c r="J15" s="2"/>
      <c r="K15" s="2"/>
      <c r="L15" s="2">
        <f>VLOOKUP(A15,UVU!A:C,2,FALSE)</f>
        <v>49336.651566457935</v>
      </c>
      <c r="M15" s="2"/>
    </row>
    <row r="16" spans="1:13" x14ac:dyDescent="0.25">
      <c r="A16" s="1">
        <v>2025</v>
      </c>
      <c r="B16" s="2">
        <f>VLOOKUP(A16,WSU!$A:$E,4,FALSE)</f>
        <v>40481.26621094616</v>
      </c>
      <c r="C16" s="2"/>
      <c r="D16" s="2"/>
      <c r="E16" s="2"/>
      <c r="F16" s="2">
        <f>VLOOKUP(A16,U!A:E,5,FALSE)</f>
        <v>38726.621531631565</v>
      </c>
      <c r="G16" s="2"/>
      <c r="H16" s="2"/>
      <c r="I16" s="2"/>
      <c r="J16" s="2"/>
      <c r="K16" s="2"/>
      <c r="L16" s="2">
        <f>VLOOKUP(A16,UVU!A:C,2,FALSE)</f>
        <v>50562.9858220811</v>
      </c>
      <c r="M16" s="2"/>
    </row>
    <row r="17" spans="1:13" x14ac:dyDescent="0.25">
      <c r="A17" s="1">
        <v>2026</v>
      </c>
      <c r="B17" s="2">
        <f>VLOOKUP(A17,WSU!$A:$E,4,FALSE)</f>
        <v>41194.879263682698</v>
      </c>
      <c r="C17" s="2"/>
      <c r="D17" s="2"/>
      <c r="E17" s="2"/>
      <c r="F17" s="2">
        <f>VLOOKUP(A17,U!A:E,5,FALSE)</f>
        <v>39014.776914539398</v>
      </c>
      <c r="G17" s="2"/>
      <c r="H17" s="2"/>
      <c r="I17" s="2"/>
      <c r="J17" s="2"/>
      <c r="K17" s="2"/>
      <c r="L17" s="2">
        <f>VLOOKUP(A17,UVU!A:C,2,FALSE)</f>
        <v>51789.3200777038</v>
      </c>
      <c r="M17" s="2"/>
    </row>
    <row r="18" spans="1:13" x14ac:dyDescent="0.25">
      <c r="A18" s="1">
        <v>2027</v>
      </c>
      <c r="B18" s="2">
        <f>VLOOKUP(A18,WSU!$A:$E,4,FALSE)</f>
        <v>41908.492316419237</v>
      </c>
      <c r="C18" s="2"/>
      <c r="D18" s="2"/>
      <c r="E18" s="2"/>
      <c r="F18" s="2">
        <f>VLOOKUP(A18,U!A:E,5,FALSE)</f>
        <v>39302.932297447347</v>
      </c>
      <c r="G18" s="2"/>
      <c r="H18" s="2"/>
      <c r="I18" s="2"/>
      <c r="J18" s="2"/>
      <c r="K18" s="2"/>
      <c r="L18" s="2">
        <f>VLOOKUP(A18,UVU!A:C,2,FALSE)</f>
        <v>53015.6543333265</v>
      </c>
      <c r="M18" s="2"/>
    </row>
    <row r="19" spans="1:13" x14ac:dyDescent="0.25">
      <c r="A19" s="1">
        <v>2028</v>
      </c>
      <c r="B19" s="2">
        <f>VLOOKUP(A19,WSU!$A:$E,4,FALSE)</f>
        <v>42622.105369155775</v>
      </c>
      <c r="C19" s="2"/>
      <c r="D19" s="2"/>
      <c r="E19" s="2"/>
      <c r="F19" s="2">
        <f>VLOOKUP(A19,U!A:E,5,FALSE)</f>
        <v>39591.08768035518</v>
      </c>
      <c r="G19" s="2"/>
      <c r="H19" s="2"/>
      <c r="I19" s="2"/>
      <c r="J19" s="2"/>
      <c r="K19" s="2"/>
      <c r="L19" s="2">
        <f>VLOOKUP(A19,UVU!A:C,2,FALSE)</f>
        <v>54241.988588949665</v>
      </c>
      <c r="M19" s="2"/>
    </row>
    <row r="20" spans="1:13" x14ac:dyDescent="0.25">
      <c r="A20" s="1">
        <v>2029</v>
      </c>
      <c r="B20" s="2">
        <f>VLOOKUP(A20,WSU!$A:$E,4,FALSE)</f>
        <v>43335.718421892314</v>
      </c>
      <c r="C20" s="2"/>
      <c r="D20" s="2"/>
      <c r="E20" s="2"/>
      <c r="F20" s="2">
        <f>VLOOKUP(A20,U!A:E,5,FALSE)</f>
        <v>39879.243063263129</v>
      </c>
      <c r="G20" s="2"/>
      <c r="H20" s="2"/>
      <c r="I20" s="2"/>
      <c r="J20" s="2"/>
      <c r="K20" s="2"/>
      <c r="L20" s="2">
        <f>VLOOKUP(A20,UVU!A:C,2,FALSE)</f>
        <v>55468.322844572365</v>
      </c>
      <c r="M20" s="2"/>
    </row>
    <row r="21" spans="1:13" x14ac:dyDescent="0.25">
      <c r="A21">
        <v>2030</v>
      </c>
      <c r="B21" s="2">
        <f>VLOOKUP(A21,WSU!$A:$E,4,FALSE)</f>
        <v>44049.331474628852</v>
      </c>
      <c r="C21" s="2"/>
      <c r="D21" s="2"/>
      <c r="E21" s="2"/>
      <c r="F21" s="2">
        <f>VLOOKUP(A21,U!A:E,5,FALSE)</f>
        <v>40167.398446170962</v>
      </c>
      <c r="G21" s="2"/>
      <c r="H21" s="2"/>
      <c r="I21" s="2"/>
      <c r="J21" s="2"/>
      <c r="K21" s="2"/>
      <c r="L21" s="2">
        <f>VLOOKUP(A21,UVU!A:C,2,FALSE)</f>
        <v>56694.657100195531</v>
      </c>
      <c r="M21" s="2"/>
    </row>
    <row r="22" spans="1:13" x14ac:dyDescent="0.25">
      <c r="A22">
        <v>2031</v>
      </c>
      <c r="B22" s="2">
        <f>VLOOKUP(A22,WSU!$A:$E,4,FALSE)</f>
        <v>44762.944527365398</v>
      </c>
      <c r="C22" s="2"/>
      <c r="D22" s="2"/>
      <c r="E22" s="2"/>
      <c r="F22" s="2">
        <f>VLOOKUP(A22,U!A:E,5,FALSE)</f>
        <v>40455.553829078912</v>
      </c>
      <c r="G22" s="2"/>
      <c r="H22" s="2"/>
      <c r="I22" s="2"/>
      <c r="J22" s="2"/>
      <c r="K22" s="2"/>
      <c r="L22" s="2">
        <f>VLOOKUP(A22,UVU!A:C,2,FALSE)</f>
        <v>57920.991355818231</v>
      </c>
      <c r="M22" s="2"/>
    </row>
    <row r="23" spans="1:13" x14ac:dyDescent="0.25">
      <c r="A23">
        <v>2032</v>
      </c>
      <c r="B23" s="2">
        <f>VLOOKUP(A23,WSU!$A:$E,4,FALSE)</f>
        <v>45476.557580101937</v>
      </c>
      <c r="C23" s="2"/>
      <c r="D23" s="2"/>
      <c r="E23" s="2"/>
      <c r="F23" s="2">
        <f>VLOOKUP(A23,U!A:E,5,FALSE)</f>
        <v>40743.709211986745</v>
      </c>
      <c r="G23" s="2"/>
      <c r="H23" s="2"/>
      <c r="I23" s="2"/>
      <c r="J23" s="2"/>
      <c r="K23" s="2"/>
      <c r="L23" s="2">
        <f>VLOOKUP(A23,UVU!A:C,2,FALSE)</f>
        <v>59147.325611440931</v>
      </c>
      <c r="M23" s="2"/>
    </row>
    <row r="24" spans="1:13" x14ac:dyDescent="0.25">
      <c r="A24">
        <v>2033</v>
      </c>
      <c r="B24" s="2">
        <f>VLOOKUP(A24,WSU!$A:$E,4,FALSE)</f>
        <v>46190.170632838475</v>
      </c>
      <c r="C24" s="2"/>
      <c r="D24" s="2"/>
      <c r="E24" s="2"/>
      <c r="F24" s="2">
        <f>VLOOKUP(A24,U!A:E,5,FALSE)</f>
        <v>41031.864594894578</v>
      </c>
      <c r="G24" s="2"/>
      <c r="H24" s="2"/>
      <c r="I24" s="2"/>
      <c r="J24" s="2"/>
      <c r="K24" s="2"/>
      <c r="L24" s="2">
        <f>VLOOKUP(A24,UVU!A:C,2,FALSE)</f>
        <v>60373.659867064096</v>
      </c>
      <c r="M24" s="2"/>
    </row>
    <row r="25" spans="1:13" x14ac:dyDescent="0.25">
      <c r="A25">
        <v>2034</v>
      </c>
      <c r="B25" s="2">
        <f>VLOOKUP(A25,WSU!$A:$E,4,FALSE)</f>
        <v>46903.783685575014</v>
      </c>
      <c r="C25" s="2"/>
      <c r="D25" s="2"/>
      <c r="E25" s="2"/>
      <c r="F25" s="2">
        <f>VLOOKUP(A25,U!A:E,5,FALSE)</f>
        <v>41320.019977802527</v>
      </c>
      <c r="G25" s="2"/>
      <c r="H25" s="2"/>
      <c r="I25" s="2"/>
      <c r="J25" s="2"/>
      <c r="K25" s="2"/>
      <c r="L25" s="2">
        <f>VLOOKUP(A25,UVU!A:C,2,FALSE)</f>
        <v>61599.994122686796</v>
      </c>
      <c r="M25" s="2"/>
    </row>
    <row r="26" spans="1:13" x14ac:dyDescent="0.25">
      <c r="A26">
        <v>2035</v>
      </c>
      <c r="B26" s="2">
        <f>VLOOKUP(A26,WSU!$A:$E,4,FALSE)</f>
        <v>47617.396738311552</v>
      </c>
      <c r="C26" s="2"/>
      <c r="D26" s="2"/>
      <c r="E26" s="2"/>
      <c r="F26" s="2">
        <f>VLOOKUP(A26,U!A:E,5,FALSE)</f>
        <v>41608.17536071036</v>
      </c>
      <c r="G26" s="2"/>
      <c r="H26" s="2"/>
      <c r="I26" s="2"/>
      <c r="J26" s="2"/>
      <c r="K26" s="2"/>
      <c r="L26" s="2">
        <f>VLOOKUP(A26,UVU!A:C,2,FALSE)</f>
        <v>62826.328378309961</v>
      </c>
      <c r="M26" s="2"/>
    </row>
    <row r="27" spans="1:13" x14ac:dyDescent="0.25">
      <c r="A27">
        <v>2036</v>
      </c>
      <c r="B27" s="2">
        <f>VLOOKUP(A27,WSU!$A:$E,4,FALSE)</f>
        <v>48331.009791048098</v>
      </c>
      <c r="C27" s="2"/>
      <c r="D27" s="2"/>
      <c r="E27" s="2"/>
      <c r="F27" s="2">
        <f>VLOOKUP(A27,U!A:E,5,FALSE)</f>
        <v>41896.330743618309</v>
      </c>
      <c r="G27" s="2"/>
      <c r="H27" s="2"/>
      <c r="I27" s="2"/>
      <c r="J27" s="2"/>
      <c r="K27" s="2"/>
      <c r="L27" s="2">
        <f>VLOOKUP(A27,UVU!A:C,2,FALSE)</f>
        <v>64052.662633932661</v>
      </c>
      <c r="M27" s="2"/>
    </row>
    <row r="28" spans="1:13" x14ac:dyDescent="0.25">
      <c r="A28">
        <v>2037</v>
      </c>
      <c r="B28" s="2">
        <f>VLOOKUP(A28,WSU!$A:$E,4,FALSE)</f>
        <v>49044.622843784629</v>
      </c>
      <c r="C28" s="2"/>
      <c r="D28" s="2"/>
      <c r="E28" s="2"/>
      <c r="F28" s="2">
        <f>VLOOKUP(A28,U!A:E,5,FALSE)</f>
        <v>42184.486126526142</v>
      </c>
      <c r="G28" s="2"/>
      <c r="H28" s="2"/>
      <c r="I28" s="2"/>
      <c r="J28" s="2"/>
      <c r="K28" s="2"/>
      <c r="L28" s="2">
        <f>VLOOKUP(A28,UVU!A:C,2,FALSE)</f>
        <v>65278.996889555361</v>
      </c>
      <c r="M28" s="2"/>
    </row>
    <row r="29" spans="1:13" x14ac:dyDescent="0.25">
      <c r="A29">
        <v>2038</v>
      </c>
      <c r="B29" s="2">
        <f>VLOOKUP(A29,WSU!$A:$E,4,FALSE)</f>
        <v>49758.235896521175</v>
      </c>
      <c r="C29" s="2"/>
      <c r="D29" s="2"/>
      <c r="E29" s="2"/>
      <c r="F29" s="2">
        <f>VLOOKUP(A29,U!A:E,5,FALSE)</f>
        <v>42472.641509433975</v>
      </c>
      <c r="G29" s="2"/>
      <c r="H29" s="2"/>
      <c r="I29" s="2"/>
      <c r="J29" s="2"/>
      <c r="K29" s="2"/>
      <c r="L29" s="2">
        <f>VLOOKUP(A29,UVU!A:C,2,FALSE)</f>
        <v>66505.331145178527</v>
      </c>
      <c r="M29" s="2"/>
    </row>
    <row r="30" spans="1:13" x14ac:dyDescent="0.25">
      <c r="A30">
        <v>2039</v>
      </c>
      <c r="B30" s="2">
        <f>VLOOKUP(A30,WSU!$A:$E,4,FALSE)</f>
        <v>50471.848949257714</v>
      </c>
      <c r="C30" s="2"/>
      <c r="D30" s="2"/>
      <c r="E30" s="2"/>
      <c r="F30" s="2">
        <f>VLOOKUP(A30,U!A:E,5,FALSE)</f>
        <v>42760.796892341925</v>
      </c>
      <c r="G30" s="2"/>
      <c r="H30" s="2"/>
      <c r="I30" s="2"/>
      <c r="J30" s="2"/>
      <c r="K30" s="2"/>
      <c r="L30" s="2">
        <f>VLOOKUP(A30,UVU!A:C,2,FALSE)</f>
        <v>67731.665400801226</v>
      </c>
      <c r="M30" s="2"/>
    </row>
    <row r="31" spans="1:13" x14ac:dyDescent="0.25">
      <c r="A31">
        <v>2040</v>
      </c>
      <c r="B31" s="2">
        <f>VLOOKUP(A31,WSU!$A:$E,4,FALSE)</f>
        <v>51185.462001994252</v>
      </c>
      <c r="C31" s="2"/>
      <c r="D31" s="2"/>
      <c r="E31" s="2"/>
      <c r="F31" s="2">
        <f>VLOOKUP(A31,U!A:E,5,FALSE)</f>
        <v>43048.952275249758</v>
      </c>
      <c r="G31" s="2"/>
      <c r="H31" s="2"/>
      <c r="I31" s="2"/>
      <c r="J31" s="2"/>
      <c r="K31" s="2"/>
      <c r="L31" s="2">
        <f>VLOOKUP(A31,UVU!A:C,2,FALSE)</f>
        <v>68957.999656424392</v>
      </c>
      <c r="M31" s="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F83"/>
  <sheetViews>
    <sheetView workbookViewId="0">
      <selection activeCell="H83" sqref="H83"/>
    </sheetView>
  </sheetViews>
  <sheetFormatPr defaultRowHeight="15" x14ac:dyDescent="0.25"/>
  <cols>
    <col min="2" max="2" width="10.5703125" bestFit="1" customWidth="1"/>
    <col min="8" max="9" width="10.5703125" bestFit="1" customWidth="1"/>
    <col min="10" max="10" width="13.5703125" bestFit="1" customWidth="1"/>
  </cols>
  <sheetData>
    <row r="1" spans="1:14" x14ac:dyDescent="0.25">
      <c r="A1" s="3" t="s">
        <v>13</v>
      </c>
      <c r="B1" s="4" t="s">
        <v>14</v>
      </c>
      <c r="C1" t="s">
        <v>64</v>
      </c>
      <c r="F1" t="s">
        <v>305</v>
      </c>
      <c r="J1" t="s">
        <v>63</v>
      </c>
      <c r="K1" t="s">
        <v>18</v>
      </c>
      <c r="L1">
        <v>609</v>
      </c>
      <c r="M1" s="10">
        <v>2.9000000000000001E-2</v>
      </c>
      <c r="N1" s="6">
        <v>21795</v>
      </c>
    </row>
    <row r="2" spans="1:14" x14ac:dyDescent="0.25">
      <c r="A2">
        <v>1970</v>
      </c>
      <c r="B2" s="4"/>
      <c r="C2" s="149">
        <f t="shared" ref="C2:C19" si="0">N1</f>
        <v>21795</v>
      </c>
      <c r="D2" s="150"/>
      <c r="E2" s="150"/>
      <c r="F2" s="151">
        <f t="shared" ref="F2:F39" si="1">C2</f>
        <v>21795</v>
      </c>
      <c r="K2" t="s">
        <v>19</v>
      </c>
      <c r="L2">
        <v>733</v>
      </c>
      <c r="M2" s="10">
        <v>3.4000000000000002E-2</v>
      </c>
      <c r="N2" s="6">
        <v>23270</v>
      </c>
    </row>
    <row r="3" spans="1:14" x14ac:dyDescent="0.25">
      <c r="A3">
        <v>1971</v>
      </c>
      <c r="C3" s="149">
        <f t="shared" si="0"/>
        <v>23270</v>
      </c>
      <c r="D3" s="150"/>
      <c r="E3" s="150"/>
      <c r="F3" s="151">
        <f t="shared" si="1"/>
        <v>23270</v>
      </c>
      <c r="K3" t="s">
        <v>20</v>
      </c>
      <c r="L3">
        <v>840</v>
      </c>
      <c r="M3" s="10">
        <v>0.04</v>
      </c>
      <c r="N3" s="6">
        <v>22985</v>
      </c>
    </row>
    <row r="4" spans="1:14" x14ac:dyDescent="0.25">
      <c r="A4">
        <v>1972</v>
      </c>
      <c r="C4" s="149">
        <f t="shared" si="0"/>
        <v>22985</v>
      </c>
      <c r="D4" s="150"/>
      <c r="E4" s="150"/>
      <c r="F4" s="151">
        <f t="shared" si="1"/>
        <v>22985</v>
      </c>
      <c r="K4" t="s">
        <v>21</v>
      </c>
      <c r="L4">
        <v>851</v>
      </c>
      <c r="M4" s="10">
        <v>0.04</v>
      </c>
      <c r="N4" s="6">
        <v>22919</v>
      </c>
    </row>
    <row r="5" spans="1:14" x14ac:dyDescent="0.25">
      <c r="A5">
        <v>1973</v>
      </c>
      <c r="C5" s="149">
        <f t="shared" si="0"/>
        <v>22919</v>
      </c>
      <c r="D5" s="150"/>
      <c r="E5" s="150"/>
      <c r="F5" s="151">
        <f t="shared" si="1"/>
        <v>22919</v>
      </c>
      <c r="K5" t="s">
        <v>22</v>
      </c>
      <c r="L5" s="6">
        <v>1005</v>
      </c>
      <c r="M5" s="10">
        <v>4.5999999999999999E-2</v>
      </c>
      <c r="N5" s="6">
        <v>23384</v>
      </c>
    </row>
    <row r="6" spans="1:14" x14ac:dyDescent="0.25">
      <c r="A6">
        <v>1974</v>
      </c>
      <c r="C6" s="149">
        <f t="shared" si="0"/>
        <v>23384</v>
      </c>
      <c r="D6" s="150"/>
      <c r="E6" s="150"/>
      <c r="F6" s="151">
        <f t="shared" si="1"/>
        <v>23384</v>
      </c>
      <c r="K6" t="s">
        <v>23</v>
      </c>
      <c r="L6" s="6">
        <v>1068</v>
      </c>
      <c r="M6" s="10">
        <v>4.7E-2</v>
      </c>
      <c r="N6" s="6">
        <v>24312</v>
      </c>
    </row>
    <row r="7" spans="1:14" x14ac:dyDescent="0.25">
      <c r="A7">
        <v>1975</v>
      </c>
      <c r="C7" s="149">
        <f t="shared" si="0"/>
        <v>24312</v>
      </c>
      <c r="D7" s="150"/>
      <c r="E7" s="150"/>
      <c r="F7" s="151">
        <f t="shared" si="1"/>
        <v>24312</v>
      </c>
      <c r="K7" t="s">
        <v>24</v>
      </c>
      <c r="L7">
        <v>988</v>
      </c>
      <c r="M7" s="10">
        <v>4.5999999999999999E-2</v>
      </c>
      <c r="N7" s="6">
        <v>23115</v>
      </c>
    </row>
    <row r="8" spans="1:14" x14ac:dyDescent="0.25">
      <c r="A8">
        <v>1976</v>
      </c>
      <c r="C8" s="149">
        <f t="shared" si="0"/>
        <v>23115</v>
      </c>
      <c r="D8" s="150"/>
      <c r="E8" s="150"/>
      <c r="F8" s="151">
        <f t="shared" si="1"/>
        <v>23115</v>
      </c>
      <c r="K8" t="s">
        <v>25</v>
      </c>
      <c r="L8">
        <v>990</v>
      </c>
      <c r="M8" s="10">
        <v>4.4999999999999998E-2</v>
      </c>
      <c r="N8" s="6">
        <v>23034</v>
      </c>
    </row>
    <row r="9" spans="1:14" x14ac:dyDescent="0.25">
      <c r="A9">
        <v>1977</v>
      </c>
      <c r="C9" s="149">
        <f t="shared" si="0"/>
        <v>23034</v>
      </c>
      <c r="D9" s="150"/>
      <c r="E9" s="150"/>
      <c r="F9" s="151">
        <f t="shared" si="1"/>
        <v>23034</v>
      </c>
      <c r="K9" t="s">
        <v>26</v>
      </c>
      <c r="L9">
        <v>977</v>
      </c>
      <c r="M9" s="10">
        <v>4.5999999999999999E-2</v>
      </c>
      <c r="N9" s="6">
        <v>21975</v>
      </c>
    </row>
    <row r="10" spans="1:14" x14ac:dyDescent="0.25">
      <c r="A10">
        <v>1978</v>
      </c>
      <c r="C10" s="149">
        <f t="shared" si="0"/>
        <v>21975</v>
      </c>
      <c r="D10" s="150"/>
      <c r="E10" s="150"/>
      <c r="F10" s="151">
        <f t="shared" si="1"/>
        <v>21975</v>
      </c>
      <c r="K10" t="s">
        <v>27</v>
      </c>
      <c r="L10" s="6">
        <v>1005</v>
      </c>
      <c r="M10" s="10">
        <v>4.5999999999999999E-2</v>
      </c>
      <c r="N10" s="6">
        <v>22175</v>
      </c>
    </row>
    <row r="11" spans="1:14" x14ac:dyDescent="0.25">
      <c r="A11">
        <v>1979</v>
      </c>
      <c r="C11" s="149">
        <f t="shared" si="0"/>
        <v>22175</v>
      </c>
      <c r="D11" s="150"/>
      <c r="E11" s="150"/>
      <c r="F11" s="151">
        <f t="shared" si="1"/>
        <v>22175</v>
      </c>
      <c r="K11" t="s">
        <v>28</v>
      </c>
      <c r="L11" s="6">
        <v>1124</v>
      </c>
      <c r="M11" s="10">
        <v>4.9000000000000002E-2</v>
      </c>
      <c r="N11" s="6">
        <v>23208</v>
      </c>
    </row>
    <row r="12" spans="1:14" x14ac:dyDescent="0.25">
      <c r="A12">
        <v>1980</v>
      </c>
      <c r="C12" s="149">
        <f t="shared" si="0"/>
        <v>23208</v>
      </c>
      <c r="D12" s="150"/>
      <c r="E12" s="150"/>
      <c r="F12" s="151">
        <f t="shared" si="1"/>
        <v>23208</v>
      </c>
      <c r="K12" t="s">
        <v>29</v>
      </c>
      <c r="L12" s="6">
        <v>1103</v>
      </c>
      <c r="M12" s="10">
        <v>4.7E-2</v>
      </c>
      <c r="N12" s="6">
        <v>23683</v>
      </c>
    </row>
    <row r="13" spans="1:14" x14ac:dyDescent="0.25">
      <c r="A13">
        <v>1981</v>
      </c>
      <c r="C13" s="149">
        <f t="shared" si="0"/>
        <v>23683</v>
      </c>
      <c r="D13" s="150"/>
      <c r="E13" s="150"/>
      <c r="F13" s="151">
        <f t="shared" si="1"/>
        <v>23683</v>
      </c>
      <c r="K13" t="s">
        <v>30</v>
      </c>
      <c r="L13" s="6">
        <v>1212</v>
      </c>
      <c r="M13" s="10">
        <v>0.05</v>
      </c>
      <c r="N13" s="6">
        <v>24793</v>
      </c>
    </row>
    <row r="14" spans="1:14" x14ac:dyDescent="0.25">
      <c r="A14">
        <v>1982</v>
      </c>
      <c r="C14" s="149">
        <f t="shared" si="0"/>
        <v>24793</v>
      </c>
      <c r="D14" s="150"/>
      <c r="E14" s="150"/>
      <c r="F14" s="151">
        <f t="shared" si="1"/>
        <v>24793</v>
      </c>
      <c r="K14" t="s">
        <v>31</v>
      </c>
      <c r="L14" s="6">
        <v>1355</v>
      </c>
      <c r="M14" s="10">
        <v>5.3999999999999999E-2</v>
      </c>
      <c r="N14" s="6">
        <v>25342</v>
      </c>
    </row>
    <row r="15" spans="1:14" x14ac:dyDescent="0.25">
      <c r="A15">
        <v>1983</v>
      </c>
      <c r="C15" s="149">
        <f t="shared" si="0"/>
        <v>25342</v>
      </c>
      <c r="D15" s="150"/>
      <c r="E15" s="150"/>
      <c r="F15" s="151">
        <f t="shared" si="1"/>
        <v>25342</v>
      </c>
      <c r="K15" t="s">
        <v>32</v>
      </c>
      <c r="L15" s="6">
        <v>1255</v>
      </c>
      <c r="M15" s="10">
        <v>5.0999999999999997E-2</v>
      </c>
      <c r="N15" s="6">
        <v>24568</v>
      </c>
    </row>
    <row r="16" spans="1:14" x14ac:dyDescent="0.25">
      <c r="A16">
        <v>1984</v>
      </c>
      <c r="C16" s="149">
        <f t="shared" si="0"/>
        <v>24568</v>
      </c>
      <c r="D16" s="150"/>
      <c r="E16" s="150"/>
      <c r="F16" s="151">
        <f t="shared" si="1"/>
        <v>24568</v>
      </c>
      <c r="K16" t="s">
        <v>33</v>
      </c>
      <c r="L16" s="6">
        <v>1247</v>
      </c>
      <c r="M16" s="10">
        <v>0.05</v>
      </c>
      <c r="N16" s="6">
        <v>24770</v>
      </c>
    </row>
    <row r="17" spans="1:28" x14ac:dyDescent="0.25">
      <c r="A17">
        <v>1985</v>
      </c>
      <c r="C17" s="149">
        <f t="shared" si="0"/>
        <v>24770</v>
      </c>
      <c r="D17" s="150"/>
      <c r="E17" s="150"/>
      <c r="F17" s="151">
        <f t="shared" si="1"/>
        <v>24770</v>
      </c>
      <c r="K17" t="s">
        <v>34</v>
      </c>
      <c r="L17" s="6">
        <v>1215</v>
      </c>
      <c r="M17" s="10">
        <v>4.9000000000000002E-2</v>
      </c>
      <c r="N17" s="6">
        <v>24721</v>
      </c>
    </row>
    <row r="18" spans="1:28" x14ac:dyDescent="0.25">
      <c r="A18">
        <v>1986</v>
      </c>
      <c r="C18" s="149">
        <f t="shared" si="0"/>
        <v>24721</v>
      </c>
      <c r="D18" s="150"/>
      <c r="E18" s="150"/>
      <c r="F18" s="151">
        <f t="shared" si="1"/>
        <v>24721</v>
      </c>
      <c r="K18" t="s">
        <v>35</v>
      </c>
      <c r="L18" s="6">
        <v>1212</v>
      </c>
      <c r="M18" s="10">
        <v>0.05</v>
      </c>
      <c r="N18" s="6">
        <v>24124</v>
      </c>
    </row>
    <row r="19" spans="1:28" x14ac:dyDescent="0.25">
      <c r="A19">
        <v>1987</v>
      </c>
      <c r="C19" s="149">
        <f t="shared" si="0"/>
        <v>24124</v>
      </c>
      <c r="D19" s="150"/>
      <c r="E19" s="150"/>
      <c r="F19" s="151">
        <f t="shared" si="1"/>
        <v>24124</v>
      </c>
      <c r="K19" t="s">
        <v>36</v>
      </c>
      <c r="L19" s="6">
        <v>1224</v>
      </c>
      <c r="M19" s="10">
        <v>5.1999999999999998E-2</v>
      </c>
      <c r="N19" s="6">
        <v>23626</v>
      </c>
    </row>
    <row r="20" spans="1:28" x14ac:dyDescent="0.25">
      <c r="A20">
        <v>1988</v>
      </c>
      <c r="B20" s="5">
        <v>24052</v>
      </c>
      <c r="C20" s="149">
        <f>N19</f>
        <v>23626</v>
      </c>
      <c r="D20" s="150"/>
      <c r="E20" s="150"/>
      <c r="F20" s="151">
        <f t="shared" si="1"/>
        <v>23626</v>
      </c>
      <c r="G20" s="8" t="s">
        <v>15</v>
      </c>
      <c r="H20" s="8" t="s">
        <v>16</v>
      </c>
      <c r="I20" s="8" t="s">
        <v>17</v>
      </c>
      <c r="K20" t="s">
        <v>37</v>
      </c>
      <c r="L20" s="6">
        <v>1314</v>
      </c>
      <c r="M20" s="10">
        <v>5.6000000000000001E-2</v>
      </c>
      <c r="N20" s="6">
        <v>23543</v>
      </c>
    </row>
    <row r="21" spans="1:28" x14ac:dyDescent="0.25">
      <c r="A21">
        <v>1989</v>
      </c>
      <c r="B21" s="5">
        <v>24440</v>
      </c>
      <c r="C21" s="149">
        <f>N20</f>
        <v>23543</v>
      </c>
      <c r="D21" s="150"/>
      <c r="E21" s="150"/>
      <c r="F21" s="151">
        <f t="shared" si="1"/>
        <v>23543</v>
      </c>
      <c r="G21" s="8"/>
      <c r="H21" s="8"/>
      <c r="I21" s="9">
        <v>27685</v>
      </c>
      <c r="K21" t="s">
        <v>38</v>
      </c>
      <c r="L21" s="6">
        <v>1439</v>
      </c>
      <c r="M21" s="10">
        <v>5.8999999999999997E-2</v>
      </c>
      <c r="N21" s="6">
        <v>24311</v>
      </c>
    </row>
    <row r="22" spans="1:28" x14ac:dyDescent="0.25">
      <c r="A22">
        <v>1990</v>
      </c>
      <c r="B22" s="5">
        <v>25425</v>
      </c>
      <c r="C22" s="149">
        <f>N21</f>
        <v>24311</v>
      </c>
      <c r="D22" s="150"/>
      <c r="E22" s="150"/>
      <c r="F22" s="151">
        <f t="shared" si="1"/>
        <v>24311</v>
      </c>
      <c r="G22" s="8"/>
      <c r="H22" s="8"/>
      <c r="I22" s="9">
        <v>27804</v>
      </c>
      <c r="K22" t="s">
        <v>39</v>
      </c>
      <c r="L22" s="6">
        <v>1553</v>
      </c>
      <c r="M22" s="10">
        <v>6.0999999999999999E-2</v>
      </c>
      <c r="N22" s="6">
        <v>25581</v>
      </c>
    </row>
    <row r="23" spans="1:28" x14ac:dyDescent="0.25">
      <c r="A23">
        <v>1991</v>
      </c>
      <c r="B23" s="5">
        <v>26639</v>
      </c>
      <c r="C23" s="149">
        <f>N22</f>
        <v>25581</v>
      </c>
      <c r="D23" s="150"/>
      <c r="E23" s="150"/>
      <c r="F23" s="151">
        <f t="shared" si="1"/>
        <v>25581</v>
      </c>
      <c r="G23" s="8"/>
      <c r="H23" s="8"/>
      <c r="I23" s="9">
        <v>28950</v>
      </c>
      <c r="K23" t="s">
        <v>40</v>
      </c>
      <c r="L23" s="6">
        <v>1605</v>
      </c>
      <c r="M23" s="10">
        <v>6.2E-2</v>
      </c>
      <c r="N23" s="6">
        <v>25868</v>
      </c>
    </row>
    <row r="24" spans="1:28" x14ac:dyDescent="0.25">
      <c r="A24">
        <v>1992</v>
      </c>
      <c r="B24" s="5">
        <v>26801</v>
      </c>
      <c r="C24" s="149">
        <f>N23</f>
        <v>25868</v>
      </c>
      <c r="D24" s="150"/>
      <c r="E24" s="150"/>
      <c r="F24" s="151">
        <f t="shared" si="1"/>
        <v>25868</v>
      </c>
      <c r="G24" s="8"/>
      <c r="H24" s="8">
        <v>32671</v>
      </c>
      <c r="I24" s="9">
        <v>30514</v>
      </c>
      <c r="K24" t="s">
        <v>41</v>
      </c>
      <c r="L24" s="6">
        <v>1696</v>
      </c>
      <c r="M24" s="10">
        <v>6.5000000000000002E-2</v>
      </c>
      <c r="N24" s="6">
        <v>20318</v>
      </c>
      <c r="O24" s="10">
        <v>0.78200000000000003</v>
      </c>
      <c r="P24" s="6">
        <v>1325</v>
      </c>
      <c r="Q24" s="10">
        <v>5.0999999999999997E-2</v>
      </c>
      <c r="R24" s="6">
        <v>3475</v>
      </c>
      <c r="S24" s="10">
        <v>0.13400000000000001</v>
      </c>
      <c r="T24" s="6">
        <v>25982</v>
      </c>
    </row>
    <row r="25" spans="1:28" x14ac:dyDescent="0.25">
      <c r="A25">
        <v>1993</v>
      </c>
      <c r="B25" s="5">
        <v>27118</v>
      </c>
      <c r="C25" s="149">
        <f t="shared" ref="C25:C30" si="2">T24</f>
        <v>25982</v>
      </c>
      <c r="D25" s="150"/>
      <c r="E25" s="150"/>
      <c r="F25" s="151">
        <f t="shared" si="1"/>
        <v>25982</v>
      </c>
      <c r="G25" s="8"/>
      <c r="H25" s="8">
        <v>31673</v>
      </c>
      <c r="I25" s="9">
        <v>31285</v>
      </c>
      <c r="K25" t="s">
        <v>42</v>
      </c>
      <c r="L25" s="6">
        <v>1704</v>
      </c>
      <c r="M25" s="10">
        <v>6.6000000000000003E-2</v>
      </c>
      <c r="N25" s="6">
        <v>20169</v>
      </c>
      <c r="O25" s="10">
        <v>0.78600000000000003</v>
      </c>
      <c r="P25" s="6">
        <v>1338</v>
      </c>
      <c r="Q25" s="10">
        <v>5.1999999999999998E-2</v>
      </c>
      <c r="R25" s="6">
        <v>3393</v>
      </c>
      <c r="S25" s="10">
        <v>0.13200000000000001</v>
      </c>
      <c r="T25" s="6">
        <v>25645</v>
      </c>
    </row>
    <row r="26" spans="1:28" x14ac:dyDescent="0.25">
      <c r="A26">
        <v>1994</v>
      </c>
      <c r="B26" s="5">
        <v>26918</v>
      </c>
      <c r="C26" s="149">
        <f t="shared" si="2"/>
        <v>25645</v>
      </c>
      <c r="D26" s="150"/>
      <c r="E26" s="150"/>
      <c r="F26" s="151">
        <f t="shared" si="1"/>
        <v>25645</v>
      </c>
      <c r="K26" t="s">
        <v>43</v>
      </c>
      <c r="L26" s="6">
        <v>1747</v>
      </c>
      <c r="M26" s="10">
        <v>6.5000000000000002E-2</v>
      </c>
      <c r="N26" s="6">
        <v>20260</v>
      </c>
      <c r="O26" s="10">
        <v>0.75600000000000001</v>
      </c>
      <c r="P26" s="6">
        <v>1288</v>
      </c>
      <c r="Q26" s="10">
        <v>4.8000000000000001E-2</v>
      </c>
      <c r="R26" s="6">
        <v>3515</v>
      </c>
      <c r="S26" s="10">
        <v>0.13100000000000001</v>
      </c>
      <c r="T26" s="6">
        <v>26810</v>
      </c>
    </row>
    <row r="27" spans="1:28" x14ac:dyDescent="0.25">
      <c r="A27">
        <v>1995</v>
      </c>
      <c r="B27" s="5">
        <v>27143</v>
      </c>
      <c r="C27" s="149">
        <f t="shared" si="2"/>
        <v>26810</v>
      </c>
      <c r="D27" s="150"/>
      <c r="E27" s="150"/>
      <c r="F27" s="151">
        <f t="shared" si="1"/>
        <v>26810</v>
      </c>
      <c r="K27" t="s">
        <v>44</v>
      </c>
      <c r="L27" s="6">
        <v>1732</v>
      </c>
      <c r="M27" s="10">
        <v>6.6000000000000003E-2</v>
      </c>
      <c r="N27" s="6">
        <v>19781</v>
      </c>
      <c r="O27" s="10">
        <v>0.75900000000000001</v>
      </c>
      <c r="P27" s="6">
        <v>1239</v>
      </c>
      <c r="Q27" s="10">
        <v>4.8000000000000001E-2</v>
      </c>
      <c r="R27" s="6">
        <v>3327</v>
      </c>
      <c r="S27" s="10">
        <v>0.128</v>
      </c>
      <c r="T27" s="6">
        <v>26079</v>
      </c>
    </row>
    <row r="28" spans="1:28" x14ac:dyDescent="0.25">
      <c r="A28">
        <v>1996</v>
      </c>
      <c r="B28" s="5">
        <v>26365</v>
      </c>
      <c r="C28" s="149">
        <f t="shared" si="2"/>
        <v>26079</v>
      </c>
      <c r="D28" s="152"/>
      <c r="E28" s="150"/>
      <c r="F28" s="151">
        <f t="shared" si="1"/>
        <v>26079</v>
      </c>
      <c r="G28" s="6"/>
      <c r="H28" s="2">
        <f>ROUND(AVERAGE(H24:H25),0)</f>
        <v>32172</v>
      </c>
      <c r="I28" s="2">
        <f>ROUND(AVERAGE(I24:I25),0)</f>
        <v>30900</v>
      </c>
      <c r="J28" s="6"/>
      <c r="K28" s="6" t="s">
        <v>45</v>
      </c>
      <c r="L28" s="6">
        <v>1717</v>
      </c>
      <c r="M28" s="6">
        <v>6.6000000000000003E-2</v>
      </c>
      <c r="N28" s="6">
        <v>19713</v>
      </c>
      <c r="O28" s="10">
        <v>0.76100000000000001</v>
      </c>
      <c r="P28" s="6">
        <v>1239</v>
      </c>
      <c r="Q28" s="6">
        <v>4.8000000000000001E-2</v>
      </c>
      <c r="R28" s="6">
        <v>3226</v>
      </c>
      <c r="S28" s="10">
        <v>0.125</v>
      </c>
      <c r="T28" s="6">
        <v>25895</v>
      </c>
    </row>
    <row r="29" spans="1:28" x14ac:dyDescent="0.25">
      <c r="A29">
        <v>1997</v>
      </c>
      <c r="B29" s="5">
        <v>26191</v>
      </c>
      <c r="C29" s="149">
        <f t="shared" si="2"/>
        <v>25895</v>
      </c>
      <c r="D29" s="150"/>
      <c r="E29" s="150"/>
      <c r="F29" s="151">
        <f t="shared" si="1"/>
        <v>25895</v>
      </c>
      <c r="K29" t="s">
        <v>46</v>
      </c>
      <c r="L29" s="6">
        <v>1792</v>
      </c>
      <c r="M29" s="10">
        <v>7.1999999999999995E-2</v>
      </c>
      <c r="N29" s="6">
        <v>18523</v>
      </c>
      <c r="O29" s="10">
        <v>0.74</v>
      </c>
      <c r="P29" s="6">
        <v>1072</v>
      </c>
      <c r="Q29" s="10">
        <v>4.2999999999999997E-2</v>
      </c>
      <c r="R29" s="6">
        <v>3631</v>
      </c>
      <c r="S29" s="10">
        <v>0.14499999999999999</v>
      </c>
      <c r="T29" s="6">
        <v>25018</v>
      </c>
    </row>
    <row r="30" spans="1:28" x14ac:dyDescent="0.25">
      <c r="A30">
        <v>1998</v>
      </c>
      <c r="B30" s="5">
        <v>25203</v>
      </c>
      <c r="C30" s="149">
        <f t="shared" si="2"/>
        <v>25018</v>
      </c>
      <c r="D30" s="150"/>
      <c r="E30" s="150"/>
      <c r="F30" s="151">
        <f t="shared" si="1"/>
        <v>25018</v>
      </c>
      <c r="K30" t="s">
        <v>47</v>
      </c>
      <c r="L30" t="s">
        <v>48</v>
      </c>
      <c r="M30">
        <v>-1</v>
      </c>
    </row>
    <row r="31" spans="1:28" x14ac:dyDescent="0.25">
      <c r="A31">
        <v>1999</v>
      </c>
      <c r="B31" s="5">
        <v>25788</v>
      </c>
      <c r="C31" s="149">
        <f t="shared" ref="C31:C39" si="3">AB31</f>
        <v>25781</v>
      </c>
      <c r="D31" s="150"/>
      <c r="E31" s="150"/>
      <c r="F31" s="151">
        <f t="shared" si="1"/>
        <v>25781</v>
      </c>
      <c r="K31" t="s">
        <v>49</v>
      </c>
      <c r="L31" s="6">
        <v>1995</v>
      </c>
      <c r="M31" s="6">
        <v>1768</v>
      </c>
      <c r="N31" s="10">
        <v>7.6999999999999999E-2</v>
      </c>
      <c r="O31" s="10">
        <v>6.9000000000000006E-2</v>
      </c>
      <c r="P31" s="6">
        <v>18750</v>
      </c>
      <c r="Q31" s="6">
        <v>18603</v>
      </c>
      <c r="R31" s="10">
        <v>0.72699999999999998</v>
      </c>
      <c r="S31" s="10">
        <v>0.72199999999999998</v>
      </c>
      <c r="T31" s="6">
        <v>1090</v>
      </c>
      <c r="U31" s="6">
        <v>1090</v>
      </c>
      <c r="V31" s="10">
        <v>4.2000000000000003E-2</v>
      </c>
      <c r="W31" s="10">
        <v>4.2000000000000003E-2</v>
      </c>
      <c r="X31" s="6">
        <v>3946</v>
      </c>
      <c r="Y31" s="6">
        <v>4320</v>
      </c>
      <c r="Z31" s="10">
        <v>0.153</v>
      </c>
      <c r="AA31" s="10">
        <v>0.16800000000000001</v>
      </c>
      <c r="AB31" s="6">
        <v>25781</v>
      </c>
    </row>
    <row r="32" spans="1:28" x14ac:dyDescent="0.25">
      <c r="A32">
        <v>2000</v>
      </c>
      <c r="B32" s="5">
        <v>26180</v>
      </c>
      <c r="C32" s="149">
        <f t="shared" si="3"/>
        <v>26163</v>
      </c>
      <c r="D32" s="150"/>
      <c r="E32" s="150"/>
      <c r="F32" s="151">
        <f t="shared" si="1"/>
        <v>26163</v>
      </c>
      <c r="K32" t="s">
        <v>50</v>
      </c>
      <c r="L32" s="6">
        <v>2032</v>
      </c>
      <c r="M32" s="6">
        <v>1833</v>
      </c>
      <c r="N32" s="10">
        <v>7.8E-2</v>
      </c>
      <c r="O32" s="10">
        <v>7.0000000000000007E-2</v>
      </c>
      <c r="P32" s="6">
        <v>19200</v>
      </c>
      <c r="Q32" s="6">
        <v>19074</v>
      </c>
      <c r="R32" s="10">
        <v>0.73399999999999999</v>
      </c>
      <c r="S32" s="10">
        <v>0.72899999999999998</v>
      </c>
      <c r="T32" s="6">
        <v>1326</v>
      </c>
      <c r="U32" s="6">
        <v>1326</v>
      </c>
      <c r="V32" s="10">
        <v>5.0999999999999997E-2</v>
      </c>
      <c r="W32" s="10">
        <v>5.0999999999999997E-2</v>
      </c>
      <c r="X32" s="6">
        <v>3605</v>
      </c>
      <c r="Y32" s="6">
        <v>3930</v>
      </c>
      <c r="Z32" s="10">
        <v>0.13800000000000001</v>
      </c>
      <c r="AA32" s="10">
        <v>0.15</v>
      </c>
      <c r="AB32" s="6">
        <v>26163</v>
      </c>
    </row>
    <row r="33" spans="1:32" x14ac:dyDescent="0.25">
      <c r="A33">
        <v>2001</v>
      </c>
      <c r="B33" s="5">
        <v>27664</v>
      </c>
      <c r="C33" s="149">
        <f t="shared" si="3"/>
        <v>27658</v>
      </c>
      <c r="D33" s="150"/>
      <c r="E33" s="150"/>
      <c r="F33" s="151">
        <f t="shared" si="1"/>
        <v>27658</v>
      </c>
      <c r="K33" t="s">
        <v>51</v>
      </c>
      <c r="L33" s="6">
        <v>2262</v>
      </c>
      <c r="M33" s="6">
        <v>2017</v>
      </c>
      <c r="N33" s="10">
        <v>8.2000000000000003E-2</v>
      </c>
      <c r="O33" s="10">
        <v>7.2999999999999995E-2</v>
      </c>
      <c r="P33" s="6">
        <v>20761</v>
      </c>
      <c r="Q33" s="6">
        <v>20594</v>
      </c>
      <c r="R33" s="10">
        <v>0.751</v>
      </c>
      <c r="S33" s="10">
        <v>0.745</v>
      </c>
      <c r="T33" s="6">
        <v>1496</v>
      </c>
      <c r="U33" s="6">
        <v>1496</v>
      </c>
      <c r="V33" s="10">
        <v>5.3999999999999999E-2</v>
      </c>
      <c r="W33" s="10">
        <v>5.3999999999999999E-2</v>
      </c>
      <c r="X33" s="6">
        <v>3139</v>
      </c>
      <c r="Y33" s="6">
        <v>3551</v>
      </c>
      <c r="Z33" s="10">
        <v>0.113</v>
      </c>
      <c r="AA33" s="10">
        <v>0.128</v>
      </c>
      <c r="AB33" s="6">
        <v>27658</v>
      </c>
    </row>
    <row r="34" spans="1:32" x14ac:dyDescent="0.25">
      <c r="A34">
        <v>2002</v>
      </c>
      <c r="B34" s="5">
        <v>29921</v>
      </c>
      <c r="C34" s="149">
        <f t="shared" si="3"/>
        <v>28369</v>
      </c>
      <c r="D34" s="150"/>
      <c r="E34" s="150"/>
      <c r="F34" s="151">
        <f t="shared" si="1"/>
        <v>28369</v>
      </c>
      <c r="K34" t="s">
        <v>52</v>
      </c>
      <c r="L34" s="6">
        <v>2380</v>
      </c>
      <c r="M34" s="6">
        <v>2112</v>
      </c>
      <c r="N34" s="10">
        <v>8.4000000000000005E-2</v>
      </c>
      <c r="O34" s="10">
        <v>7.3999999999999996E-2</v>
      </c>
      <c r="P34" s="6">
        <v>21971</v>
      </c>
      <c r="Q34" s="6">
        <v>21809</v>
      </c>
      <c r="R34" s="10">
        <v>0.77400000000000002</v>
      </c>
      <c r="S34" s="10">
        <v>0.76900000000000002</v>
      </c>
      <c r="T34" s="6">
        <v>1624</v>
      </c>
      <c r="U34" s="6">
        <v>1624</v>
      </c>
      <c r="V34" s="10">
        <v>5.7000000000000002E-2</v>
      </c>
      <c r="W34" s="10">
        <v>5.7000000000000002E-2</v>
      </c>
      <c r="X34" s="6">
        <v>2394</v>
      </c>
      <c r="Y34" s="6">
        <v>2824</v>
      </c>
      <c r="Z34" s="10">
        <v>8.4000000000000005E-2</v>
      </c>
      <c r="AA34" s="10">
        <v>0.1</v>
      </c>
      <c r="AB34" s="6">
        <v>28369</v>
      </c>
    </row>
    <row r="35" spans="1:32" x14ac:dyDescent="0.25">
      <c r="A35">
        <v>2003</v>
      </c>
      <c r="B35" s="5">
        <v>29878</v>
      </c>
      <c r="C35" s="149">
        <f t="shared" si="3"/>
        <v>28437</v>
      </c>
      <c r="D35" s="150"/>
      <c r="E35" s="150"/>
      <c r="F35" s="151">
        <f t="shared" si="1"/>
        <v>28437</v>
      </c>
      <c r="K35" t="s">
        <v>53</v>
      </c>
      <c r="L35" s="6">
        <v>2534</v>
      </c>
      <c r="M35" s="6">
        <v>2220</v>
      </c>
      <c r="N35" s="10">
        <v>8.8999999999999996E-2</v>
      </c>
      <c r="O35" s="10">
        <v>7.8E-2</v>
      </c>
      <c r="P35" s="6">
        <v>22151</v>
      </c>
      <c r="Q35" s="6">
        <v>21977</v>
      </c>
      <c r="R35" s="10">
        <v>0.77900000000000003</v>
      </c>
      <c r="S35" s="10">
        <v>0.77300000000000002</v>
      </c>
      <c r="T35" s="6">
        <v>1609</v>
      </c>
      <c r="U35" s="6">
        <v>1609</v>
      </c>
      <c r="V35" s="10">
        <v>5.7000000000000002E-2</v>
      </c>
      <c r="W35" s="10">
        <v>5.7000000000000002E-2</v>
      </c>
      <c r="X35" s="6">
        <v>2143</v>
      </c>
      <c r="Y35" s="6">
        <v>2631</v>
      </c>
      <c r="Z35" s="10">
        <v>7.4999999999999997E-2</v>
      </c>
      <c r="AA35" s="10">
        <v>9.2999999999999999E-2</v>
      </c>
      <c r="AB35" s="6">
        <v>28437</v>
      </c>
    </row>
    <row r="36" spans="1:32" x14ac:dyDescent="0.25">
      <c r="A36">
        <v>2004</v>
      </c>
      <c r="B36" s="5">
        <v>30479</v>
      </c>
      <c r="C36" s="149">
        <f t="shared" si="3"/>
        <v>28933</v>
      </c>
      <c r="D36" s="150"/>
      <c r="E36" s="150"/>
      <c r="F36" s="151">
        <f t="shared" si="1"/>
        <v>28933</v>
      </c>
      <c r="K36" t="s">
        <v>54</v>
      </c>
      <c r="L36" s="6">
        <v>2700</v>
      </c>
      <c r="M36" s="6">
        <v>2340</v>
      </c>
      <c r="N36" s="10">
        <v>9.2999999999999999E-2</v>
      </c>
      <c r="O36" s="10">
        <v>8.1000000000000003E-2</v>
      </c>
      <c r="P36" s="6">
        <v>22554</v>
      </c>
      <c r="Q36" s="6">
        <v>22364</v>
      </c>
      <c r="R36" s="10">
        <v>0.78</v>
      </c>
      <c r="S36" s="10">
        <v>0.77300000000000002</v>
      </c>
      <c r="T36" s="6">
        <v>1517</v>
      </c>
      <c r="U36" s="6">
        <v>1517</v>
      </c>
      <c r="V36" s="10">
        <v>5.1999999999999998E-2</v>
      </c>
      <c r="W36" s="10">
        <v>5.1999999999999998E-2</v>
      </c>
      <c r="X36" s="6">
        <v>2162</v>
      </c>
      <c r="Y36" s="6">
        <v>2712</v>
      </c>
      <c r="Z36" s="10">
        <v>7.4999999999999997E-2</v>
      </c>
      <c r="AA36" s="10">
        <v>9.4E-2</v>
      </c>
      <c r="AB36" s="6">
        <v>28933</v>
      </c>
    </row>
    <row r="37" spans="1:32" x14ac:dyDescent="0.25">
      <c r="A37">
        <v>2005</v>
      </c>
      <c r="B37" s="5">
        <v>30558</v>
      </c>
      <c r="C37" s="149">
        <f t="shared" si="3"/>
        <v>29012</v>
      </c>
      <c r="D37" s="150"/>
      <c r="E37" s="150"/>
      <c r="F37" s="151">
        <f t="shared" si="1"/>
        <v>29012</v>
      </c>
      <c r="K37" t="s">
        <v>55</v>
      </c>
      <c r="L37" s="6">
        <v>2880</v>
      </c>
      <c r="M37" s="6">
        <v>2451</v>
      </c>
      <c r="N37" s="10">
        <v>9.9000000000000005E-2</v>
      </c>
      <c r="O37" s="10">
        <v>8.4000000000000005E-2</v>
      </c>
      <c r="P37" s="6">
        <v>22986</v>
      </c>
      <c r="Q37" s="6">
        <v>22750</v>
      </c>
      <c r="R37" s="10">
        <v>0.79200000000000004</v>
      </c>
      <c r="S37" s="10">
        <v>0.78400000000000003</v>
      </c>
      <c r="T37" s="6">
        <v>1478</v>
      </c>
      <c r="U37" s="6">
        <v>1478</v>
      </c>
      <c r="V37" s="10">
        <v>5.0999999999999997E-2</v>
      </c>
      <c r="W37" s="10">
        <v>5.0999999999999997E-2</v>
      </c>
      <c r="X37" s="6">
        <v>1668</v>
      </c>
      <c r="Y37" s="6">
        <v>2333</v>
      </c>
      <c r="Z37" s="10">
        <v>5.7000000000000002E-2</v>
      </c>
      <c r="AA37" s="10">
        <v>0.08</v>
      </c>
      <c r="AB37" s="6">
        <v>29012</v>
      </c>
    </row>
    <row r="38" spans="1:32" x14ac:dyDescent="0.25">
      <c r="A38">
        <v>2006</v>
      </c>
      <c r="B38" s="5">
        <v>30511</v>
      </c>
      <c r="C38" s="149">
        <f t="shared" si="3"/>
        <v>28619</v>
      </c>
      <c r="D38" s="150"/>
      <c r="E38" s="150"/>
      <c r="F38" s="151">
        <f t="shared" si="1"/>
        <v>28619</v>
      </c>
      <c r="K38" t="s">
        <v>56</v>
      </c>
      <c r="L38" s="6">
        <v>3097</v>
      </c>
      <c r="M38" s="6">
        <v>2631</v>
      </c>
      <c r="N38" s="10">
        <v>0.108</v>
      </c>
      <c r="O38" s="10">
        <v>9.1999999999999998E-2</v>
      </c>
      <c r="P38" s="6">
        <v>22519</v>
      </c>
      <c r="Q38" s="6">
        <v>22261</v>
      </c>
      <c r="R38" s="10">
        <v>0.78700000000000003</v>
      </c>
      <c r="S38" s="10">
        <v>0.77800000000000002</v>
      </c>
      <c r="T38" s="6">
        <v>1498</v>
      </c>
      <c r="U38" s="6">
        <v>1498</v>
      </c>
      <c r="V38" s="10">
        <v>5.1999999999999998E-2</v>
      </c>
      <c r="W38" s="10">
        <v>5.1999999999999998E-2</v>
      </c>
      <c r="X38" s="6">
        <v>1505</v>
      </c>
      <c r="Y38" s="6">
        <v>2229</v>
      </c>
      <c r="Z38" s="10">
        <v>5.2999999999999999E-2</v>
      </c>
      <c r="AA38" s="10">
        <v>7.8E-2</v>
      </c>
      <c r="AB38" s="6">
        <v>28619</v>
      </c>
    </row>
    <row r="39" spans="1:32" x14ac:dyDescent="0.25">
      <c r="A39">
        <v>2007</v>
      </c>
      <c r="B39" s="5">
        <v>29797</v>
      </c>
      <c r="C39" s="149">
        <f t="shared" si="3"/>
        <v>28025</v>
      </c>
      <c r="D39" s="150"/>
      <c r="E39" s="150"/>
      <c r="F39" s="151">
        <f t="shared" si="1"/>
        <v>28025</v>
      </c>
      <c r="K39" t="s">
        <v>57</v>
      </c>
      <c r="L39" s="6">
        <v>3168</v>
      </c>
      <c r="M39" s="6">
        <v>2675</v>
      </c>
      <c r="N39" s="10">
        <v>0.113</v>
      </c>
      <c r="O39" s="10">
        <v>9.5000000000000001E-2</v>
      </c>
      <c r="P39" s="6">
        <v>21610</v>
      </c>
      <c r="Q39" s="6">
        <v>21351</v>
      </c>
      <c r="R39" s="10">
        <v>0.77100000000000002</v>
      </c>
      <c r="S39" s="10">
        <v>0.76200000000000001</v>
      </c>
      <c r="T39" s="6">
        <v>1563</v>
      </c>
      <c r="U39" s="6">
        <v>1563</v>
      </c>
      <c r="V39" s="10">
        <v>5.6000000000000001E-2</v>
      </c>
      <c r="W39" s="10">
        <v>5.6000000000000001E-2</v>
      </c>
      <c r="X39" s="6">
        <v>1684</v>
      </c>
      <c r="Y39" s="6">
        <v>2436</v>
      </c>
      <c r="Z39" s="10">
        <v>0.06</v>
      </c>
      <c r="AA39" s="10">
        <v>8.6999999999999994E-2</v>
      </c>
      <c r="AB39" s="6">
        <v>28025</v>
      </c>
    </row>
    <row r="40" spans="1:32" x14ac:dyDescent="0.25">
      <c r="A40">
        <v>2008</v>
      </c>
      <c r="B40" s="5">
        <f>I22+H28-I28</f>
        <v>29076</v>
      </c>
      <c r="C40" s="149">
        <f>AB40</f>
        <v>28211</v>
      </c>
      <c r="D40" s="150"/>
      <c r="E40" s="150"/>
      <c r="F40" s="151">
        <f>C40</f>
        <v>28211</v>
      </c>
      <c r="K40" t="s">
        <v>58</v>
      </c>
      <c r="L40" s="6">
        <v>3314</v>
      </c>
      <c r="M40" s="6">
        <v>2816</v>
      </c>
      <c r="N40" s="10">
        <v>0.11700000000000001</v>
      </c>
      <c r="O40" s="10">
        <v>0.1</v>
      </c>
      <c r="P40" s="6">
        <v>21568</v>
      </c>
      <c r="Q40" s="6">
        <v>21340</v>
      </c>
      <c r="R40" s="10">
        <v>0.76500000000000001</v>
      </c>
      <c r="S40" s="10">
        <v>0.75600000000000001</v>
      </c>
      <c r="T40" s="6">
        <v>1662</v>
      </c>
      <c r="U40" s="6">
        <v>1662</v>
      </c>
      <c r="V40" s="10">
        <v>5.8999999999999997E-2</v>
      </c>
      <c r="W40" s="10">
        <v>5.8999999999999997E-2</v>
      </c>
      <c r="X40" s="6">
        <v>1667</v>
      </c>
      <c r="Y40" s="6">
        <v>2393</v>
      </c>
      <c r="Z40" s="10">
        <v>5.8999999999999997E-2</v>
      </c>
      <c r="AA40" s="10">
        <v>8.5000000000000006E-2</v>
      </c>
      <c r="AB40" s="6">
        <v>28211</v>
      </c>
    </row>
    <row r="41" spans="1:32" x14ac:dyDescent="0.25">
      <c r="A41">
        <v>2009</v>
      </c>
      <c r="B41" s="5">
        <f>I23+H28-I28</f>
        <v>30222</v>
      </c>
      <c r="C41" s="5">
        <f>AF41</f>
        <v>29284</v>
      </c>
      <c r="F41" s="148">
        <v>30110</v>
      </c>
      <c r="G41" s="11">
        <f t="shared" ref="G41:G81" si="4">F41-F40</f>
        <v>1899</v>
      </c>
      <c r="K41" t="s">
        <v>59</v>
      </c>
      <c r="L41" s="6">
        <v>3462</v>
      </c>
      <c r="M41" s="6">
        <v>2963</v>
      </c>
      <c r="N41" s="10">
        <v>0.11799999999999999</v>
      </c>
      <c r="O41" s="10">
        <v>0.10100000000000001</v>
      </c>
      <c r="P41" s="6">
        <v>21881</v>
      </c>
      <c r="Q41" s="6">
        <v>21671</v>
      </c>
      <c r="R41" s="10">
        <v>0.747</v>
      </c>
      <c r="S41" s="10">
        <v>0.74</v>
      </c>
      <c r="T41">
        <v>177</v>
      </c>
      <c r="U41">
        <v>170</v>
      </c>
      <c r="V41" s="10">
        <v>6.0000000000000001E-3</v>
      </c>
      <c r="W41" s="10">
        <v>6.0000000000000001E-3</v>
      </c>
      <c r="X41" s="6">
        <v>1846</v>
      </c>
      <c r="Y41" s="6">
        <v>1846</v>
      </c>
      <c r="Z41" s="10">
        <v>6.3E-2</v>
      </c>
      <c r="AA41" s="10">
        <v>6.3E-2</v>
      </c>
      <c r="AB41" s="6">
        <v>1918</v>
      </c>
      <c r="AC41" s="6">
        <v>2634</v>
      </c>
      <c r="AD41" s="10">
        <v>6.5000000000000002E-2</v>
      </c>
      <c r="AE41" s="10">
        <v>0.09</v>
      </c>
      <c r="AF41" s="6">
        <v>29284</v>
      </c>
    </row>
    <row r="42" spans="1:32" x14ac:dyDescent="0.25">
      <c r="A42">
        <v>2010</v>
      </c>
      <c r="B42" s="5">
        <f>H24</f>
        <v>32671</v>
      </c>
      <c r="C42" s="5">
        <f>AF42</f>
        <v>30819</v>
      </c>
      <c r="F42" s="148">
        <v>31643</v>
      </c>
      <c r="G42" s="11">
        <f t="shared" si="4"/>
        <v>1533</v>
      </c>
      <c r="K42" t="s">
        <v>60</v>
      </c>
      <c r="L42" s="6">
        <v>3826</v>
      </c>
      <c r="M42" s="6">
        <v>3240</v>
      </c>
      <c r="N42" s="10">
        <v>0.124</v>
      </c>
      <c r="O42" s="10">
        <v>0.105</v>
      </c>
      <c r="P42" s="6">
        <v>22965</v>
      </c>
      <c r="Q42" s="6">
        <v>22717</v>
      </c>
      <c r="R42" s="10">
        <v>0.745</v>
      </c>
      <c r="S42" s="10">
        <v>0.73699999999999999</v>
      </c>
      <c r="T42">
        <v>416</v>
      </c>
      <c r="U42">
        <v>407</v>
      </c>
      <c r="V42" s="10">
        <v>1.2999999999999999E-2</v>
      </c>
      <c r="W42" s="10">
        <v>1.2999999999999999E-2</v>
      </c>
      <c r="X42" s="6">
        <v>1934</v>
      </c>
      <c r="Y42" s="6">
        <v>1934</v>
      </c>
      <c r="Z42" s="10">
        <v>6.3E-2</v>
      </c>
      <c r="AA42" s="10">
        <v>6.3E-2</v>
      </c>
      <c r="AB42" s="6">
        <v>1678</v>
      </c>
      <c r="AC42" s="6">
        <v>2521</v>
      </c>
      <c r="AD42" s="10">
        <v>5.3999999999999999E-2</v>
      </c>
      <c r="AE42" s="10">
        <v>8.2000000000000003E-2</v>
      </c>
      <c r="AF42" s="6">
        <v>30819</v>
      </c>
    </row>
    <row r="43" spans="1:32" x14ac:dyDescent="0.25">
      <c r="A43">
        <v>2011</v>
      </c>
      <c r="B43" s="5">
        <f>H25</f>
        <v>31673</v>
      </c>
      <c r="C43" s="5">
        <f>AF43</f>
        <v>31660</v>
      </c>
      <c r="F43" s="148">
        <v>32722</v>
      </c>
      <c r="G43" s="11">
        <f t="shared" si="4"/>
        <v>1079</v>
      </c>
      <c r="K43" t="s">
        <v>61</v>
      </c>
      <c r="L43" s="6">
        <v>4247</v>
      </c>
      <c r="M43" s="6">
        <v>3574</v>
      </c>
      <c r="N43" s="10">
        <v>0.13400000000000001</v>
      </c>
      <c r="O43" s="10">
        <v>0.113</v>
      </c>
      <c r="P43" s="6">
        <v>23179</v>
      </c>
      <c r="Q43" s="6">
        <v>22920</v>
      </c>
      <c r="R43" s="10">
        <v>0.73199999999999998</v>
      </c>
      <c r="S43" s="10">
        <v>0.72399999999999998</v>
      </c>
      <c r="T43">
        <v>596</v>
      </c>
      <c r="U43">
        <v>583</v>
      </c>
      <c r="V43" s="10">
        <v>1.9E-2</v>
      </c>
      <c r="W43" s="10">
        <v>1.7999999999999999E-2</v>
      </c>
      <c r="X43" s="6">
        <v>2295</v>
      </c>
      <c r="Y43" s="6">
        <v>2295</v>
      </c>
      <c r="Z43" s="10">
        <v>7.1999999999999995E-2</v>
      </c>
      <c r="AA43" s="10">
        <v>7.1999999999999995E-2</v>
      </c>
      <c r="AB43" s="6">
        <v>1343</v>
      </c>
      <c r="AC43" s="6">
        <v>2288</v>
      </c>
      <c r="AD43" s="10">
        <v>4.2000000000000003E-2</v>
      </c>
      <c r="AE43" s="10">
        <v>7.1999999999999995E-2</v>
      </c>
      <c r="AF43" s="6">
        <v>31660</v>
      </c>
    </row>
    <row r="44" spans="1:32" x14ac:dyDescent="0.25">
      <c r="A44">
        <v>2012</v>
      </c>
      <c r="B44" s="12">
        <f>C44</f>
        <v>32388</v>
      </c>
      <c r="C44" s="5">
        <f>AF44</f>
        <v>32388</v>
      </c>
      <c r="F44" s="148">
        <v>33291</v>
      </c>
      <c r="G44" s="11">
        <f t="shared" si="4"/>
        <v>569</v>
      </c>
      <c r="K44" t="s">
        <v>62</v>
      </c>
      <c r="L44" s="6">
        <v>4638</v>
      </c>
      <c r="M44" s="6">
        <v>3861</v>
      </c>
      <c r="N44" s="10">
        <v>0.14299999999999999</v>
      </c>
      <c r="O44" s="10">
        <v>0.11899999999999999</v>
      </c>
      <c r="P44" s="6">
        <v>23034</v>
      </c>
      <c r="Q44" s="6">
        <v>22785</v>
      </c>
      <c r="R44" s="10">
        <v>0.71099999999999997</v>
      </c>
      <c r="S44" s="10">
        <v>0.70399999999999996</v>
      </c>
      <c r="T44">
        <v>739</v>
      </c>
      <c r="U44">
        <v>722</v>
      </c>
      <c r="V44" s="10">
        <v>2.3E-2</v>
      </c>
      <c r="W44" s="10">
        <v>2.1999999999999999E-2</v>
      </c>
      <c r="X44" s="6">
        <v>2759</v>
      </c>
      <c r="Y44" s="6">
        <v>2759</v>
      </c>
      <c r="Z44" s="10">
        <v>8.5000000000000006E-2</v>
      </c>
      <c r="AA44" s="10">
        <v>8.5000000000000006E-2</v>
      </c>
      <c r="AB44" s="6">
        <v>1218</v>
      </c>
      <c r="AC44" s="6">
        <v>2260</v>
      </c>
      <c r="AD44" s="10">
        <v>3.7999999999999999E-2</v>
      </c>
      <c r="AE44" s="10">
        <v>7.0000000000000007E-2</v>
      </c>
      <c r="AF44" s="6">
        <v>32388</v>
      </c>
    </row>
    <row r="45" spans="1:32" x14ac:dyDescent="0.25">
      <c r="A45" s="8">
        <v>2013</v>
      </c>
      <c r="B45" s="8">
        <v>34770</v>
      </c>
      <c r="C45" s="5">
        <f>B45</f>
        <v>34770</v>
      </c>
      <c r="F45" s="148">
        <v>36226</v>
      </c>
      <c r="G45" s="11">
        <f t="shared" si="4"/>
        <v>2935</v>
      </c>
    </row>
    <row r="46" spans="1:32" x14ac:dyDescent="0.25">
      <c r="A46" s="8">
        <v>2014</v>
      </c>
      <c r="B46" s="8">
        <v>35361</v>
      </c>
      <c r="C46" s="5">
        <f t="shared" ref="C46:C53" si="5">B46</f>
        <v>35361</v>
      </c>
      <c r="F46" s="148">
        <v>32003</v>
      </c>
      <c r="G46" s="11">
        <f t="shared" si="4"/>
        <v>-4223</v>
      </c>
    </row>
    <row r="47" spans="1:32" x14ac:dyDescent="0.25">
      <c r="A47" s="8">
        <v>2015</v>
      </c>
      <c r="B47" s="8">
        <v>35856</v>
      </c>
      <c r="C47" s="5">
        <f t="shared" si="5"/>
        <v>35856</v>
      </c>
      <c r="F47" s="148">
        <v>32155</v>
      </c>
      <c r="G47" s="11">
        <f t="shared" si="4"/>
        <v>152</v>
      </c>
    </row>
    <row r="48" spans="1:32" x14ac:dyDescent="0.25">
      <c r="A48" s="8">
        <v>2016</v>
      </c>
      <c r="B48" s="8">
        <v>36287</v>
      </c>
      <c r="C48" s="5">
        <f t="shared" si="5"/>
        <v>36287</v>
      </c>
      <c r="F48" s="148">
        <v>32451</v>
      </c>
      <c r="G48" s="11">
        <f t="shared" si="4"/>
        <v>296</v>
      </c>
    </row>
    <row r="49" spans="1:8" x14ac:dyDescent="0.25">
      <c r="A49" s="8">
        <v>2017</v>
      </c>
      <c r="B49" s="8">
        <v>36650</v>
      </c>
      <c r="C49" s="5">
        <f t="shared" si="5"/>
        <v>36650</v>
      </c>
      <c r="F49" s="148">
        <v>33153</v>
      </c>
      <c r="G49" s="11">
        <f t="shared" si="4"/>
        <v>702</v>
      </c>
    </row>
    <row r="50" spans="1:8" x14ac:dyDescent="0.25">
      <c r="A50" s="8">
        <v>2018</v>
      </c>
      <c r="B50" s="8">
        <v>36943</v>
      </c>
      <c r="C50" s="5">
        <f t="shared" si="5"/>
        <v>36943</v>
      </c>
      <c r="F50">
        <v>34247</v>
      </c>
      <c r="G50" s="11">
        <f t="shared" si="4"/>
        <v>1094</v>
      </c>
    </row>
    <row r="51" spans="1:8" x14ac:dyDescent="0.25">
      <c r="A51" s="8">
        <v>2019</v>
      </c>
      <c r="B51" s="8">
        <v>37164</v>
      </c>
      <c r="C51" s="5">
        <f t="shared" si="5"/>
        <v>37164</v>
      </c>
      <c r="F51">
        <v>35246</v>
      </c>
      <c r="G51" s="11">
        <f t="shared" si="4"/>
        <v>999</v>
      </c>
    </row>
    <row r="52" spans="1:8" x14ac:dyDescent="0.25">
      <c r="A52" s="8">
        <v>2020</v>
      </c>
      <c r="B52" s="8">
        <v>37387</v>
      </c>
      <c r="C52" s="5">
        <f t="shared" si="5"/>
        <v>37387</v>
      </c>
      <c r="F52">
        <v>36078</v>
      </c>
      <c r="G52" s="11">
        <f t="shared" si="4"/>
        <v>832</v>
      </c>
    </row>
    <row r="53" spans="1:8" x14ac:dyDescent="0.25">
      <c r="A53" s="8">
        <v>2021</v>
      </c>
      <c r="B53" s="8">
        <v>37574</v>
      </c>
      <c r="C53" s="5">
        <f t="shared" si="5"/>
        <v>37574</v>
      </c>
      <c r="F53">
        <v>36459</v>
      </c>
      <c r="G53" s="11">
        <f t="shared" si="4"/>
        <v>381</v>
      </c>
    </row>
    <row r="54" spans="1:8" x14ac:dyDescent="0.25">
      <c r="A54" s="8">
        <v>2022</v>
      </c>
      <c r="C54" s="5">
        <f>FORECAST(A54,C$2:C$53,A$2:A$53)</f>
        <v>35210.771493212669</v>
      </c>
      <c r="D54">
        <f>C$53+(C$72-C$53)/(A$72-A$53)*(A54-A$53)</f>
        <v>37722.60886239761</v>
      </c>
      <c r="E54" s="11">
        <f>C$53+C55-C$54</f>
        <v>37862.155382907949</v>
      </c>
      <c r="F54">
        <v>36749</v>
      </c>
      <c r="G54" s="11">
        <f t="shared" si="4"/>
        <v>290</v>
      </c>
      <c r="H54" s="11"/>
    </row>
    <row r="55" spans="1:8" x14ac:dyDescent="0.25">
      <c r="A55" s="8">
        <v>2023</v>
      </c>
      <c r="C55" s="5">
        <f t="shared" ref="C55:C73" si="6">FORECAST(A55,C$2:C$53,A$2:A$53)</f>
        <v>35498.926876120619</v>
      </c>
      <c r="D55">
        <f t="shared" ref="D55:D73" si="7">C$53+(C$72-C$53)/(A$72-A$53)*(A55-A$53)</f>
        <v>37871.21772479522</v>
      </c>
      <c r="E55" s="11">
        <f t="shared" ref="E55:E71" si="8">C$53+C56-C$54</f>
        <v>38150.310765815782</v>
      </c>
      <c r="F55">
        <v>37058</v>
      </c>
      <c r="G55" s="11">
        <f t="shared" si="4"/>
        <v>309</v>
      </c>
      <c r="H55" s="11"/>
    </row>
    <row r="56" spans="1:8" x14ac:dyDescent="0.25">
      <c r="A56" s="8">
        <v>2024</v>
      </c>
      <c r="C56" s="5">
        <f t="shared" si="6"/>
        <v>35787.082259028452</v>
      </c>
      <c r="D56">
        <f t="shared" si="7"/>
        <v>38019.826587192831</v>
      </c>
      <c r="E56" s="11">
        <f>C$53+C57-C$54</f>
        <v>38438.466148723732</v>
      </c>
      <c r="F56">
        <v>37512</v>
      </c>
      <c r="G56" s="11">
        <f t="shared" si="4"/>
        <v>454</v>
      </c>
      <c r="H56" s="11"/>
    </row>
    <row r="57" spans="1:8" x14ac:dyDescent="0.25">
      <c r="A57" s="8">
        <v>2025</v>
      </c>
      <c r="C57" s="5">
        <f t="shared" si="6"/>
        <v>36075.237641936401</v>
      </c>
      <c r="D57">
        <f t="shared" si="7"/>
        <v>38168.435449590441</v>
      </c>
      <c r="E57" s="11">
        <f t="shared" si="8"/>
        <v>38726.621531631565</v>
      </c>
      <c r="F57">
        <v>38075</v>
      </c>
      <c r="G57" s="11">
        <f t="shared" si="4"/>
        <v>563</v>
      </c>
      <c r="H57" s="11"/>
    </row>
    <row r="58" spans="1:8" x14ac:dyDescent="0.25">
      <c r="A58" s="8">
        <v>2026</v>
      </c>
      <c r="C58" s="5">
        <f>FORECAST(A58,C$2:C$53,A$2:A$53)</f>
        <v>36363.393024844234</v>
      </c>
      <c r="D58">
        <f t="shared" si="7"/>
        <v>38317.044311988051</v>
      </c>
      <c r="E58" s="11">
        <f t="shared" si="8"/>
        <v>39014.776914539398</v>
      </c>
      <c r="F58">
        <v>38635</v>
      </c>
      <c r="G58" s="11">
        <f t="shared" si="4"/>
        <v>560</v>
      </c>
      <c r="H58" s="11">
        <v>560</v>
      </c>
    </row>
    <row r="59" spans="1:8" x14ac:dyDescent="0.25">
      <c r="A59" s="8">
        <v>2027</v>
      </c>
      <c r="C59" s="5">
        <f>FORECAST(A59,C$2:C$53,A$2:A$53)</f>
        <v>36651.548407752067</v>
      </c>
      <c r="D59">
        <f t="shared" si="7"/>
        <v>38465.653174385661</v>
      </c>
      <c r="E59" s="11">
        <f t="shared" si="8"/>
        <v>39302.932297447347</v>
      </c>
      <c r="F59" s="11">
        <f>F58+H59</f>
        <v>39146</v>
      </c>
      <c r="G59" s="11">
        <f t="shared" si="4"/>
        <v>511</v>
      </c>
      <c r="H59" s="11">
        <f>H58-49</f>
        <v>511</v>
      </c>
    </row>
    <row r="60" spans="1:8" x14ac:dyDescent="0.25">
      <c r="A60" s="8">
        <v>2028</v>
      </c>
      <c r="C60" s="5">
        <f t="shared" si="6"/>
        <v>36939.703790660016</v>
      </c>
      <c r="D60">
        <f t="shared" si="7"/>
        <v>38614.262036783271</v>
      </c>
      <c r="E60" s="11">
        <f t="shared" si="8"/>
        <v>39591.08768035518</v>
      </c>
      <c r="F60" s="11">
        <f t="shared" ref="F60:F81" si="9">F59+H60</f>
        <v>39608</v>
      </c>
      <c r="G60" s="11">
        <f t="shared" si="4"/>
        <v>462</v>
      </c>
      <c r="H60" s="11">
        <f t="shared" ref="H60:H66" si="10">H59-49</f>
        <v>462</v>
      </c>
    </row>
    <row r="61" spans="1:8" x14ac:dyDescent="0.25">
      <c r="A61" s="8">
        <v>2029</v>
      </c>
      <c r="C61" s="5">
        <f t="shared" si="6"/>
        <v>37227.859173567849</v>
      </c>
      <c r="D61">
        <f t="shared" si="7"/>
        <v>38762.870899180882</v>
      </c>
      <c r="E61" s="11">
        <f t="shared" si="8"/>
        <v>39879.243063263129</v>
      </c>
      <c r="F61" s="11">
        <f t="shared" si="9"/>
        <v>40021</v>
      </c>
      <c r="G61" s="11">
        <f t="shared" si="4"/>
        <v>413</v>
      </c>
      <c r="H61" s="11">
        <f t="shared" si="10"/>
        <v>413</v>
      </c>
    </row>
    <row r="62" spans="1:8" x14ac:dyDescent="0.25">
      <c r="A62" s="8">
        <v>2030</v>
      </c>
      <c r="C62" s="5">
        <f t="shared" si="6"/>
        <v>37516.014556475799</v>
      </c>
      <c r="D62">
        <f t="shared" si="7"/>
        <v>38911.479761578492</v>
      </c>
      <c r="E62" s="11">
        <f t="shared" si="8"/>
        <v>40167.398446170962</v>
      </c>
      <c r="F62" s="11">
        <f t="shared" si="9"/>
        <v>40385</v>
      </c>
      <c r="G62" s="11">
        <f t="shared" si="4"/>
        <v>364</v>
      </c>
      <c r="H62" s="11">
        <f t="shared" si="10"/>
        <v>364</v>
      </c>
    </row>
    <row r="63" spans="1:8" x14ac:dyDescent="0.25">
      <c r="A63" s="8">
        <v>2031</v>
      </c>
      <c r="C63" s="5">
        <f t="shared" si="6"/>
        <v>37804.169939383632</v>
      </c>
      <c r="D63">
        <f t="shared" si="7"/>
        <v>39060.088623976102</v>
      </c>
      <c r="E63" s="11">
        <f t="shared" si="8"/>
        <v>40455.553829078912</v>
      </c>
      <c r="F63" s="11">
        <f t="shared" si="9"/>
        <v>40700</v>
      </c>
      <c r="G63" s="11">
        <f t="shared" si="4"/>
        <v>315</v>
      </c>
      <c r="H63" s="11">
        <f t="shared" si="10"/>
        <v>315</v>
      </c>
    </row>
    <row r="64" spans="1:8" x14ac:dyDescent="0.25">
      <c r="A64" s="8">
        <v>2032</v>
      </c>
      <c r="C64" s="5">
        <f t="shared" si="6"/>
        <v>38092.325322291581</v>
      </c>
      <c r="D64">
        <f t="shared" si="7"/>
        <v>39208.697486373712</v>
      </c>
      <c r="E64" s="11">
        <f t="shared" si="8"/>
        <v>40743.709211986745</v>
      </c>
      <c r="F64" s="11">
        <f t="shared" si="9"/>
        <v>40966</v>
      </c>
      <c r="G64" s="11">
        <f t="shared" si="4"/>
        <v>266</v>
      </c>
      <c r="H64" s="11">
        <f t="shared" si="10"/>
        <v>266</v>
      </c>
    </row>
    <row r="65" spans="1:8" x14ac:dyDescent="0.25">
      <c r="A65" s="8">
        <v>2033</v>
      </c>
      <c r="C65" s="5">
        <f t="shared" si="6"/>
        <v>38380.480705199414</v>
      </c>
      <c r="D65">
        <f t="shared" si="7"/>
        <v>39357.306348771323</v>
      </c>
      <c r="E65" s="11">
        <f t="shared" si="8"/>
        <v>41031.864594894578</v>
      </c>
      <c r="F65" s="11">
        <f t="shared" si="9"/>
        <v>41183</v>
      </c>
      <c r="G65" s="11">
        <f t="shared" si="4"/>
        <v>217</v>
      </c>
      <c r="H65" s="11">
        <f t="shared" si="10"/>
        <v>217</v>
      </c>
    </row>
    <row r="66" spans="1:8" x14ac:dyDescent="0.25">
      <c r="A66" s="8">
        <v>2034</v>
      </c>
      <c r="C66" s="5">
        <f t="shared" si="6"/>
        <v>38668.636088107247</v>
      </c>
      <c r="D66">
        <f t="shared" si="7"/>
        <v>39505.915211168933</v>
      </c>
      <c r="E66" s="11">
        <f t="shared" si="8"/>
        <v>41320.019977802527</v>
      </c>
      <c r="F66" s="11">
        <f t="shared" si="9"/>
        <v>41351</v>
      </c>
      <c r="G66" s="11">
        <f t="shared" si="4"/>
        <v>168</v>
      </c>
      <c r="H66" s="11">
        <f t="shared" si="10"/>
        <v>168</v>
      </c>
    </row>
    <row r="67" spans="1:8" x14ac:dyDescent="0.25">
      <c r="A67" s="8">
        <v>2035</v>
      </c>
      <c r="C67" s="5">
        <f t="shared" si="6"/>
        <v>38956.791471015196</v>
      </c>
      <c r="D67">
        <f t="shared" si="7"/>
        <v>39654.524073566543</v>
      </c>
      <c r="E67" s="11">
        <f t="shared" si="8"/>
        <v>41608.17536071036</v>
      </c>
      <c r="F67" s="11">
        <f t="shared" si="9"/>
        <v>41504</v>
      </c>
      <c r="G67" s="11">
        <f t="shared" si="4"/>
        <v>153</v>
      </c>
      <c r="H67" s="11">
        <f>H66-15</f>
        <v>153</v>
      </c>
    </row>
    <row r="68" spans="1:8" x14ac:dyDescent="0.25">
      <c r="A68" s="8">
        <v>2036</v>
      </c>
      <c r="C68" s="5">
        <f t="shared" si="6"/>
        <v>39244.946853923029</v>
      </c>
      <c r="D68">
        <f t="shared" si="7"/>
        <v>39803.132935964153</v>
      </c>
      <c r="E68" s="11">
        <f t="shared" si="8"/>
        <v>41896.330743618309</v>
      </c>
      <c r="F68" s="11">
        <f t="shared" si="9"/>
        <v>41642</v>
      </c>
      <c r="G68" s="11">
        <f t="shared" si="4"/>
        <v>138</v>
      </c>
      <c r="H68" s="11">
        <f t="shared" ref="H68:H75" si="11">H67-15</f>
        <v>138</v>
      </c>
    </row>
    <row r="69" spans="1:8" x14ac:dyDescent="0.25">
      <c r="A69" s="8">
        <v>2037</v>
      </c>
      <c r="C69" s="5">
        <f t="shared" si="6"/>
        <v>39533.102236830979</v>
      </c>
      <c r="D69">
        <f t="shared" si="7"/>
        <v>39951.741798361763</v>
      </c>
      <c r="E69" s="11">
        <f t="shared" si="8"/>
        <v>42184.486126526142</v>
      </c>
      <c r="F69" s="11">
        <f t="shared" si="9"/>
        <v>41765</v>
      </c>
      <c r="G69" s="11">
        <f t="shared" si="4"/>
        <v>123</v>
      </c>
      <c r="H69" s="11">
        <f t="shared" si="11"/>
        <v>123</v>
      </c>
    </row>
    <row r="70" spans="1:8" x14ac:dyDescent="0.25">
      <c r="A70" s="8">
        <v>2038</v>
      </c>
      <c r="C70" s="5">
        <f t="shared" si="6"/>
        <v>39821.257619738812</v>
      </c>
      <c r="D70">
        <f t="shared" si="7"/>
        <v>40100.350660759374</v>
      </c>
      <c r="E70" s="11">
        <f>C$53+C71-C$54</f>
        <v>42472.641509433975</v>
      </c>
      <c r="F70" s="11">
        <f t="shared" si="9"/>
        <v>41873</v>
      </c>
      <c r="G70" s="11">
        <f t="shared" si="4"/>
        <v>108</v>
      </c>
      <c r="H70" s="11">
        <f t="shared" si="11"/>
        <v>108</v>
      </c>
    </row>
    <row r="71" spans="1:8" x14ac:dyDescent="0.25">
      <c r="A71" s="8">
        <v>2039</v>
      </c>
      <c r="C71" s="5">
        <f t="shared" si="6"/>
        <v>40109.413002646645</v>
      </c>
      <c r="D71">
        <f t="shared" si="7"/>
        <v>40248.959523156984</v>
      </c>
      <c r="E71" s="11">
        <f t="shared" si="8"/>
        <v>42760.796892341925</v>
      </c>
      <c r="F71" s="11">
        <f t="shared" si="9"/>
        <v>41966</v>
      </c>
      <c r="G71" s="11">
        <f t="shared" si="4"/>
        <v>93</v>
      </c>
      <c r="H71" s="11">
        <f t="shared" si="11"/>
        <v>93</v>
      </c>
    </row>
    <row r="72" spans="1:8" x14ac:dyDescent="0.25">
      <c r="A72" s="8">
        <v>2040</v>
      </c>
      <c r="C72" s="5">
        <f t="shared" si="6"/>
        <v>40397.568385554594</v>
      </c>
      <c r="D72">
        <f t="shared" si="7"/>
        <v>40397.568385554594</v>
      </c>
      <c r="E72" s="11">
        <f>C$53+C73-C$54</f>
        <v>43048.952275249758</v>
      </c>
      <c r="F72" s="11">
        <f t="shared" si="9"/>
        <v>42044</v>
      </c>
      <c r="G72" s="11">
        <f t="shared" si="4"/>
        <v>78</v>
      </c>
      <c r="H72" s="11">
        <f t="shared" si="11"/>
        <v>78</v>
      </c>
    </row>
    <row r="73" spans="1:8" x14ac:dyDescent="0.25">
      <c r="A73" s="8">
        <v>2041</v>
      </c>
      <c r="C73" s="5">
        <f t="shared" si="6"/>
        <v>40685.723768462427</v>
      </c>
      <c r="D73">
        <f t="shared" si="7"/>
        <v>40546.177247952204</v>
      </c>
      <c r="F73" s="11">
        <f t="shared" si="9"/>
        <v>42107</v>
      </c>
      <c r="G73" s="11">
        <f t="shared" si="4"/>
        <v>63</v>
      </c>
      <c r="H73" s="11">
        <f t="shared" si="11"/>
        <v>63</v>
      </c>
    </row>
    <row r="74" spans="1:8" x14ac:dyDescent="0.25">
      <c r="A74" s="8">
        <v>2042</v>
      </c>
      <c r="F74" s="11">
        <f t="shared" si="9"/>
        <v>42155</v>
      </c>
      <c r="G74" s="11">
        <f t="shared" si="4"/>
        <v>48</v>
      </c>
      <c r="H74" s="11">
        <f t="shared" si="11"/>
        <v>48</v>
      </c>
    </row>
    <row r="75" spans="1:8" x14ac:dyDescent="0.25">
      <c r="A75" s="8">
        <v>2043</v>
      </c>
      <c r="F75" s="11">
        <f t="shared" si="9"/>
        <v>42188</v>
      </c>
      <c r="G75" s="11">
        <f t="shared" si="4"/>
        <v>33</v>
      </c>
      <c r="H75" s="11">
        <f t="shared" si="11"/>
        <v>33</v>
      </c>
    </row>
    <row r="76" spans="1:8" x14ac:dyDescent="0.25">
      <c r="A76" s="8">
        <v>2044</v>
      </c>
      <c r="F76" s="11">
        <f t="shared" si="9"/>
        <v>42216</v>
      </c>
      <c r="G76" s="11">
        <f t="shared" si="4"/>
        <v>28</v>
      </c>
      <c r="H76" s="11">
        <f>H75-5</f>
        <v>28</v>
      </c>
    </row>
    <row r="77" spans="1:8" x14ac:dyDescent="0.25">
      <c r="A77" s="8">
        <v>2045</v>
      </c>
      <c r="F77" s="11">
        <f t="shared" si="9"/>
        <v>42239</v>
      </c>
      <c r="G77" s="11">
        <f t="shared" si="4"/>
        <v>23</v>
      </c>
      <c r="H77" s="11">
        <f t="shared" ref="H77:H81" si="12">H76-5</f>
        <v>23</v>
      </c>
    </row>
    <row r="78" spans="1:8" x14ac:dyDescent="0.25">
      <c r="A78" s="8">
        <v>2046</v>
      </c>
      <c r="F78" s="11">
        <f t="shared" si="9"/>
        <v>42257</v>
      </c>
      <c r="G78" s="11">
        <f t="shared" si="4"/>
        <v>18</v>
      </c>
      <c r="H78" s="11">
        <f t="shared" si="12"/>
        <v>18</v>
      </c>
    </row>
    <row r="79" spans="1:8" x14ac:dyDescent="0.25">
      <c r="A79" s="8">
        <v>2047</v>
      </c>
      <c r="F79" s="11">
        <f t="shared" si="9"/>
        <v>42270</v>
      </c>
      <c r="G79" s="11">
        <f t="shared" si="4"/>
        <v>13</v>
      </c>
      <c r="H79" s="11">
        <f t="shared" si="12"/>
        <v>13</v>
      </c>
    </row>
    <row r="80" spans="1:8" x14ac:dyDescent="0.25">
      <c r="A80" s="8">
        <v>2048</v>
      </c>
      <c r="F80" s="11">
        <f t="shared" si="9"/>
        <v>42278</v>
      </c>
      <c r="G80" s="11">
        <f t="shared" si="4"/>
        <v>8</v>
      </c>
      <c r="H80" s="11">
        <f t="shared" si="12"/>
        <v>8</v>
      </c>
    </row>
    <row r="81" spans="1:8" x14ac:dyDescent="0.25">
      <c r="A81" s="8">
        <v>2049</v>
      </c>
      <c r="F81" s="11">
        <f t="shared" si="9"/>
        <v>42281</v>
      </c>
      <c r="G81" s="11">
        <f t="shared" si="4"/>
        <v>3</v>
      </c>
      <c r="H81" s="11">
        <f t="shared" si="12"/>
        <v>3</v>
      </c>
    </row>
    <row r="82" spans="1:8" x14ac:dyDescent="0.25">
      <c r="A82" s="8">
        <v>2050</v>
      </c>
      <c r="F82" s="11">
        <f>F81+H82</f>
        <v>42281</v>
      </c>
      <c r="G82" s="11">
        <f>F82-F81</f>
        <v>0</v>
      </c>
      <c r="H82" s="11">
        <v>0</v>
      </c>
    </row>
    <row r="83" spans="1:8" x14ac:dyDescent="0.25">
      <c r="G83" s="11">
        <f>SUM(G59:G82)</f>
        <v>3646</v>
      </c>
      <c r="H83" s="11">
        <f>SUM(H59:H82)</f>
        <v>3646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J248"/>
  <sheetViews>
    <sheetView topLeftCell="A103" workbookViewId="0">
      <selection activeCell="M151" sqref="M151"/>
    </sheetView>
  </sheetViews>
  <sheetFormatPr defaultRowHeight="15" x14ac:dyDescent="0.25"/>
  <cols>
    <col min="2" max="2" width="10.5703125" bestFit="1" customWidth="1"/>
    <col min="3" max="3" width="12.7109375" style="2" bestFit="1" customWidth="1"/>
    <col min="14" max="14" width="6.85546875" customWidth="1"/>
    <col min="15" max="15" width="13.85546875" customWidth="1"/>
    <col min="16" max="16" width="23.85546875" customWidth="1"/>
    <col min="17" max="17" width="10.5703125" bestFit="1" customWidth="1"/>
  </cols>
  <sheetData>
    <row r="1" spans="1:9" x14ac:dyDescent="0.25">
      <c r="A1" t="s">
        <v>13</v>
      </c>
      <c r="B1" t="s">
        <v>14</v>
      </c>
      <c r="C1" s="2" t="s">
        <v>64</v>
      </c>
      <c r="H1">
        <v>1889</v>
      </c>
      <c r="I1">
        <f>H2</f>
        <v>186</v>
      </c>
    </row>
    <row r="2" spans="1:9" x14ac:dyDescent="0.25">
      <c r="A2">
        <v>1889</v>
      </c>
      <c r="C2" s="2">
        <f>VLOOKUP(A2,H:I,2,FALSE)</f>
        <v>186</v>
      </c>
      <c r="H2">
        <v>186</v>
      </c>
    </row>
    <row r="3" spans="1:9" x14ac:dyDescent="0.25">
      <c r="A3">
        <v>1890</v>
      </c>
      <c r="C3" s="2">
        <f t="shared" ref="C3:C66" si="0">VLOOKUP(A3,H:I,2,FALSE)</f>
        <v>0</v>
      </c>
      <c r="H3">
        <v>1920</v>
      </c>
      <c r="I3">
        <f t="shared" ref="I3" si="1">H4</f>
        <v>738</v>
      </c>
    </row>
    <row r="4" spans="1:9" x14ac:dyDescent="0.25">
      <c r="A4">
        <v>1891</v>
      </c>
      <c r="C4" s="2">
        <f t="shared" si="0"/>
        <v>303</v>
      </c>
      <c r="H4">
        <v>738</v>
      </c>
    </row>
    <row r="5" spans="1:9" x14ac:dyDescent="0.25">
      <c r="A5">
        <v>1892</v>
      </c>
      <c r="C5" s="2">
        <f t="shared" si="0"/>
        <v>301</v>
      </c>
      <c r="H5">
        <v>1951</v>
      </c>
      <c r="I5">
        <f t="shared" ref="I5" si="2">H6</f>
        <v>1302</v>
      </c>
    </row>
    <row r="6" spans="1:9" x14ac:dyDescent="0.25">
      <c r="A6">
        <v>1893</v>
      </c>
      <c r="C6" s="2">
        <f t="shared" si="0"/>
        <v>306</v>
      </c>
      <c r="H6" s="6">
        <v>1302</v>
      </c>
    </row>
    <row r="7" spans="1:9" x14ac:dyDescent="0.25">
      <c r="A7">
        <v>1894</v>
      </c>
      <c r="C7" s="2">
        <f t="shared" si="0"/>
        <v>140</v>
      </c>
      <c r="H7">
        <v>1982</v>
      </c>
      <c r="I7">
        <f t="shared" ref="I7" si="3">H8</f>
        <v>10361</v>
      </c>
    </row>
    <row r="8" spans="1:9" x14ac:dyDescent="0.25">
      <c r="A8">
        <v>1895</v>
      </c>
      <c r="C8" s="2">
        <f t="shared" si="0"/>
        <v>173</v>
      </c>
      <c r="H8" s="6">
        <v>10361</v>
      </c>
    </row>
    <row r="9" spans="1:9" x14ac:dyDescent="0.25">
      <c r="A9">
        <v>1896</v>
      </c>
      <c r="C9" s="2">
        <f t="shared" si="0"/>
        <v>185</v>
      </c>
      <c r="H9">
        <v>1890</v>
      </c>
      <c r="I9">
        <f t="shared" ref="I9" si="4">H10</f>
        <v>0</v>
      </c>
    </row>
    <row r="10" spans="1:9" x14ac:dyDescent="0.25">
      <c r="A10">
        <v>1897</v>
      </c>
      <c r="C10" s="2">
        <f t="shared" si="0"/>
        <v>206</v>
      </c>
      <c r="H10">
        <v>0</v>
      </c>
    </row>
    <row r="11" spans="1:9" x14ac:dyDescent="0.25">
      <c r="A11">
        <v>1898</v>
      </c>
      <c r="C11" s="2">
        <f t="shared" si="0"/>
        <v>206</v>
      </c>
      <c r="H11">
        <v>1921</v>
      </c>
      <c r="I11">
        <f t="shared" ref="I11" si="5">H12</f>
        <v>613</v>
      </c>
    </row>
    <row r="12" spans="1:9" x14ac:dyDescent="0.25">
      <c r="A12">
        <v>1899</v>
      </c>
      <c r="C12" s="2">
        <f t="shared" si="0"/>
        <v>249</v>
      </c>
      <c r="H12">
        <v>613</v>
      </c>
    </row>
    <row r="13" spans="1:9" x14ac:dyDescent="0.25">
      <c r="A13">
        <v>1900</v>
      </c>
      <c r="C13" s="2">
        <f t="shared" si="0"/>
        <v>211</v>
      </c>
      <c r="H13">
        <v>1952</v>
      </c>
      <c r="I13">
        <f t="shared" ref="I13" si="6">H14</f>
        <v>1280</v>
      </c>
    </row>
    <row r="14" spans="1:9" x14ac:dyDescent="0.25">
      <c r="A14">
        <v>1901</v>
      </c>
      <c r="C14" s="2">
        <f t="shared" si="0"/>
        <v>290</v>
      </c>
      <c r="H14" s="6">
        <v>1280</v>
      </c>
    </row>
    <row r="15" spans="1:9" x14ac:dyDescent="0.25">
      <c r="A15">
        <v>1902</v>
      </c>
      <c r="C15" s="2">
        <f t="shared" si="0"/>
        <v>292</v>
      </c>
      <c r="H15">
        <v>1983</v>
      </c>
      <c r="I15">
        <f t="shared" ref="I15" si="7">H16</f>
        <v>10314</v>
      </c>
    </row>
    <row r="16" spans="1:9" x14ac:dyDescent="0.25">
      <c r="A16">
        <v>1903</v>
      </c>
      <c r="C16" s="2">
        <f t="shared" si="0"/>
        <v>241</v>
      </c>
      <c r="H16" s="6">
        <v>10314</v>
      </c>
    </row>
    <row r="17" spans="1:16" x14ac:dyDescent="0.25">
      <c r="A17">
        <v>1904</v>
      </c>
      <c r="C17" s="2">
        <f t="shared" si="0"/>
        <v>279</v>
      </c>
      <c r="H17">
        <v>1891</v>
      </c>
      <c r="I17">
        <f t="shared" ref="I17" si="8">H18</f>
        <v>303</v>
      </c>
    </row>
    <row r="18" spans="1:16" x14ac:dyDescent="0.25">
      <c r="A18">
        <v>1905</v>
      </c>
      <c r="C18" s="2">
        <f t="shared" si="0"/>
        <v>289</v>
      </c>
      <c r="H18">
        <v>303</v>
      </c>
    </row>
    <row r="19" spans="1:16" x14ac:dyDescent="0.25">
      <c r="A19">
        <v>1906</v>
      </c>
      <c r="C19" s="2">
        <f t="shared" si="0"/>
        <v>347</v>
      </c>
      <c r="H19">
        <v>1922</v>
      </c>
      <c r="I19">
        <f t="shared" ref="I19" si="9">H20</f>
        <v>690</v>
      </c>
    </row>
    <row r="20" spans="1:16" x14ac:dyDescent="0.25">
      <c r="A20">
        <v>1907</v>
      </c>
      <c r="C20" s="2">
        <f t="shared" si="0"/>
        <v>453</v>
      </c>
      <c r="H20">
        <v>690</v>
      </c>
    </row>
    <row r="21" spans="1:16" x14ac:dyDescent="0.25">
      <c r="A21">
        <v>1908</v>
      </c>
      <c r="C21" s="2">
        <f t="shared" si="0"/>
        <v>437</v>
      </c>
      <c r="H21">
        <v>1953</v>
      </c>
      <c r="I21">
        <f t="shared" ref="I21" si="10">H22</f>
        <v>1411</v>
      </c>
    </row>
    <row r="22" spans="1:16" x14ac:dyDescent="0.25">
      <c r="A22">
        <v>1909</v>
      </c>
      <c r="C22" s="2">
        <f t="shared" si="0"/>
        <v>465</v>
      </c>
      <c r="H22" s="6">
        <v>1411</v>
      </c>
    </row>
    <row r="23" spans="1:16" x14ac:dyDescent="0.25">
      <c r="A23">
        <v>1910</v>
      </c>
      <c r="C23" s="2">
        <f t="shared" si="0"/>
        <v>491</v>
      </c>
      <c r="H23">
        <v>1984</v>
      </c>
      <c r="I23">
        <f t="shared" ref="I23" si="11">H24</f>
        <v>10657</v>
      </c>
      <c r="L23">
        <v>2012</v>
      </c>
      <c r="M23">
        <v>26484.840999999997</v>
      </c>
      <c r="N23" t="s">
        <v>70</v>
      </c>
    </row>
    <row r="24" spans="1:16" x14ac:dyDescent="0.25">
      <c r="A24">
        <v>1911</v>
      </c>
      <c r="C24" s="2">
        <f t="shared" si="0"/>
        <v>479</v>
      </c>
      <c r="H24" s="6">
        <v>10657</v>
      </c>
      <c r="L24">
        <v>2013</v>
      </c>
      <c r="M24">
        <v>27559.462869999992</v>
      </c>
      <c r="N24" t="s">
        <v>72</v>
      </c>
      <c r="O24" t="s">
        <v>71</v>
      </c>
      <c r="P24" t="s">
        <v>73</v>
      </c>
    </row>
    <row r="25" spans="1:16" x14ac:dyDescent="0.25">
      <c r="A25">
        <v>1912</v>
      </c>
      <c r="C25" s="2">
        <f t="shared" si="0"/>
        <v>485</v>
      </c>
      <c r="H25">
        <v>1892</v>
      </c>
      <c r="I25">
        <f t="shared" ref="I25" si="12">H26</f>
        <v>301</v>
      </c>
      <c r="L25">
        <v>2014</v>
      </c>
      <c r="M25">
        <v>28671.696505449992</v>
      </c>
      <c r="P25" t="s">
        <v>74</v>
      </c>
    </row>
    <row r="26" spans="1:16" x14ac:dyDescent="0.25">
      <c r="A26">
        <v>1913</v>
      </c>
      <c r="C26" s="2">
        <f t="shared" si="0"/>
        <v>445</v>
      </c>
      <c r="H26">
        <v>301</v>
      </c>
      <c r="L26">
        <v>2015</v>
      </c>
      <c r="M26">
        <v>29822.858318140734</v>
      </c>
      <c r="P26" t="s">
        <v>75</v>
      </c>
    </row>
    <row r="27" spans="1:16" x14ac:dyDescent="0.25">
      <c r="A27">
        <v>1914</v>
      </c>
      <c r="C27" s="2">
        <f t="shared" si="0"/>
        <v>447</v>
      </c>
      <c r="H27">
        <v>1923</v>
      </c>
      <c r="I27">
        <f t="shared" ref="I27" si="13">H28</f>
        <v>258</v>
      </c>
      <c r="L27">
        <v>2016</v>
      </c>
      <c r="M27">
        <v>31014.310794275658</v>
      </c>
      <c r="P27" t="s">
        <v>76</v>
      </c>
    </row>
    <row r="28" spans="1:16" x14ac:dyDescent="0.25">
      <c r="A28">
        <v>1915</v>
      </c>
      <c r="C28" s="2">
        <f t="shared" si="0"/>
        <v>525</v>
      </c>
      <c r="H28">
        <v>258</v>
      </c>
      <c r="L28">
        <v>2017</v>
      </c>
      <c r="M28">
        <v>32247.464107075302</v>
      </c>
      <c r="N28" t="s">
        <v>78</v>
      </c>
      <c r="O28" t="s">
        <v>77</v>
      </c>
      <c r="P28" t="s">
        <v>79</v>
      </c>
    </row>
    <row r="29" spans="1:16" x14ac:dyDescent="0.25">
      <c r="A29">
        <v>1916</v>
      </c>
      <c r="C29" s="2">
        <f t="shared" si="0"/>
        <v>576</v>
      </c>
      <c r="H29">
        <v>1954</v>
      </c>
      <c r="I29">
        <f t="shared" ref="I29" si="14">H30</f>
        <v>1547</v>
      </c>
      <c r="L29">
        <v>2018</v>
      </c>
      <c r="M29">
        <v>33523.777785822938</v>
      </c>
      <c r="N29" t="s">
        <v>81</v>
      </c>
    </row>
    <row r="30" spans="1:16" x14ac:dyDescent="0.25">
      <c r="A30">
        <v>1917</v>
      </c>
      <c r="C30" s="2">
        <f t="shared" si="0"/>
        <v>453</v>
      </c>
      <c r="H30" s="6">
        <v>1547</v>
      </c>
      <c r="L30">
        <v>2019</v>
      </c>
      <c r="M30">
        <v>34844.762443326734</v>
      </c>
    </row>
    <row r="31" spans="1:16" x14ac:dyDescent="0.25">
      <c r="A31">
        <v>1918</v>
      </c>
      <c r="C31" s="2">
        <f t="shared" si="0"/>
        <v>571</v>
      </c>
      <c r="H31">
        <v>1985</v>
      </c>
      <c r="I31">
        <f t="shared" ref="I31" si="15">H32</f>
        <v>11117</v>
      </c>
      <c r="L31">
        <v>2020</v>
      </c>
      <c r="M31">
        <v>36211.981563843161</v>
      </c>
      <c r="N31" t="s">
        <v>80</v>
      </c>
    </row>
    <row r="32" spans="1:16" x14ac:dyDescent="0.25">
      <c r="A32">
        <v>1919</v>
      </c>
      <c r="C32" s="2">
        <f t="shared" si="0"/>
        <v>835</v>
      </c>
      <c r="H32" s="6">
        <v>11117</v>
      </c>
      <c r="L32">
        <v>2021</v>
      </c>
      <c r="M32">
        <v>37626.813999999998</v>
      </c>
    </row>
    <row r="33" spans="1:36" x14ac:dyDescent="0.25">
      <c r="A33">
        <v>1920</v>
      </c>
      <c r="C33" s="2">
        <f t="shared" si="0"/>
        <v>738</v>
      </c>
      <c r="H33">
        <v>1893</v>
      </c>
      <c r="I33">
        <f t="shared" ref="I33" si="16">H34</f>
        <v>306</v>
      </c>
    </row>
    <row r="34" spans="1:36" x14ac:dyDescent="0.25">
      <c r="A34">
        <v>1921</v>
      </c>
      <c r="C34" s="2">
        <f t="shared" si="0"/>
        <v>613</v>
      </c>
      <c r="H34">
        <v>306</v>
      </c>
    </row>
    <row r="35" spans="1:36" x14ac:dyDescent="0.25">
      <c r="A35">
        <v>1922</v>
      </c>
      <c r="C35" s="2">
        <f t="shared" si="0"/>
        <v>690</v>
      </c>
      <c r="H35">
        <v>1924</v>
      </c>
      <c r="I35">
        <f t="shared" ref="I35" si="17">H36</f>
        <v>284</v>
      </c>
    </row>
    <row r="36" spans="1:36" x14ac:dyDescent="0.25">
      <c r="A36">
        <v>1923</v>
      </c>
      <c r="C36" s="2">
        <f t="shared" si="0"/>
        <v>258</v>
      </c>
      <c r="H36">
        <v>284</v>
      </c>
    </row>
    <row r="37" spans="1:36" x14ac:dyDescent="0.25">
      <c r="A37">
        <v>1924</v>
      </c>
      <c r="C37" s="2">
        <f t="shared" si="0"/>
        <v>284</v>
      </c>
      <c r="H37">
        <v>1955</v>
      </c>
      <c r="I37">
        <f t="shared" ref="I37" si="18">H38</f>
        <v>1762</v>
      </c>
      <c r="S37">
        <v>23777</v>
      </c>
      <c r="T37">
        <v>24496</v>
      </c>
      <c r="U37">
        <v>26256</v>
      </c>
      <c r="V37">
        <v>27381</v>
      </c>
      <c r="W37">
        <v>25886</v>
      </c>
      <c r="X37">
        <v>26913</v>
      </c>
      <c r="Y37">
        <v>26252</v>
      </c>
      <c r="Z37">
        <v>27236</v>
      </c>
      <c r="AA37">
        <v>28379</v>
      </c>
      <c r="AB37">
        <v>30729.891041330084</v>
      </c>
      <c r="AC37">
        <v>32122.760957685678</v>
      </c>
      <c r="AD37">
        <v>33505.481251740115</v>
      </c>
      <c r="AE37">
        <v>34851.913815525972</v>
      </c>
      <c r="AF37">
        <v>36148.882122054325</v>
      </c>
      <c r="AG37">
        <v>37392.939473318133</v>
      </c>
      <c r="AH37">
        <v>38587.24209903233</v>
      </c>
      <c r="AI37">
        <v>39738.684411120659</v>
      </c>
      <c r="AJ37">
        <v>40752.948684234725</v>
      </c>
    </row>
    <row r="38" spans="1:36" x14ac:dyDescent="0.25">
      <c r="A38">
        <v>1925</v>
      </c>
      <c r="C38" s="2">
        <f t="shared" si="0"/>
        <v>401</v>
      </c>
      <c r="H38" s="6">
        <v>1762</v>
      </c>
      <c r="O38" t="s">
        <v>306</v>
      </c>
    </row>
    <row r="39" spans="1:36" x14ac:dyDescent="0.25">
      <c r="A39">
        <v>1926</v>
      </c>
      <c r="C39" s="2">
        <f t="shared" si="0"/>
        <v>401</v>
      </c>
      <c r="H39">
        <v>1986</v>
      </c>
      <c r="I39">
        <f t="shared" ref="I39" si="19">H40</f>
        <v>11366</v>
      </c>
      <c r="M39" s="32" t="s">
        <v>1</v>
      </c>
      <c r="N39" s="32"/>
      <c r="O39" s="32">
        <v>2008</v>
      </c>
      <c r="P39" s="32">
        <v>2012</v>
      </c>
      <c r="Q39">
        <v>2019</v>
      </c>
    </row>
    <row r="40" spans="1:36" x14ac:dyDescent="0.25">
      <c r="A40">
        <v>1927</v>
      </c>
      <c r="C40" s="2">
        <f t="shared" si="0"/>
        <v>404</v>
      </c>
      <c r="H40" s="6">
        <v>11366</v>
      </c>
      <c r="M40" s="32" t="s">
        <v>13</v>
      </c>
      <c r="N40" s="32" t="s">
        <v>13</v>
      </c>
      <c r="O40" s="32" t="s">
        <v>14</v>
      </c>
      <c r="P40" s="32" t="s">
        <v>14</v>
      </c>
    </row>
    <row r="41" spans="1:36" x14ac:dyDescent="0.25">
      <c r="A41">
        <v>1928</v>
      </c>
      <c r="C41" s="2">
        <f t="shared" si="0"/>
        <v>423</v>
      </c>
      <c r="H41">
        <v>1894</v>
      </c>
      <c r="I41">
        <f t="shared" ref="I41" si="20">H42</f>
        <v>140</v>
      </c>
      <c r="M41" s="32"/>
      <c r="N41" s="32" t="s">
        <v>110</v>
      </c>
      <c r="O41" s="33">
        <v>18560</v>
      </c>
      <c r="P41" s="33"/>
    </row>
    <row r="42" spans="1:36" x14ac:dyDescent="0.25">
      <c r="A42">
        <v>1929</v>
      </c>
      <c r="C42" s="2">
        <f t="shared" si="0"/>
        <v>339</v>
      </c>
      <c r="H42">
        <v>140</v>
      </c>
      <c r="M42" s="32"/>
      <c r="N42" s="32" t="s">
        <v>111</v>
      </c>
      <c r="O42" s="33">
        <v>18740</v>
      </c>
      <c r="P42" s="33"/>
      <c r="Q42" s="153">
        <v>23777</v>
      </c>
    </row>
    <row r="43" spans="1:36" x14ac:dyDescent="0.25">
      <c r="A43">
        <v>1930</v>
      </c>
      <c r="C43" s="2">
        <f t="shared" si="0"/>
        <v>412</v>
      </c>
      <c r="H43">
        <v>1925</v>
      </c>
      <c r="I43">
        <f t="shared" ref="I43" si="21">H44</f>
        <v>401</v>
      </c>
      <c r="M43" s="32"/>
      <c r="N43" s="32" t="s">
        <v>112</v>
      </c>
      <c r="O43" s="33">
        <v>18880</v>
      </c>
      <c r="P43" s="33"/>
      <c r="Q43" s="153">
        <v>24496</v>
      </c>
    </row>
    <row r="44" spans="1:36" x14ac:dyDescent="0.25">
      <c r="A44">
        <v>1931</v>
      </c>
      <c r="C44" s="2">
        <f t="shared" si="0"/>
        <v>742</v>
      </c>
      <c r="H44">
        <v>401</v>
      </c>
      <c r="M44" s="32"/>
      <c r="N44" s="32" t="s">
        <v>113</v>
      </c>
      <c r="O44" s="33">
        <v>19030</v>
      </c>
      <c r="P44" s="33"/>
      <c r="Q44" s="153">
        <v>26256</v>
      </c>
    </row>
    <row r="45" spans="1:36" x14ac:dyDescent="0.25">
      <c r="A45">
        <v>1932</v>
      </c>
      <c r="C45" s="2">
        <f t="shared" si="0"/>
        <v>1030</v>
      </c>
      <c r="H45">
        <v>1956</v>
      </c>
      <c r="I45">
        <f t="shared" ref="I45" si="22">H46</f>
        <v>1845</v>
      </c>
      <c r="M45" s="32">
        <v>2012</v>
      </c>
      <c r="N45" s="32" t="s">
        <v>114</v>
      </c>
      <c r="O45" s="33">
        <v>19150</v>
      </c>
      <c r="P45" s="33">
        <f t="shared" ref="P45:P54" si="23">VLOOKUP(M45,L$23:M$32,2,FALSE)</f>
        <v>26484.840999999997</v>
      </c>
      <c r="Q45" s="153">
        <v>27381</v>
      </c>
    </row>
    <row r="46" spans="1:36" x14ac:dyDescent="0.25">
      <c r="A46">
        <v>1933</v>
      </c>
      <c r="C46" s="2">
        <f t="shared" si="0"/>
        <v>683</v>
      </c>
      <c r="H46" s="6">
        <v>1845</v>
      </c>
      <c r="M46" s="32">
        <v>2013</v>
      </c>
      <c r="N46" s="32" t="s">
        <v>115</v>
      </c>
      <c r="O46" s="33">
        <v>19310</v>
      </c>
      <c r="P46" s="33">
        <f t="shared" si="23"/>
        <v>27559.462869999992</v>
      </c>
      <c r="Q46" s="153">
        <v>25886</v>
      </c>
    </row>
    <row r="47" spans="1:36" x14ac:dyDescent="0.25">
      <c r="A47">
        <v>1934</v>
      </c>
      <c r="C47" s="2">
        <f t="shared" si="0"/>
        <v>691</v>
      </c>
      <c r="H47">
        <v>1987</v>
      </c>
      <c r="I47">
        <f t="shared" ref="I47" si="24">H48</f>
        <v>12002</v>
      </c>
      <c r="M47" s="32">
        <v>2014</v>
      </c>
      <c r="N47" s="32" t="s">
        <v>116</v>
      </c>
      <c r="O47" s="33">
        <v>19520</v>
      </c>
      <c r="P47" s="33">
        <f t="shared" si="23"/>
        <v>28671.696505449992</v>
      </c>
      <c r="Q47" s="153">
        <v>26913</v>
      </c>
    </row>
    <row r="48" spans="1:36" x14ac:dyDescent="0.25">
      <c r="A48">
        <v>1935</v>
      </c>
      <c r="C48" s="2">
        <f t="shared" si="0"/>
        <v>659</v>
      </c>
      <c r="H48" s="6">
        <v>12002</v>
      </c>
      <c r="M48" s="32">
        <v>2015</v>
      </c>
      <c r="N48" s="32" t="s">
        <v>117</v>
      </c>
      <c r="O48" s="33">
        <v>19780</v>
      </c>
      <c r="P48" s="33">
        <f t="shared" si="23"/>
        <v>29822.858318140734</v>
      </c>
      <c r="Q48" s="153">
        <v>26252</v>
      </c>
    </row>
    <row r="49" spans="1:17" x14ac:dyDescent="0.25">
      <c r="A49">
        <v>1936</v>
      </c>
      <c r="C49" s="2">
        <f t="shared" si="0"/>
        <v>613</v>
      </c>
      <c r="H49">
        <v>1895</v>
      </c>
      <c r="I49">
        <f t="shared" ref="I49" si="25">H50</f>
        <v>173</v>
      </c>
      <c r="M49" s="32">
        <v>2016</v>
      </c>
      <c r="N49" s="32" t="s">
        <v>118</v>
      </c>
      <c r="O49" s="33">
        <v>20070</v>
      </c>
      <c r="P49" s="33">
        <f t="shared" si="23"/>
        <v>31014.310794275658</v>
      </c>
      <c r="Q49" s="153">
        <v>27236</v>
      </c>
    </row>
    <row r="50" spans="1:17" x14ac:dyDescent="0.25">
      <c r="A50">
        <v>1937</v>
      </c>
      <c r="C50" s="2">
        <f t="shared" si="0"/>
        <v>705</v>
      </c>
      <c r="H50">
        <v>173</v>
      </c>
      <c r="M50" s="32">
        <v>2017</v>
      </c>
      <c r="N50" s="32" t="s">
        <v>119</v>
      </c>
      <c r="O50" s="33">
        <v>20410</v>
      </c>
      <c r="P50" s="33">
        <f t="shared" si="23"/>
        <v>32247.464107075302</v>
      </c>
      <c r="Q50" s="153">
        <v>28379</v>
      </c>
    </row>
    <row r="51" spans="1:17" x14ac:dyDescent="0.25">
      <c r="A51">
        <v>1938</v>
      </c>
      <c r="C51" s="2">
        <f t="shared" si="0"/>
        <v>875</v>
      </c>
      <c r="H51">
        <v>1926</v>
      </c>
      <c r="I51">
        <f t="shared" ref="I51" si="26">H52</f>
        <v>401</v>
      </c>
      <c r="M51" s="32">
        <v>2018</v>
      </c>
      <c r="N51" s="32" t="s">
        <v>120</v>
      </c>
      <c r="O51" s="33">
        <v>20800</v>
      </c>
      <c r="P51" s="33">
        <f t="shared" si="23"/>
        <v>33523.777785822938</v>
      </c>
      <c r="Q51" s="2">
        <v>30729.891041330084</v>
      </c>
    </row>
    <row r="52" spans="1:17" x14ac:dyDescent="0.25">
      <c r="A52">
        <v>1939</v>
      </c>
      <c r="C52" s="2">
        <f t="shared" si="0"/>
        <v>1121</v>
      </c>
      <c r="H52">
        <v>401</v>
      </c>
      <c r="M52" s="32">
        <v>2019</v>
      </c>
      <c r="N52" s="32" t="s">
        <v>121</v>
      </c>
      <c r="O52" s="33">
        <v>21210</v>
      </c>
      <c r="P52" s="33">
        <f t="shared" si="23"/>
        <v>34844.762443326734</v>
      </c>
      <c r="Q52" s="2">
        <v>32122.760957685678</v>
      </c>
    </row>
    <row r="53" spans="1:17" x14ac:dyDescent="0.25">
      <c r="A53">
        <v>1940</v>
      </c>
      <c r="C53" s="2">
        <f t="shared" si="0"/>
        <v>1337</v>
      </c>
      <c r="H53">
        <v>1957</v>
      </c>
      <c r="I53">
        <f t="shared" ref="I53" si="27">H54</f>
        <v>1950</v>
      </c>
      <c r="M53" s="32">
        <v>2020</v>
      </c>
      <c r="N53" s="32" t="s">
        <v>122</v>
      </c>
      <c r="O53" s="33">
        <v>21600</v>
      </c>
      <c r="P53" s="33">
        <f t="shared" si="23"/>
        <v>36211.981563843161</v>
      </c>
      <c r="Q53" s="2">
        <v>33505.481251740115</v>
      </c>
    </row>
    <row r="54" spans="1:17" x14ac:dyDescent="0.25">
      <c r="A54">
        <v>1941</v>
      </c>
      <c r="C54" s="2">
        <f t="shared" si="0"/>
        <v>1114</v>
      </c>
      <c r="H54" s="6">
        <v>1950</v>
      </c>
      <c r="M54" s="32">
        <v>2021</v>
      </c>
      <c r="N54" s="32" t="s">
        <v>123</v>
      </c>
      <c r="O54" s="33">
        <v>22030</v>
      </c>
      <c r="P54" s="33">
        <f t="shared" si="23"/>
        <v>37626.813999999998</v>
      </c>
      <c r="Q54" s="2">
        <v>34851.913815525972</v>
      </c>
    </row>
    <row r="55" spans="1:17" x14ac:dyDescent="0.25">
      <c r="A55">
        <v>1942</v>
      </c>
      <c r="C55" s="2">
        <f t="shared" si="0"/>
        <v>730</v>
      </c>
      <c r="H55">
        <v>1988</v>
      </c>
      <c r="I55">
        <f t="shared" ref="I55" si="28">H56</f>
        <v>12146</v>
      </c>
      <c r="M55" s="32">
        <v>2022</v>
      </c>
      <c r="N55" s="32" t="s">
        <v>124</v>
      </c>
      <c r="O55" s="33">
        <v>22490</v>
      </c>
      <c r="P55" s="33"/>
      <c r="Q55" s="2">
        <v>36148.882122054325</v>
      </c>
    </row>
    <row r="56" spans="1:17" x14ac:dyDescent="0.25">
      <c r="A56">
        <v>1943</v>
      </c>
      <c r="C56" s="2">
        <f t="shared" si="0"/>
        <v>723</v>
      </c>
      <c r="H56" s="6">
        <v>12146</v>
      </c>
      <c r="M56" s="32">
        <v>2023</v>
      </c>
      <c r="N56" s="32" t="s">
        <v>125</v>
      </c>
      <c r="O56" s="33">
        <v>22920</v>
      </c>
      <c r="P56" s="33"/>
      <c r="Q56" s="2">
        <v>37392.939473318133</v>
      </c>
    </row>
    <row r="57" spans="1:17" x14ac:dyDescent="0.25">
      <c r="A57">
        <v>1944</v>
      </c>
      <c r="C57" s="2">
        <f t="shared" si="0"/>
        <v>465</v>
      </c>
      <c r="H57">
        <v>1896</v>
      </c>
      <c r="I57">
        <f t="shared" ref="I57" si="29">H58</f>
        <v>185</v>
      </c>
      <c r="M57" s="32">
        <v>2024</v>
      </c>
      <c r="N57" s="32" t="s">
        <v>126</v>
      </c>
      <c r="O57" s="33">
        <v>23390</v>
      </c>
      <c r="P57" s="33"/>
      <c r="Q57" s="2">
        <v>38587.24209903233</v>
      </c>
    </row>
    <row r="58" spans="1:17" x14ac:dyDescent="0.25">
      <c r="A58">
        <v>1945</v>
      </c>
      <c r="C58" s="2">
        <f t="shared" si="0"/>
        <v>967</v>
      </c>
      <c r="H58">
        <v>185</v>
      </c>
      <c r="M58" s="32">
        <v>2025</v>
      </c>
      <c r="N58" s="32" t="s">
        <v>127</v>
      </c>
      <c r="O58" s="33">
        <v>23870</v>
      </c>
      <c r="P58" s="33"/>
      <c r="Q58" s="2">
        <v>39738.684411120659</v>
      </c>
    </row>
    <row r="59" spans="1:17" x14ac:dyDescent="0.25">
      <c r="A59">
        <v>1946</v>
      </c>
      <c r="C59" s="2">
        <f t="shared" si="0"/>
        <v>1808</v>
      </c>
      <c r="H59">
        <v>1927</v>
      </c>
      <c r="I59">
        <f t="shared" ref="I59" si="30">H60</f>
        <v>404</v>
      </c>
      <c r="M59" s="32">
        <v>2026</v>
      </c>
      <c r="N59" s="32" t="s">
        <v>128</v>
      </c>
      <c r="O59" s="33">
        <v>24310</v>
      </c>
      <c r="P59" s="33"/>
      <c r="Q59" s="2">
        <v>40752.948684234725</v>
      </c>
    </row>
    <row r="60" spans="1:17" x14ac:dyDescent="0.25">
      <c r="A60">
        <v>1947</v>
      </c>
      <c r="C60" s="2">
        <f t="shared" si="0"/>
        <v>1752</v>
      </c>
      <c r="H60">
        <v>404</v>
      </c>
      <c r="M60" s="32">
        <v>2027</v>
      </c>
      <c r="N60" s="32" t="s">
        <v>129</v>
      </c>
      <c r="O60" s="33">
        <v>24710</v>
      </c>
      <c r="P60" s="33"/>
    </row>
    <row r="61" spans="1:17" x14ac:dyDescent="0.25">
      <c r="A61">
        <v>1948</v>
      </c>
      <c r="C61" s="2">
        <f t="shared" si="0"/>
        <v>1614</v>
      </c>
      <c r="H61">
        <v>1958</v>
      </c>
      <c r="I61">
        <f t="shared" ref="I61" si="31">H62</f>
        <v>2282</v>
      </c>
    </row>
    <row r="62" spans="1:17" x14ac:dyDescent="0.25">
      <c r="A62">
        <v>1949</v>
      </c>
      <c r="C62" s="2">
        <f t="shared" si="0"/>
        <v>1594</v>
      </c>
      <c r="H62" s="6">
        <v>2282</v>
      </c>
    </row>
    <row r="63" spans="1:17" x14ac:dyDescent="0.25">
      <c r="A63">
        <v>1950</v>
      </c>
      <c r="C63" s="2">
        <f t="shared" si="0"/>
        <v>0</v>
      </c>
      <c r="H63">
        <v>1989</v>
      </c>
      <c r="I63">
        <f t="shared" ref="I63" si="32">H64</f>
        <v>12920</v>
      </c>
    </row>
    <row r="64" spans="1:17" x14ac:dyDescent="0.25">
      <c r="A64">
        <v>1951</v>
      </c>
      <c r="C64" s="2">
        <f t="shared" si="0"/>
        <v>1302</v>
      </c>
      <c r="F64" s="155">
        <f>C64</f>
        <v>1302</v>
      </c>
      <c r="H64" s="6">
        <v>12920</v>
      </c>
    </row>
    <row r="65" spans="1:9" x14ac:dyDescent="0.25">
      <c r="A65">
        <v>1952</v>
      </c>
      <c r="C65" s="2">
        <f t="shared" si="0"/>
        <v>1280</v>
      </c>
      <c r="F65" s="155">
        <f t="shared" ref="F65:F121" si="33">C65</f>
        <v>1280</v>
      </c>
      <c r="H65">
        <v>1897</v>
      </c>
      <c r="I65">
        <f t="shared" ref="I65" si="34">H66</f>
        <v>206</v>
      </c>
    </row>
    <row r="66" spans="1:9" x14ac:dyDescent="0.25">
      <c r="A66">
        <v>1953</v>
      </c>
      <c r="C66" s="2">
        <f t="shared" si="0"/>
        <v>1411</v>
      </c>
      <c r="F66" s="155">
        <f t="shared" si="33"/>
        <v>1411</v>
      </c>
      <c r="H66">
        <v>206</v>
      </c>
    </row>
    <row r="67" spans="1:9" x14ac:dyDescent="0.25">
      <c r="A67">
        <v>1954</v>
      </c>
      <c r="C67" s="2">
        <f t="shared" ref="C67:C125" si="35">VLOOKUP(A67,H:I,2,FALSE)</f>
        <v>1547</v>
      </c>
      <c r="F67" s="155">
        <f t="shared" si="33"/>
        <v>1547</v>
      </c>
      <c r="H67">
        <v>1928</v>
      </c>
      <c r="I67">
        <f t="shared" ref="I67" si="36">H68</f>
        <v>423</v>
      </c>
    </row>
    <row r="68" spans="1:9" x14ac:dyDescent="0.25">
      <c r="A68">
        <v>1955</v>
      </c>
      <c r="C68" s="2">
        <f t="shared" si="35"/>
        <v>1762</v>
      </c>
      <c r="F68" s="155">
        <f t="shared" si="33"/>
        <v>1762</v>
      </c>
      <c r="H68">
        <v>423</v>
      </c>
    </row>
    <row r="69" spans="1:9" x14ac:dyDescent="0.25">
      <c r="A69">
        <v>1956</v>
      </c>
      <c r="C69" s="2">
        <f t="shared" si="35"/>
        <v>1845</v>
      </c>
      <c r="F69" s="155">
        <f t="shared" si="33"/>
        <v>1845</v>
      </c>
      <c r="H69">
        <v>1959</v>
      </c>
      <c r="I69">
        <f t="shared" ref="I69" si="37">H70</f>
        <v>2420</v>
      </c>
    </row>
    <row r="70" spans="1:9" x14ac:dyDescent="0.25">
      <c r="A70">
        <v>1957</v>
      </c>
      <c r="C70" s="2">
        <f t="shared" si="35"/>
        <v>1950</v>
      </c>
      <c r="F70" s="155">
        <f t="shared" si="33"/>
        <v>1950</v>
      </c>
      <c r="H70" s="6">
        <v>2420</v>
      </c>
    </row>
    <row r="71" spans="1:9" x14ac:dyDescent="0.25">
      <c r="A71">
        <v>1958</v>
      </c>
      <c r="C71" s="2">
        <f t="shared" si="35"/>
        <v>2282</v>
      </c>
      <c r="F71" s="155">
        <f t="shared" si="33"/>
        <v>2282</v>
      </c>
      <c r="H71">
        <v>1990</v>
      </c>
      <c r="I71">
        <f t="shared" ref="I71" si="38">H72</f>
        <v>13449</v>
      </c>
    </row>
    <row r="72" spans="1:9" x14ac:dyDescent="0.25">
      <c r="A72">
        <v>1959</v>
      </c>
      <c r="C72" s="2">
        <f t="shared" si="35"/>
        <v>2420</v>
      </c>
      <c r="F72" s="155">
        <f t="shared" si="33"/>
        <v>2420</v>
      </c>
      <c r="H72" s="6">
        <v>13449</v>
      </c>
    </row>
    <row r="73" spans="1:9" x14ac:dyDescent="0.25">
      <c r="A73">
        <v>1960</v>
      </c>
      <c r="C73" s="2">
        <f t="shared" si="35"/>
        <v>2524</v>
      </c>
      <c r="F73" s="155">
        <f t="shared" si="33"/>
        <v>2524</v>
      </c>
      <c r="H73">
        <v>1898</v>
      </c>
      <c r="I73">
        <f t="shared" ref="I73" si="39">H74</f>
        <v>206</v>
      </c>
    </row>
    <row r="74" spans="1:9" x14ac:dyDescent="0.25">
      <c r="A74">
        <v>1961</v>
      </c>
      <c r="C74" s="2">
        <f t="shared" si="35"/>
        <v>3050</v>
      </c>
      <c r="F74" s="155">
        <f t="shared" si="33"/>
        <v>3050</v>
      </c>
      <c r="H74">
        <v>206</v>
      </c>
    </row>
    <row r="75" spans="1:9" x14ac:dyDescent="0.25">
      <c r="A75">
        <v>1962</v>
      </c>
      <c r="C75" s="2">
        <f t="shared" si="35"/>
        <v>4685</v>
      </c>
      <c r="F75" s="155">
        <f t="shared" si="33"/>
        <v>4685</v>
      </c>
      <c r="H75">
        <v>1929</v>
      </c>
      <c r="I75">
        <f t="shared" ref="I75" si="40">H76</f>
        <v>339</v>
      </c>
    </row>
    <row r="76" spans="1:9" x14ac:dyDescent="0.25">
      <c r="A76">
        <v>1963</v>
      </c>
      <c r="C76" s="2">
        <f t="shared" si="35"/>
        <v>5503</v>
      </c>
      <c r="F76" s="155">
        <f t="shared" si="33"/>
        <v>5503</v>
      </c>
      <c r="H76">
        <v>339</v>
      </c>
    </row>
    <row r="77" spans="1:9" x14ac:dyDescent="0.25">
      <c r="A77">
        <v>1964</v>
      </c>
      <c r="C77" s="2">
        <f t="shared" si="35"/>
        <v>6494</v>
      </c>
      <c r="F77" s="155">
        <f t="shared" si="33"/>
        <v>6494</v>
      </c>
      <c r="H77">
        <v>1960</v>
      </c>
      <c r="I77">
        <f t="shared" ref="I77" si="41">H78</f>
        <v>2524</v>
      </c>
    </row>
    <row r="78" spans="1:9" x14ac:dyDescent="0.25">
      <c r="A78">
        <v>1965</v>
      </c>
      <c r="C78" s="2">
        <f t="shared" si="35"/>
        <v>7565</v>
      </c>
      <c r="F78" s="155">
        <f t="shared" si="33"/>
        <v>7565</v>
      </c>
      <c r="H78" s="6">
        <v>2524</v>
      </c>
    </row>
    <row r="79" spans="1:9" x14ac:dyDescent="0.25">
      <c r="A79">
        <v>1966</v>
      </c>
      <c r="C79" s="2">
        <f t="shared" si="35"/>
        <v>8220</v>
      </c>
      <c r="F79" s="155">
        <f t="shared" si="33"/>
        <v>8220</v>
      </c>
      <c r="H79">
        <v>1991</v>
      </c>
      <c r="I79">
        <f t="shared" ref="I79" si="42">H80</f>
        <v>14495</v>
      </c>
    </row>
    <row r="80" spans="1:9" x14ac:dyDescent="0.25">
      <c r="A80">
        <v>1967</v>
      </c>
      <c r="C80" s="2">
        <f t="shared" si="35"/>
        <v>9232</v>
      </c>
      <c r="F80" s="155">
        <f t="shared" si="33"/>
        <v>9232</v>
      </c>
      <c r="H80" s="6">
        <v>14495</v>
      </c>
    </row>
    <row r="81" spans="1:9" x14ac:dyDescent="0.25">
      <c r="A81">
        <v>1968</v>
      </c>
      <c r="C81" s="2">
        <f t="shared" si="35"/>
        <v>10280</v>
      </c>
      <c r="F81" s="155">
        <f t="shared" si="33"/>
        <v>10280</v>
      </c>
      <c r="H81">
        <v>1899</v>
      </c>
      <c r="I81">
        <f t="shared" ref="I81" si="43">H82</f>
        <v>249</v>
      </c>
    </row>
    <row r="82" spans="1:9" x14ac:dyDescent="0.25">
      <c r="A82">
        <v>1969</v>
      </c>
      <c r="C82" s="2">
        <f t="shared" si="35"/>
        <v>10661</v>
      </c>
      <c r="F82" s="155">
        <f t="shared" si="33"/>
        <v>10661</v>
      </c>
      <c r="H82">
        <v>249</v>
      </c>
    </row>
    <row r="83" spans="1:9" x14ac:dyDescent="0.25">
      <c r="A83">
        <v>1970</v>
      </c>
      <c r="C83" s="2">
        <f t="shared" si="35"/>
        <v>10373</v>
      </c>
      <c r="F83" s="155">
        <f t="shared" si="33"/>
        <v>10373</v>
      </c>
      <c r="H83">
        <v>1930</v>
      </c>
      <c r="I83">
        <f t="shared" ref="I83" si="44">H84</f>
        <v>412</v>
      </c>
    </row>
    <row r="84" spans="1:9" x14ac:dyDescent="0.25">
      <c r="A84">
        <v>1971</v>
      </c>
      <c r="C84" s="2">
        <f t="shared" si="35"/>
        <v>9772</v>
      </c>
      <c r="F84" s="155">
        <f t="shared" si="33"/>
        <v>9772</v>
      </c>
      <c r="H84">
        <v>412</v>
      </c>
    </row>
    <row r="85" spans="1:9" x14ac:dyDescent="0.25">
      <c r="A85">
        <v>1972</v>
      </c>
      <c r="C85" s="2">
        <f t="shared" si="35"/>
        <v>8203</v>
      </c>
      <c r="F85" s="155">
        <f t="shared" si="33"/>
        <v>8203</v>
      </c>
      <c r="H85">
        <v>1961</v>
      </c>
      <c r="I85">
        <f t="shared" ref="I85" si="45">H86</f>
        <v>3050</v>
      </c>
    </row>
    <row r="86" spans="1:9" x14ac:dyDescent="0.25">
      <c r="A86">
        <v>1973</v>
      </c>
      <c r="C86" s="2">
        <f t="shared" si="35"/>
        <v>8303</v>
      </c>
      <c r="F86" s="155">
        <f t="shared" si="33"/>
        <v>8303</v>
      </c>
      <c r="H86" s="6">
        <v>3050</v>
      </c>
    </row>
    <row r="87" spans="1:9" x14ac:dyDescent="0.25">
      <c r="A87">
        <v>1974</v>
      </c>
      <c r="C87" s="2">
        <f t="shared" si="35"/>
        <v>8574</v>
      </c>
      <c r="F87" s="155">
        <f t="shared" si="33"/>
        <v>8574</v>
      </c>
      <c r="H87">
        <v>1992</v>
      </c>
      <c r="I87">
        <f t="shared" ref="I87" si="46">H88</f>
        <v>14993</v>
      </c>
    </row>
    <row r="88" spans="1:9" x14ac:dyDescent="0.25">
      <c r="A88">
        <v>1975</v>
      </c>
      <c r="C88" s="2">
        <f t="shared" si="35"/>
        <v>9458</v>
      </c>
      <c r="F88" s="155">
        <f t="shared" si="33"/>
        <v>9458</v>
      </c>
      <c r="H88" s="6">
        <v>14993</v>
      </c>
    </row>
    <row r="89" spans="1:9" x14ac:dyDescent="0.25">
      <c r="A89">
        <v>1976</v>
      </c>
      <c r="C89" s="2">
        <f t="shared" si="35"/>
        <v>8818</v>
      </c>
      <c r="F89" s="155">
        <f t="shared" si="33"/>
        <v>8818</v>
      </c>
      <c r="H89">
        <v>1900</v>
      </c>
      <c r="I89">
        <f t="shared" ref="I89" si="47">H90</f>
        <v>211</v>
      </c>
    </row>
    <row r="90" spans="1:9" x14ac:dyDescent="0.25">
      <c r="A90">
        <v>1977</v>
      </c>
      <c r="C90" s="2">
        <f t="shared" si="35"/>
        <v>8741</v>
      </c>
      <c r="F90" s="155">
        <f t="shared" si="33"/>
        <v>8741</v>
      </c>
      <c r="H90">
        <v>211</v>
      </c>
    </row>
    <row r="91" spans="1:9" x14ac:dyDescent="0.25">
      <c r="A91">
        <v>1978</v>
      </c>
      <c r="C91" s="2">
        <f t="shared" si="35"/>
        <v>8920</v>
      </c>
      <c r="F91" s="155">
        <f t="shared" si="33"/>
        <v>8920</v>
      </c>
      <c r="H91">
        <v>1931</v>
      </c>
      <c r="I91">
        <f t="shared" ref="I91" si="48">H92</f>
        <v>742</v>
      </c>
    </row>
    <row r="92" spans="1:9" x14ac:dyDescent="0.25">
      <c r="A92">
        <v>1979</v>
      </c>
      <c r="C92" s="2">
        <f t="shared" si="35"/>
        <v>9674</v>
      </c>
      <c r="F92" s="155">
        <f t="shared" si="33"/>
        <v>9674</v>
      </c>
      <c r="H92">
        <v>742</v>
      </c>
    </row>
    <row r="93" spans="1:9" x14ac:dyDescent="0.25">
      <c r="A93">
        <v>1980</v>
      </c>
      <c r="C93" s="2">
        <f t="shared" si="35"/>
        <v>10065</v>
      </c>
      <c r="F93" s="155">
        <f t="shared" si="33"/>
        <v>10065</v>
      </c>
      <c r="H93">
        <v>1962</v>
      </c>
      <c r="I93">
        <f t="shared" ref="I93" si="49">H94</f>
        <v>4685</v>
      </c>
    </row>
    <row r="94" spans="1:9" x14ac:dyDescent="0.25">
      <c r="A94">
        <v>1981</v>
      </c>
      <c r="C94" s="2">
        <f t="shared" si="35"/>
        <v>10230</v>
      </c>
      <c r="F94" s="155">
        <f t="shared" si="33"/>
        <v>10230</v>
      </c>
      <c r="H94" s="6">
        <v>4685</v>
      </c>
    </row>
    <row r="95" spans="1:9" x14ac:dyDescent="0.25">
      <c r="A95">
        <v>1982</v>
      </c>
      <c r="C95" s="2">
        <f t="shared" si="35"/>
        <v>10361</v>
      </c>
      <c r="F95" s="155">
        <f t="shared" si="33"/>
        <v>10361</v>
      </c>
      <c r="H95">
        <v>1993</v>
      </c>
      <c r="I95">
        <f t="shared" ref="I95" si="50">H96</f>
        <v>14447</v>
      </c>
    </row>
    <row r="96" spans="1:9" x14ac:dyDescent="0.25">
      <c r="A96">
        <v>1983</v>
      </c>
      <c r="C96" s="2">
        <f t="shared" si="35"/>
        <v>10314</v>
      </c>
      <c r="F96" s="155">
        <f t="shared" si="33"/>
        <v>10314</v>
      </c>
      <c r="H96" s="6">
        <v>14447</v>
      </c>
    </row>
    <row r="97" spans="1:9" x14ac:dyDescent="0.25">
      <c r="A97">
        <v>1984</v>
      </c>
      <c r="C97" s="2">
        <f t="shared" si="35"/>
        <v>10657</v>
      </c>
      <c r="F97" s="155">
        <f t="shared" si="33"/>
        <v>10657</v>
      </c>
      <c r="H97">
        <v>1901</v>
      </c>
      <c r="I97">
        <f t="shared" ref="I97" si="51">H98</f>
        <v>290</v>
      </c>
    </row>
    <row r="98" spans="1:9" x14ac:dyDescent="0.25">
      <c r="A98">
        <v>1985</v>
      </c>
      <c r="C98" s="2">
        <f t="shared" si="35"/>
        <v>11117</v>
      </c>
      <c r="F98" s="155">
        <f t="shared" si="33"/>
        <v>11117</v>
      </c>
      <c r="H98">
        <v>290</v>
      </c>
    </row>
    <row r="99" spans="1:9" x14ac:dyDescent="0.25">
      <c r="A99">
        <v>1986</v>
      </c>
      <c r="C99" s="2">
        <f t="shared" si="35"/>
        <v>11366</v>
      </c>
      <c r="F99" s="155">
        <f t="shared" si="33"/>
        <v>11366</v>
      </c>
      <c r="H99">
        <v>1932</v>
      </c>
      <c r="I99">
        <f t="shared" ref="I99" si="52">H100</f>
        <v>1030</v>
      </c>
    </row>
    <row r="100" spans="1:9" x14ac:dyDescent="0.25">
      <c r="A100">
        <v>1987</v>
      </c>
      <c r="C100" s="2">
        <f t="shared" si="35"/>
        <v>12002</v>
      </c>
      <c r="F100" s="155">
        <f t="shared" si="33"/>
        <v>12002</v>
      </c>
      <c r="H100" s="6">
        <v>1030</v>
      </c>
    </row>
    <row r="101" spans="1:9" x14ac:dyDescent="0.25">
      <c r="A101">
        <v>1988</v>
      </c>
      <c r="B101" s="2">
        <v>12731</v>
      </c>
      <c r="C101" s="2">
        <f t="shared" si="35"/>
        <v>12146</v>
      </c>
      <c r="F101" s="155">
        <f t="shared" si="33"/>
        <v>12146</v>
      </c>
      <c r="H101">
        <v>1963</v>
      </c>
      <c r="I101">
        <f t="shared" ref="I101" si="53">H102</f>
        <v>5503</v>
      </c>
    </row>
    <row r="102" spans="1:9" x14ac:dyDescent="0.25">
      <c r="A102">
        <v>1989</v>
      </c>
      <c r="B102" s="2">
        <v>13651</v>
      </c>
      <c r="C102" s="2">
        <f t="shared" si="35"/>
        <v>12920</v>
      </c>
      <c r="F102" s="155">
        <f t="shared" si="33"/>
        <v>12920</v>
      </c>
      <c r="H102" s="6">
        <v>5503</v>
      </c>
    </row>
    <row r="103" spans="1:9" x14ac:dyDescent="0.25">
      <c r="A103">
        <v>1990</v>
      </c>
      <c r="B103" s="2">
        <v>14039</v>
      </c>
      <c r="C103" s="2">
        <f t="shared" si="35"/>
        <v>13449</v>
      </c>
      <c r="F103" s="155">
        <f t="shared" si="33"/>
        <v>13449</v>
      </c>
      <c r="H103">
        <v>1994</v>
      </c>
      <c r="I103">
        <f t="shared" ref="I103" si="54">H104</f>
        <v>14230</v>
      </c>
    </row>
    <row r="104" spans="1:9" x14ac:dyDescent="0.25">
      <c r="A104">
        <v>1991</v>
      </c>
      <c r="B104" s="2">
        <v>14433</v>
      </c>
      <c r="C104" s="2">
        <f t="shared" si="35"/>
        <v>14495</v>
      </c>
      <c r="F104" s="155">
        <f t="shared" si="33"/>
        <v>14495</v>
      </c>
      <c r="H104" s="6">
        <v>14230</v>
      </c>
    </row>
    <row r="105" spans="1:9" x14ac:dyDescent="0.25">
      <c r="A105">
        <v>1992</v>
      </c>
      <c r="B105" s="2">
        <v>14994</v>
      </c>
      <c r="C105" s="2">
        <f t="shared" si="35"/>
        <v>14993</v>
      </c>
      <c r="F105" s="155">
        <f t="shared" si="33"/>
        <v>14993</v>
      </c>
      <c r="H105">
        <v>1902</v>
      </c>
      <c r="I105">
        <f t="shared" ref="I105" si="55">H106</f>
        <v>292</v>
      </c>
    </row>
    <row r="106" spans="1:9" x14ac:dyDescent="0.25">
      <c r="A106">
        <v>1993</v>
      </c>
      <c r="B106" s="2">
        <v>15910</v>
      </c>
      <c r="C106" s="2">
        <f t="shared" si="35"/>
        <v>14447</v>
      </c>
      <c r="F106" s="155">
        <f t="shared" si="33"/>
        <v>14447</v>
      </c>
      <c r="H106">
        <v>292</v>
      </c>
    </row>
    <row r="107" spans="1:9" x14ac:dyDescent="0.25">
      <c r="A107">
        <v>1994</v>
      </c>
      <c r="B107" s="2">
        <v>15051</v>
      </c>
      <c r="C107" s="2">
        <f t="shared" si="35"/>
        <v>14230</v>
      </c>
      <c r="F107" s="155">
        <f t="shared" si="33"/>
        <v>14230</v>
      </c>
      <c r="H107">
        <v>1933</v>
      </c>
      <c r="I107">
        <f t="shared" ref="I107" si="56">H108</f>
        <v>683</v>
      </c>
    </row>
    <row r="108" spans="1:9" x14ac:dyDescent="0.25">
      <c r="A108">
        <v>1995</v>
      </c>
      <c r="B108" s="2">
        <v>14623</v>
      </c>
      <c r="C108" s="2">
        <f t="shared" si="35"/>
        <v>13996</v>
      </c>
      <c r="F108" s="155">
        <f t="shared" si="33"/>
        <v>13996</v>
      </c>
      <c r="H108">
        <v>683</v>
      </c>
    </row>
    <row r="109" spans="1:9" x14ac:dyDescent="0.25">
      <c r="A109">
        <v>1996</v>
      </c>
      <c r="B109" s="2">
        <v>14442</v>
      </c>
      <c r="C109" s="2">
        <f t="shared" si="35"/>
        <v>13906</v>
      </c>
      <c r="F109" s="155">
        <f t="shared" si="33"/>
        <v>13906</v>
      </c>
      <c r="H109">
        <v>1964</v>
      </c>
      <c r="I109">
        <f t="shared" ref="I109" si="57">H110</f>
        <v>6494</v>
      </c>
    </row>
    <row r="110" spans="1:9" x14ac:dyDescent="0.25">
      <c r="A110">
        <v>1997</v>
      </c>
      <c r="B110" s="2">
        <v>14933</v>
      </c>
      <c r="C110" s="2">
        <f t="shared" si="35"/>
        <v>14613</v>
      </c>
      <c r="F110" s="155">
        <f t="shared" si="33"/>
        <v>14613</v>
      </c>
      <c r="H110" s="6">
        <v>6494</v>
      </c>
    </row>
    <row r="111" spans="1:9" x14ac:dyDescent="0.25">
      <c r="A111">
        <v>1998</v>
      </c>
      <c r="B111" s="2">
        <v>14136</v>
      </c>
      <c r="C111" s="2">
        <f t="shared" si="35"/>
        <v>13900</v>
      </c>
      <c r="F111" s="155">
        <f t="shared" si="33"/>
        <v>13900</v>
      </c>
      <c r="H111">
        <v>1995</v>
      </c>
      <c r="I111">
        <f t="shared" ref="I111" si="58">H112</f>
        <v>13996</v>
      </c>
    </row>
    <row r="112" spans="1:9" x14ac:dyDescent="0.25">
      <c r="A112">
        <v>1999</v>
      </c>
      <c r="B112" s="2">
        <v>15444</v>
      </c>
      <c r="C112" s="2">
        <f t="shared" si="35"/>
        <v>14984</v>
      </c>
      <c r="F112" s="155">
        <f t="shared" si="33"/>
        <v>14984</v>
      </c>
      <c r="H112" s="6">
        <v>13996</v>
      </c>
    </row>
    <row r="113" spans="1:13" x14ac:dyDescent="0.25">
      <c r="A113">
        <v>2000</v>
      </c>
      <c r="B113" s="2">
        <v>16378</v>
      </c>
      <c r="C113" s="2">
        <f t="shared" si="35"/>
        <v>16050</v>
      </c>
      <c r="F113" s="155">
        <f t="shared" si="33"/>
        <v>16050</v>
      </c>
      <c r="H113">
        <v>1903</v>
      </c>
      <c r="I113">
        <f t="shared" ref="I113" si="59">H114</f>
        <v>241</v>
      </c>
    </row>
    <row r="114" spans="1:13" x14ac:dyDescent="0.25">
      <c r="A114">
        <v>2001</v>
      </c>
      <c r="B114" s="2">
        <v>17258</v>
      </c>
      <c r="C114" s="2">
        <f t="shared" si="35"/>
        <v>16871</v>
      </c>
      <c r="F114" s="155">
        <f t="shared" si="33"/>
        <v>16871</v>
      </c>
      <c r="H114">
        <v>241</v>
      </c>
    </row>
    <row r="115" spans="1:13" x14ac:dyDescent="0.25">
      <c r="A115">
        <v>2002</v>
      </c>
      <c r="B115" s="2">
        <v>18654</v>
      </c>
      <c r="C115" s="2">
        <f t="shared" si="35"/>
        <v>18059</v>
      </c>
      <c r="F115" s="155">
        <f t="shared" si="33"/>
        <v>18059</v>
      </c>
      <c r="H115">
        <v>1934</v>
      </c>
      <c r="I115">
        <f t="shared" ref="I115" si="60">H116</f>
        <v>691</v>
      </c>
    </row>
    <row r="116" spans="1:13" x14ac:dyDescent="0.25">
      <c r="A116">
        <v>2003</v>
      </c>
      <c r="B116" s="2">
        <v>19167</v>
      </c>
      <c r="C116" s="2">
        <f t="shared" si="35"/>
        <v>18821</v>
      </c>
      <c r="F116" s="155">
        <f t="shared" si="33"/>
        <v>18821</v>
      </c>
      <c r="H116">
        <v>691</v>
      </c>
    </row>
    <row r="117" spans="1:13" x14ac:dyDescent="0.25">
      <c r="A117">
        <v>2004</v>
      </c>
      <c r="B117" s="2">
        <v>18875</v>
      </c>
      <c r="C117" s="2">
        <f t="shared" si="35"/>
        <v>18498</v>
      </c>
      <c r="F117" s="155">
        <f t="shared" si="33"/>
        <v>18498</v>
      </c>
      <c r="H117">
        <v>1965</v>
      </c>
      <c r="I117">
        <f t="shared" ref="I117" si="61">H118</f>
        <v>7565</v>
      </c>
    </row>
    <row r="118" spans="1:13" x14ac:dyDescent="0.25">
      <c r="A118">
        <v>2005</v>
      </c>
      <c r="B118" s="2">
        <v>18334</v>
      </c>
      <c r="C118" s="2">
        <f t="shared" si="35"/>
        <v>18142</v>
      </c>
      <c r="F118" s="155">
        <f t="shared" si="33"/>
        <v>18142</v>
      </c>
      <c r="H118" s="6">
        <v>7565</v>
      </c>
      <c r="M118">
        <f>37627*1.12</f>
        <v>42142.240000000005</v>
      </c>
    </row>
    <row r="119" spans="1:13" x14ac:dyDescent="0.25">
      <c r="A119">
        <v>2006</v>
      </c>
      <c r="B119" s="2">
        <v>18642</v>
      </c>
      <c r="C119" s="2">
        <f t="shared" si="35"/>
        <v>18303</v>
      </c>
      <c r="F119" s="155">
        <f t="shared" si="33"/>
        <v>18303</v>
      </c>
      <c r="H119">
        <v>1996</v>
      </c>
      <c r="I119">
        <f t="shared" ref="I119" si="62">H120</f>
        <v>13906</v>
      </c>
    </row>
    <row r="120" spans="1:13" x14ac:dyDescent="0.25">
      <c r="A120">
        <v>2007</v>
      </c>
      <c r="B120" s="2">
        <v>18306</v>
      </c>
      <c r="C120" s="2">
        <f t="shared" si="35"/>
        <v>18081</v>
      </c>
      <c r="F120" s="155">
        <f t="shared" si="33"/>
        <v>18081</v>
      </c>
      <c r="H120" s="6">
        <v>13906</v>
      </c>
    </row>
    <row r="121" spans="1:13" x14ac:dyDescent="0.25">
      <c r="A121">
        <v>2008</v>
      </c>
      <c r="C121" s="2">
        <f t="shared" si="35"/>
        <v>21388</v>
      </c>
      <c r="F121" s="155">
        <f t="shared" si="33"/>
        <v>21388</v>
      </c>
      <c r="H121">
        <v>1904</v>
      </c>
      <c r="I121">
        <f t="shared" ref="I121" si="63">H122</f>
        <v>279</v>
      </c>
    </row>
    <row r="122" spans="1:13" x14ac:dyDescent="0.25">
      <c r="A122">
        <v>2009</v>
      </c>
      <c r="C122" s="2">
        <f t="shared" si="35"/>
        <v>23001</v>
      </c>
      <c r="F122" s="154">
        <f>Q42</f>
        <v>23777</v>
      </c>
      <c r="H122">
        <v>279</v>
      </c>
    </row>
    <row r="123" spans="1:13" x14ac:dyDescent="0.25">
      <c r="A123">
        <v>2010</v>
      </c>
      <c r="C123" s="2">
        <f t="shared" si="35"/>
        <v>24048</v>
      </c>
      <c r="F123" s="154">
        <f t="shared" ref="F123:F139" si="64">Q43</f>
        <v>24496</v>
      </c>
      <c r="H123">
        <v>1935</v>
      </c>
      <c r="I123">
        <f t="shared" ref="I123" si="65">H124</f>
        <v>659</v>
      </c>
    </row>
    <row r="124" spans="1:13" x14ac:dyDescent="0.25">
      <c r="A124">
        <v>2011</v>
      </c>
      <c r="C124" s="2">
        <f t="shared" si="35"/>
        <v>25301</v>
      </c>
      <c r="F124" s="154">
        <f t="shared" si="64"/>
        <v>26256</v>
      </c>
      <c r="H124">
        <v>659</v>
      </c>
    </row>
    <row r="125" spans="1:13" x14ac:dyDescent="0.25">
      <c r="A125">
        <v>2012</v>
      </c>
      <c r="C125" s="2">
        <f t="shared" si="35"/>
        <v>26532</v>
      </c>
      <c r="F125" s="154">
        <f t="shared" si="64"/>
        <v>27381</v>
      </c>
      <c r="H125">
        <v>1966</v>
      </c>
      <c r="I125">
        <f t="shared" ref="I125" si="66">H126</f>
        <v>8220</v>
      </c>
    </row>
    <row r="126" spans="1:13" x14ac:dyDescent="0.25">
      <c r="A126" s="8">
        <v>2013</v>
      </c>
      <c r="C126" s="2">
        <f>VLOOKUP(A126,L:M,2,FALSE)</f>
        <v>27559.462869999992</v>
      </c>
      <c r="F126" s="154">
        <f t="shared" si="64"/>
        <v>25886</v>
      </c>
      <c r="H126" s="6">
        <v>8220</v>
      </c>
    </row>
    <row r="127" spans="1:13" x14ac:dyDescent="0.25">
      <c r="A127" s="8">
        <v>2014</v>
      </c>
      <c r="C127" s="2">
        <f t="shared" ref="C127:C134" si="67">VLOOKUP(A127,L:M,2,FALSE)</f>
        <v>28671.696505449992</v>
      </c>
      <c r="F127" s="154">
        <f t="shared" si="64"/>
        <v>26913</v>
      </c>
      <c r="H127">
        <v>1997</v>
      </c>
      <c r="I127">
        <f t="shared" ref="I127" si="68">H128</f>
        <v>14613</v>
      </c>
    </row>
    <row r="128" spans="1:13" x14ac:dyDescent="0.25">
      <c r="A128" s="8">
        <v>2015</v>
      </c>
      <c r="C128" s="2">
        <f t="shared" si="67"/>
        <v>29822.858318140734</v>
      </c>
      <c r="F128" s="154">
        <f t="shared" si="64"/>
        <v>26252</v>
      </c>
      <c r="H128" s="6">
        <v>14613</v>
      </c>
    </row>
    <row r="129" spans="1:13" ht="17.25" x14ac:dyDescent="0.25">
      <c r="A129" s="8">
        <v>2016</v>
      </c>
      <c r="C129" s="2">
        <f t="shared" si="67"/>
        <v>31014.310794275658</v>
      </c>
      <c r="F129" s="154">
        <f t="shared" si="64"/>
        <v>27236</v>
      </c>
      <c r="H129">
        <v>1905</v>
      </c>
      <c r="I129">
        <f t="shared" ref="I129" si="69">H130</f>
        <v>289</v>
      </c>
      <c r="M129" t="s">
        <v>66</v>
      </c>
    </row>
    <row r="130" spans="1:13" x14ac:dyDescent="0.25">
      <c r="A130" s="8">
        <v>2017</v>
      </c>
      <c r="C130" s="2">
        <f t="shared" si="67"/>
        <v>32247.464107075302</v>
      </c>
      <c r="F130" s="154">
        <f t="shared" si="64"/>
        <v>28379</v>
      </c>
      <c r="H130">
        <v>289</v>
      </c>
    </row>
    <row r="131" spans="1:13" x14ac:dyDescent="0.25">
      <c r="A131" s="8">
        <v>2018</v>
      </c>
      <c r="C131" s="2">
        <f t="shared" si="67"/>
        <v>33523.777785822938</v>
      </c>
      <c r="F131" s="7">
        <f t="shared" si="64"/>
        <v>30729.891041330084</v>
      </c>
      <c r="G131" s="7">
        <f>F131-F130</f>
        <v>2350.8910413300837</v>
      </c>
      <c r="H131">
        <v>1936</v>
      </c>
      <c r="I131">
        <f t="shared" ref="I131" si="70">H132</f>
        <v>613</v>
      </c>
    </row>
    <row r="132" spans="1:13" x14ac:dyDescent="0.25">
      <c r="A132" s="8">
        <v>2019</v>
      </c>
      <c r="C132" s="2">
        <f t="shared" si="67"/>
        <v>34844.762443326734</v>
      </c>
      <c r="F132" s="7">
        <f t="shared" si="64"/>
        <v>32122.760957685678</v>
      </c>
      <c r="G132" s="7">
        <f t="shared" ref="G132:G163" si="71">F132-F131</f>
        <v>1392.8699163555939</v>
      </c>
      <c r="H132">
        <v>613</v>
      </c>
    </row>
    <row r="133" spans="1:13" x14ac:dyDescent="0.25">
      <c r="A133" s="8">
        <v>2020</v>
      </c>
      <c r="C133" s="2">
        <f t="shared" si="67"/>
        <v>36211.981563843161</v>
      </c>
      <c r="F133" s="7">
        <f t="shared" si="64"/>
        <v>33505.481251740115</v>
      </c>
      <c r="G133" s="7">
        <f t="shared" si="71"/>
        <v>1382.7202940544375</v>
      </c>
      <c r="H133">
        <v>1967</v>
      </c>
      <c r="I133">
        <f t="shared" ref="I133" si="72">H134</f>
        <v>9232</v>
      </c>
    </row>
    <row r="134" spans="1:13" x14ac:dyDescent="0.25">
      <c r="A134" s="8">
        <v>2021</v>
      </c>
      <c r="C134" s="2">
        <f t="shared" si="67"/>
        <v>37626.813999999998</v>
      </c>
      <c r="F134" s="7">
        <f t="shared" si="64"/>
        <v>34851.913815525972</v>
      </c>
      <c r="G134" s="7">
        <f t="shared" si="71"/>
        <v>1346.4325637858565</v>
      </c>
      <c r="H134" s="6">
        <v>9232</v>
      </c>
    </row>
    <row r="135" spans="1:13" ht="17.25" x14ac:dyDescent="0.25">
      <c r="A135" s="8">
        <v>2022</v>
      </c>
      <c r="C135" s="2">
        <f>5.755313*A135^2-22434.840851*A135+21866950.217242</f>
        <v>34207.132011998445</v>
      </c>
      <c r="D135">
        <f>C$134+(C$153-C$134)*(A135-A$134)/(A$153-A$134)</f>
        <v>38340.427052736537</v>
      </c>
      <c r="E135" s="7">
        <f>C134+C136-C135</f>
        <v>38472.214233998893</v>
      </c>
      <c r="F135" s="7">
        <f t="shared" si="64"/>
        <v>36148.882122054325</v>
      </c>
      <c r="G135" s="7">
        <f t="shared" si="71"/>
        <v>1296.9683065283534</v>
      </c>
      <c r="H135">
        <v>1998</v>
      </c>
      <c r="I135">
        <f t="shared" ref="I135" si="73">H136</f>
        <v>13900</v>
      </c>
      <c r="M135" t="s">
        <v>65</v>
      </c>
    </row>
    <row r="136" spans="1:13" x14ac:dyDescent="0.25">
      <c r="A136" s="8">
        <v>2023</v>
      </c>
      <c r="C136" s="2">
        <f t="shared" ref="C136:C154" si="74">5.755313*A136^2-22434.840851*A136+21866950.217242</f>
        <v>35052.532245997339</v>
      </c>
      <c r="D136">
        <f t="shared" ref="D136:D154" si="75">C$134+(C$153-C$134)*(A136-A$134)/(A$153-A$134)</f>
        <v>39054.040105473076</v>
      </c>
      <c r="E136" s="7">
        <f>E135+C137-C136</f>
        <v>39329.125093997209</v>
      </c>
      <c r="F136" s="7">
        <f t="shared" si="64"/>
        <v>37392.939473318133</v>
      </c>
      <c r="G136" s="7">
        <f t="shared" si="71"/>
        <v>1244.0573512638075</v>
      </c>
      <c r="H136" s="6">
        <v>13900</v>
      </c>
      <c r="M136" s="7">
        <f>C134-C135</f>
        <v>3419.6819880015537</v>
      </c>
    </row>
    <row r="137" spans="1:13" x14ac:dyDescent="0.25">
      <c r="A137" s="8">
        <v>2024</v>
      </c>
      <c r="C137" s="2">
        <f t="shared" si="74"/>
        <v>35909.443105995655</v>
      </c>
      <c r="D137">
        <f t="shared" si="75"/>
        <v>39767.653158209621</v>
      </c>
      <c r="E137" s="7">
        <f t="shared" ref="E137:E153" si="76">E136+C138-C137</f>
        <v>40197.546580002396</v>
      </c>
      <c r="F137" s="7">
        <f t="shared" si="64"/>
        <v>38587.24209903233</v>
      </c>
      <c r="G137" s="7">
        <f t="shared" si="71"/>
        <v>1194.3026257141973</v>
      </c>
      <c r="H137">
        <v>1906</v>
      </c>
      <c r="I137">
        <f t="shared" ref="I137" si="77">H138</f>
        <v>347</v>
      </c>
    </row>
    <row r="138" spans="1:13" x14ac:dyDescent="0.25">
      <c r="A138" s="8">
        <v>2025</v>
      </c>
      <c r="C138" s="2">
        <f t="shared" si="74"/>
        <v>36777.864592000842</v>
      </c>
      <c r="D138">
        <f t="shared" si="75"/>
        <v>40481.26621094616</v>
      </c>
      <c r="E138" s="7">
        <f t="shared" si="76"/>
        <v>41077.478691999553</v>
      </c>
      <c r="F138" s="7">
        <f t="shared" si="64"/>
        <v>39738.684411120659</v>
      </c>
      <c r="G138" s="7">
        <f t="shared" si="71"/>
        <v>1151.4423120883293</v>
      </c>
      <c r="H138">
        <v>347</v>
      </c>
    </row>
    <row r="139" spans="1:13" x14ac:dyDescent="0.25">
      <c r="A139" s="8">
        <v>2026</v>
      </c>
      <c r="C139" s="2">
        <f t="shared" si="74"/>
        <v>37657.796703997999</v>
      </c>
      <c r="D139">
        <f t="shared" si="75"/>
        <v>41194.879263682698</v>
      </c>
      <c r="E139" s="7">
        <f t="shared" si="76"/>
        <v>41968.921429999857</v>
      </c>
      <c r="F139" s="7">
        <f t="shared" si="64"/>
        <v>40752.948684234725</v>
      </c>
      <c r="G139" s="7">
        <f t="shared" si="71"/>
        <v>1014.2642731140659</v>
      </c>
      <c r="H139">
        <v>1937</v>
      </c>
      <c r="I139">
        <f t="shared" ref="I139" si="78">H140</f>
        <v>705</v>
      </c>
      <c r="J139" s="7">
        <f>G139</f>
        <v>1014.2642731140659</v>
      </c>
    </row>
    <row r="140" spans="1:13" x14ac:dyDescent="0.25">
      <c r="A140" s="8">
        <v>2027</v>
      </c>
      <c r="C140" s="2">
        <f t="shared" si="74"/>
        <v>38549.239441998303</v>
      </c>
      <c r="D140">
        <f t="shared" si="75"/>
        <v>41908.492316419237</v>
      </c>
      <c r="E140" s="7">
        <f>E139+C141-C140</f>
        <v>42871.874793999581</v>
      </c>
      <c r="F140" s="11">
        <f>F139+J140</f>
        <v>41467.212957348791</v>
      </c>
      <c r="G140" s="7">
        <f t="shared" si="71"/>
        <v>714.26427311406587</v>
      </c>
      <c r="H140">
        <v>705</v>
      </c>
      <c r="J140" s="7">
        <f>J139-300</f>
        <v>714.26427311406587</v>
      </c>
    </row>
    <row r="141" spans="1:13" x14ac:dyDescent="0.25">
      <c r="A141" s="8">
        <v>2028</v>
      </c>
      <c r="C141" s="2">
        <f t="shared" si="74"/>
        <v>39452.192805998027</v>
      </c>
      <c r="D141">
        <f t="shared" si="75"/>
        <v>42622.105369155775</v>
      </c>
      <c r="E141" s="7">
        <f t="shared" si="76"/>
        <v>43786.338783995001</v>
      </c>
      <c r="F141" s="11">
        <f t="shared" ref="F141:F162" si="79">F140+J141</f>
        <v>41931.477230462857</v>
      </c>
      <c r="G141" s="7">
        <f t="shared" si="71"/>
        <v>464.26427311406587</v>
      </c>
      <c r="H141">
        <v>1968</v>
      </c>
      <c r="I141">
        <f t="shared" ref="I141" si="80">H142</f>
        <v>10280</v>
      </c>
      <c r="J141" s="7">
        <f>J140-250</f>
        <v>464.26427311406587</v>
      </c>
    </row>
    <row r="142" spans="1:13" x14ac:dyDescent="0.25">
      <c r="A142" s="8">
        <v>2029</v>
      </c>
      <c r="C142" s="2">
        <f t="shared" si="74"/>
        <v>40366.656795993447</v>
      </c>
      <c r="D142">
        <f t="shared" si="75"/>
        <v>43335.718421892314</v>
      </c>
      <c r="E142" s="7">
        <f t="shared" si="76"/>
        <v>44712.313400001018</v>
      </c>
      <c r="F142" s="11">
        <f t="shared" si="79"/>
        <v>42195.741503576923</v>
      </c>
      <c r="G142" s="7">
        <f t="shared" si="71"/>
        <v>264.26427311406587</v>
      </c>
      <c r="H142" s="6">
        <v>10280</v>
      </c>
      <c r="J142" s="7">
        <f t="shared" ref="J142" si="81">J141-200</f>
        <v>264.26427311406587</v>
      </c>
    </row>
    <row r="143" spans="1:13" x14ac:dyDescent="0.25">
      <c r="A143" s="8">
        <v>2030</v>
      </c>
      <c r="C143" s="2">
        <f t="shared" si="74"/>
        <v>41292.631411999464</v>
      </c>
      <c r="D143">
        <f t="shared" si="75"/>
        <v>44049.331474628852</v>
      </c>
      <c r="E143" s="7">
        <f t="shared" si="76"/>
        <v>45649.79864200273</v>
      </c>
      <c r="F143" s="11">
        <f t="shared" si="79"/>
        <v>42435.005776690989</v>
      </c>
      <c r="G143" s="7">
        <f t="shared" si="71"/>
        <v>239.26427311406587</v>
      </c>
      <c r="H143">
        <v>1999</v>
      </c>
      <c r="I143">
        <f t="shared" ref="I143" si="82">H144</f>
        <v>14984</v>
      </c>
      <c r="J143" s="7">
        <f>J142-25</f>
        <v>239.26427311406587</v>
      </c>
    </row>
    <row r="144" spans="1:13" x14ac:dyDescent="0.25">
      <c r="A144" s="8">
        <v>2031</v>
      </c>
      <c r="C144" s="2">
        <f t="shared" si="74"/>
        <v>42230.116654001176</v>
      </c>
      <c r="D144">
        <f t="shared" si="75"/>
        <v>44762.944527365398</v>
      </c>
      <c r="E144" s="7">
        <f t="shared" si="76"/>
        <v>46598.794510000138</v>
      </c>
      <c r="F144" s="11">
        <f t="shared" si="79"/>
        <v>42649.270049805054</v>
      </c>
      <c r="G144" s="7">
        <f t="shared" si="71"/>
        <v>214.26427311406587</v>
      </c>
      <c r="H144" s="6">
        <v>14984</v>
      </c>
      <c r="J144" s="7">
        <f t="shared" ref="J144:J148" si="83">J143-25</f>
        <v>214.26427311406587</v>
      </c>
    </row>
    <row r="145" spans="1:10" x14ac:dyDescent="0.25">
      <c r="A145" s="8">
        <v>2032</v>
      </c>
      <c r="C145" s="2">
        <f t="shared" si="74"/>
        <v>43179.112521998584</v>
      </c>
      <c r="D145">
        <f t="shared" si="75"/>
        <v>45476.557580101937</v>
      </c>
      <c r="E145" s="7">
        <f t="shared" si="76"/>
        <v>47559.301003996967</v>
      </c>
      <c r="F145" s="11">
        <f t="shared" si="79"/>
        <v>42838.53432291912</v>
      </c>
      <c r="G145" s="7">
        <f t="shared" si="71"/>
        <v>189.26427311406587</v>
      </c>
      <c r="H145">
        <v>1907</v>
      </c>
      <c r="I145">
        <f t="shared" ref="I145" si="84">H146</f>
        <v>453</v>
      </c>
      <c r="J145" s="7">
        <f t="shared" si="83"/>
        <v>189.26427311406587</v>
      </c>
    </row>
    <row r="146" spans="1:10" x14ac:dyDescent="0.25">
      <c r="A146" s="8">
        <v>2033</v>
      </c>
      <c r="C146" s="2">
        <f t="shared" si="74"/>
        <v>44139.619015995413</v>
      </c>
      <c r="D146">
        <f t="shared" si="75"/>
        <v>46190.170632838475</v>
      </c>
      <c r="E146" s="7">
        <f t="shared" si="76"/>
        <v>48531.318123996942</v>
      </c>
      <c r="F146" s="11">
        <f t="shared" si="79"/>
        <v>43002.798596033186</v>
      </c>
      <c r="G146" s="7">
        <f t="shared" si="71"/>
        <v>164.26427311406587</v>
      </c>
      <c r="H146">
        <v>453</v>
      </c>
      <c r="J146" s="7">
        <f t="shared" si="83"/>
        <v>164.26427311406587</v>
      </c>
    </row>
    <row r="147" spans="1:10" x14ac:dyDescent="0.25">
      <c r="A147" s="8">
        <v>2034</v>
      </c>
      <c r="C147" s="2">
        <f t="shared" si="74"/>
        <v>45111.636135995388</v>
      </c>
      <c r="D147">
        <f t="shared" si="75"/>
        <v>46903.783685575014</v>
      </c>
      <c r="E147" s="7">
        <f t="shared" si="76"/>
        <v>49514.845869996338</v>
      </c>
      <c r="F147" s="11">
        <f t="shared" si="79"/>
        <v>43142.062869147252</v>
      </c>
      <c r="G147" s="7">
        <f t="shared" si="71"/>
        <v>139.26427311406587</v>
      </c>
      <c r="H147">
        <v>1938</v>
      </c>
      <c r="I147">
        <f t="shared" ref="I147" si="85">H148</f>
        <v>875</v>
      </c>
      <c r="J147" s="7">
        <f t="shared" si="83"/>
        <v>139.26427311406587</v>
      </c>
    </row>
    <row r="148" spans="1:10" x14ac:dyDescent="0.25">
      <c r="A148" s="8">
        <v>2035</v>
      </c>
      <c r="C148" s="2">
        <f t="shared" si="74"/>
        <v>46095.163881994784</v>
      </c>
      <c r="D148">
        <f t="shared" si="75"/>
        <v>47617.396738311552</v>
      </c>
      <c r="E148" s="7">
        <f t="shared" si="76"/>
        <v>50509.884242002605</v>
      </c>
      <c r="F148" s="11">
        <f t="shared" si="79"/>
        <v>43256.327142261318</v>
      </c>
      <c r="G148" s="7">
        <f t="shared" si="71"/>
        <v>114.26427311406587</v>
      </c>
      <c r="H148">
        <v>875</v>
      </c>
      <c r="J148" s="7">
        <f t="shared" si="83"/>
        <v>114.26427311406587</v>
      </c>
    </row>
    <row r="149" spans="1:10" x14ac:dyDescent="0.25">
      <c r="A149" s="8">
        <v>2036</v>
      </c>
      <c r="C149" s="2">
        <f t="shared" si="74"/>
        <v>47090.202254001051</v>
      </c>
      <c r="D149">
        <f t="shared" si="75"/>
        <v>48331.009791048098</v>
      </c>
      <c r="E149" s="7">
        <f t="shared" si="76"/>
        <v>51516.433240000842</v>
      </c>
      <c r="F149" s="11">
        <f t="shared" si="79"/>
        <v>43360.591415375384</v>
      </c>
      <c r="G149" s="7">
        <f t="shared" si="71"/>
        <v>104.26427311406587</v>
      </c>
      <c r="H149">
        <v>1969</v>
      </c>
      <c r="I149">
        <f t="shared" ref="I149" si="86">H150</f>
        <v>10661</v>
      </c>
      <c r="J149" s="7">
        <f t="shared" ref="J149:J155" si="87">J148-10</f>
        <v>104.26427311406587</v>
      </c>
    </row>
    <row r="150" spans="1:10" x14ac:dyDescent="0.25">
      <c r="A150" s="8">
        <v>2037</v>
      </c>
      <c r="C150" s="2">
        <f t="shared" si="74"/>
        <v>48096.751251999289</v>
      </c>
      <c r="D150">
        <f t="shared" si="75"/>
        <v>49044.622843784629</v>
      </c>
      <c r="E150" s="7">
        <f t="shared" si="76"/>
        <v>52534.492863998501</v>
      </c>
      <c r="F150" s="11">
        <f t="shared" si="79"/>
        <v>43454.85568848945</v>
      </c>
      <c r="G150" s="7">
        <f t="shared" si="71"/>
        <v>94.264273114065873</v>
      </c>
      <c r="H150" s="6">
        <v>10661</v>
      </c>
      <c r="J150" s="7">
        <f t="shared" si="87"/>
        <v>94.264273114065873</v>
      </c>
    </row>
    <row r="151" spans="1:10" x14ac:dyDescent="0.25">
      <c r="A151" s="8">
        <v>2038</v>
      </c>
      <c r="C151" s="2">
        <f t="shared" si="74"/>
        <v>49114.810875996947</v>
      </c>
      <c r="D151">
        <f t="shared" si="75"/>
        <v>49758.235896521175</v>
      </c>
      <c r="E151" s="7">
        <f t="shared" si="76"/>
        <v>53564.06311399558</v>
      </c>
      <c r="F151" s="11">
        <f t="shared" si="79"/>
        <v>43539.119961603516</v>
      </c>
      <c r="G151" s="7">
        <f t="shared" si="71"/>
        <v>84.264273114065873</v>
      </c>
      <c r="H151">
        <v>2000</v>
      </c>
      <c r="I151">
        <f t="shared" ref="I151" si="88">H152</f>
        <v>16050</v>
      </c>
      <c r="J151" s="7">
        <f t="shared" si="87"/>
        <v>84.264273114065873</v>
      </c>
    </row>
    <row r="152" spans="1:10" x14ac:dyDescent="0.25">
      <c r="A152" s="8">
        <v>2039</v>
      </c>
      <c r="C152" s="2">
        <f t="shared" si="74"/>
        <v>50144.381125994027</v>
      </c>
      <c r="D152">
        <f t="shared" si="75"/>
        <v>50471.848949257714</v>
      </c>
      <c r="E152" s="7">
        <f t="shared" si="76"/>
        <v>54605.143989995806</v>
      </c>
      <c r="F152" s="11">
        <f t="shared" si="79"/>
        <v>43613.384234717581</v>
      </c>
      <c r="G152" s="7">
        <f t="shared" si="71"/>
        <v>74.264273114065873</v>
      </c>
      <c r="H152" s="6">
        <v>16050</v>
      </c>
      <c r="J152" s="7">
        <f t="shared" si="87"/>
        <v>74.264273114065873</v>
      </c>
    </row>
    <row r="153" spans="1:10" x14ac:dyDescent="0.25">
      <c r="A153" s="8">
        <v>2040</v>
      </c>
      <c r="C153" s="2">
        <f t="shared" si="74"/>
        <v>51185.462001994252</v>
      </c>
      <c r="D153">
        <f t="shared" si="75"/>
        <v>51185.462001994252</v>
      </c>
      <c r="E153" s="7">
        <f t="shared" si="76"/>
        <v>55657.735492002903</v>
      </c>
      <c r="F153" s="11">
        <f t="shared" si="79"/>
        <v>43677.648507831647</v>
      </c>
      <c r="G153" s="7">
        <f t="shared" si="71"/>
        <v>64.264273114065873</v>
      </c>
      <c r="H153">
        <v>1908</v>
      </c>
      <c r="I153">
        <f t="shared" ref="I153" si="89">H154</f>
        <v>437</v>
      </c>
      <c r="J153" s="7">
        <f t="shared" si="87"/>
        <v>64.264273114065873</v>
      </c>
    </row>
    <row r="154" spans="1:10" x14ac:dyDescent="0.25">
      <c r="A154" s="8">
        <v>2041</v>
      </c>
      <c r="C154" s="2">
        <f t="shared" si="74"/>
        <v>52238.053504001349</v>
      </c>
      <c r="D154">
        <f t="shared" si="75"/>
        <v>51899.075054730791</v>
      </c>
      <c r="F154" s="11">
        <f t="shared" si="79"/>
        <v>43731.912780945713</v>
      </c>
      <c r="G154" s="7">
        <f t="shared" si="71"/>
        <v>54.264273114065873</v>
      </c>
      <c r="H154">
        <v>437</v>
      </c>
      <c r="J154" s="7">
        <f t="shared" si="87"/>
        <v>54.264273114065873</v>
      </c>
    </row>
    <row r="155" spans="1:10" x14ac:dyDescent="0.25">
      <c r="A155" s="8">
        <v>2042</v>
      </c>
      <c r="F155" s="11">
        <f t="shared" si="79"/>
        <v>43776.177054059779</v>
      </c>
      <c r="G155" s="7">
        <f t="shared" si="71"/>
        <v>44.264273114065873</v>
      </c>
      <c r="H155">
        <v>1939</v>
      </c>
      <c r="I155">
        <f t="shared" ref="I155" si="90">H156</f>
        <v>1121</v>
      </c>
      <c r="J155" s="7">
        <f t="shared" si="87"/>
        <v>44.264273114065873</v>
      </c>
    </row>
    <row r="156" spans="1:10" x14ac:dyDescent="0.25">
      <c r="A156" s="8">
        <v>2043</v>
      </c>
      <c r="F156" s="11">
        <f t="shared" si="79"/>
        <v>43815.441327173845</v>
      </c>
      <c r="G156" s="7">
        <f t="shared" si="71"/>
        <v>39.264273114065873</v>
      </c>
      <c r="H156" s="6">
        <v>1121</v>
      </c>
      <c r="J156" s="7">
        <f>J155-5</f>
        <v>39.264273114065873</v>
      </c>
    </row>
    <row r="157" spans="1:10" x14ac:dyDescent="0.25">
      <c r="A157" s="8">
        <v>2044</v>
      </c>
      <c r="F157" s="11">
        <f t="shared" si="79"/>
        <v>43849.705600287911</v>
      </c>
      <c r="G157" s="7">
        <f t="shared" si="71"/>
        <v>34.264273114065873</v>
      </c>
      <c r="H157">
        <v>1970</v>
      </c>
      <c r="I157">
        <f t="shared" ref="I157" si="91">H158</f>
        <v>10373</v>
      </c>
      <c r="J157" s="7">
        <f t="shared" ref="J157:J163" si="92">J156-5</f>
        <v>34.264273114065873</v>
      </c>
    </row>
    <row r="158" spans="1:10" x14ac:dyDescent="0.25">
      <c r="A158" s="8">
        <v>2045</v>
      </c>
      <c r="F158" s="11">
        <f t="shared" si="79"/>
        <v>43878.969873401977</v>
      </c>
      <c r="G158" s="7">
        <f t="shared" si="71"/>
        <v>29.264273114065873</v>
      </c>
      <c r="H158" s="6">
        <v>10373</v>
      </c>
      <c r="J158" s="7">
        <f t="shared" si="92"/>
        <v>29.264273114065873</v>
      </c>
    </row>
    <row r="159" spans="1:10" x14ac:dyDescent="0.25">
      <c r="A159" s="8">
        <v>2046</v>
      </c>
      <c r="F159" s="11">
        <f t="shared" si="79"/>
        <v>43903.234146516043</v>
      </c>
      <c r="G159" s="7">
        <f t="shared" si="71"/>
        <v>24.264273114065873</v>
      </c>
      <c r="H159">
        <v>2001</v>
      </c>
      <c r="I159">
        <f t="shared" ref="I159" si="93">H160</f>
        <v>16871</v>
      </c>
      <c r="J159" s="7">
        <f t="shared" si="92"/>
        <v>24.264273114065873</v>
      </c>
    </row>
    <row r="160" spans="1:10" x14ac:dyDescent="0.25">
      <c r="A160" s="8">
        <v>2047</v>
      </c>
      <c r="F160" s="11">
        <f t="shared" si="79"/>
        <v>43922.498419630108</v>
      </c>
      <c r="G160" s="7">
        <f t="shared" si="71"/>
        <v>19.264273114065873</v>
      </c>
      <c r="H160" s="6">
        <v>16871</v>
      </c>
      <c r="J160" s="7">
        <f t="shared" si="92"/>
        <v>19.264273114065873</v>
      </c>
    </row>
    <row r="161" spans="1:10" x14ac:dyDescent="0.25">
      <c r="A161" s="8">
        <v>2048</v>
      </c>
      <c r="F161" s="11">
        <f t="shared" si="79"/>
        <v>43936.762692744174</v>
      </c>
      <c r="G161" s="7">
        <f t="shared" si="71"/>
        <v>14.264273114065873</v>
      </c>
      <c r="H161">
        <v>1909</v>
      </c>
      <c r="I161">
        <f t="shared" ref="I161" si="94">H162</f>
        <v>465</v>
      </c>
      <c r="J161" s="7">
        <f t="shared" si="92"/>
        <v>14.264273114065873</v>
      </c>
    </row>
    <row r="162" spans="1:10" x14ac:dyDescent="0.25">
      <c r="A162" s="8">
        <v>2049</v>
      </c>
      <c r="F162" s="11">
        <f t="shared" si="79"/>
        <v>43946.02696585824</v>
      </c>
      <c r="G162" s="7">
        <f t="shared" si="71"/>
        <v>9.2642731140658725</v>
      </c>
      <c r="H162">
        <v>465</v>
      </c>
      <c r="J162" s="7">
        <f t="shared" si="92"/>
        <v>9.2642731140658725</v>
      </c>
    </row>
    <row r="163" spans="1:10" x14ac:dyDescent="0.25">
      <c r="A163" s="8">
        <v>2050</v>
      </c>
      <c r="F163" s="11">
        <f>F162+J163</f>
        <v>43950.291238972306</v>
      </c>
      <c r="G163" s="7">
        <f t="shared" si="71"/>
        <v>4.2642731140658725</v>
      </c>
      <c r="H163">
        <v>1940</v>
      </c>
      <c r="I163">
        <f t="shared" ref="I163" si="95">H164</f>
        <v>1337</v>
      </c>
      <c r="J163" s="7">
        <f t="shared" si="92"/>
        <v>4.2642731140658725</v>
      </c>
    </row>
    <row r="164" spans="1:10" x14ac:dyDescent="0.25">
      <c r="G164" s="7">
        <f>SUM(G140:G163)</f>
        <v>3197.3425547375809</v>
      </c>
      <c r="H164" s="6">
        <v>1337</v>
      </c>
      <c r="J164" s="7">
        <f>SUM(J140:J163)</f>
        <v>3197.3425547375809</v>
      </c>
    </row>
    <row r="165" spans="1:10" x14ac:dyDescent="0.25">
      <c r="G165" s="7"/>
      <c r="H165">
        <v>1971</v>
      </c>
      <c r="I165">
        <f t="shared" ref="I165" si="96">H166</f>
        <v>9772</v>
      </c>
    </row>
    <row r="166" spans="1:10" x14ac:dyDescent="0.25">
      <c r="G166" s="7"/>
      <c r="H166" s="6">
        <v>9772</v>
      </c>
    </row>
    <row r="167" spans="1:10" x14ac:dyDescent="0.25">
      <c r="G167" s="7"/>
      <c r="H167">
        <v>2002</v>
      </c>
      <c r="I167">
        <f t="shared" ref="I167" si="97">H168</f>
        <v>18059</v>
      </c>
    </row>
    <row r="168" spans="1:10" x14ac:dyDescent="0.25">
      <c r="G168" s="7"/>
      <c r="H168" s="6">
        <v>18059</v>
      </c>
    </row>
    <row r="169" spans="1:10" x14ac:dyDescent="0.25">
      <c r="G169" s="7"/>
      <c r="H169">
        <v>1910</v>
      </c>
      <c r="I169">
        <f t="shared" ref="I169" si="98">H170</f>
        <v>491</v>
      </c>
    </row>
    <row r="170" spans="1:10" x14ac:dyDescent="0.25">
      <c r="G170" s="7"/>
      <c r="H170">
        <v>491</v>
      </c>
    </row>
    <row r="171" spans="1:10" x14ac:dyDescent="0.25">
      <c r="G171" s="7"/>
      <c r="H171">
        <v>1941</v>
      </c>
      <c r="I171">
        <f t="shared" ref="I171" si="99">H172</f>
        <v>1114</v>
      </c>
    </row>
    <row r="172" spans="1:10" x14ac:dyDescent="0.25">
      <c r="G172" s="7"/>
      <c r="H172" s="6">
        <v>1114</v>
      </c>
    </row>
    <row r="173" spans="1:10" x14ac:dyDescent="0.25">
      <c r="G173" s="7"/>
      <c r="H173">
        <v>1972</v>
      </c>
      <c r="I173">
        <f t="shared" ref="I173" si="100">H174</f>
        <v>8203</v>
      </c>
    </row>
    <row r="174" spans="1:10" x14ac:dyDescent="0.25">
      <c r="G174" s="7"/>
      <c r="H174" s="6">
        <v>8203</v>
      </c>
    </row>
    <row r="175" spans="1:10" x14ac:dyDescent="0.25">
      <c r="G175" s="7"/>
      <c r="H175">
        <v>2003</v>
      </c>
      <c r="I175">
        <f t="shared" ref="I175" si="101">H176</f>
        <v>18821</v>
      </c>
    </row>
    <row r="176" spans="1:10" x14ac:dyDescent="0.25">
      <c r="G176" s="7"/>
      <c r="H176" s="6">
        <v>18821</v>
      </c>
    </row>
    <row r="177" spans="7:9" x14ac:dyDescent="0.25">
      <c r="G177" s="7"/>
      <c r="H177">
        <v>1911</v>
      </c>
      <c r="I177">
        <f t="shared" ref="I177" si="102">H178</f>
        <v>479</v>
      </c>
    </row>
    <row r="178" spans="7:9" x14ac:dyDescent="0.25">
      <c r="G178" s="7"/>
      <c r="H178">
        <v>479</v>
      </c>
    </row>
    <row r="179" spans="7:9" x14ac:dyDescent="0.25">
      <c r="G179" s="7"/>
      <c r="H179">
        <v>1942</v>
      </c>
      <c r="I179">
        <f t="shared" ref="I179" si="103">H180</f>
        <v>730</v>
      </c>
    </row>
    <row r="180" spans="7:9" x14ac:dyDescent="0.25">
      <c r="G180" s="7"/>
      <c r="H180">
        <v>730</v>
      </c>
    </row>
    <row r="181" spans="7:9" x14ac:dyDescent="0.25">
      <c r="G181" s="7"/>
      <c r="H181">
        <v>1973</v>
      </c>
      <c r="I181">
        <f t="shared" ref="I181" si="104">H182</f>
        <v>8303</v>
      </c>
    </row>
    <row r="182" spans="7:9" x14ac:dyDescent="0.25">
      <c r="G182" s="7"/>
      <c r="H182" s="6">
        <v>8303</v>
      </c>
    </row>
    <row r="183" spans="7:9" x14ac:dyDescent="0.25">
      <c r="G183" s="7"/>
      <c r="H183">
        <v>2004</v>
      </c>
      <c r="I183">
        <f t="shared" ref="I183" si="105">H184</f>
        <v>18498</v>
      </c>
    </row>
    <row r="184" spans="7:9" x14ac:dyDescent="0.25">
      <c r="G184" s="7"/>
      <c r="H184" s="6">
        <v>18498</v>
      </c>
    </row>
    <row r="185" spans="7:9" x14ac:dyDescent="0.25">
      <c r="G185" s="7"/>
      <c r="H185">
        <v>1912</v>
      </c>
      <c r="I185">
        <f t="shared" ref="I185" si="106">H186</f>
        <v>485</v>
      </c>
    </row>
    <row r="186" spans="7:9" x14ac:dyDescent="0.25">
      <c r="G186" s="7"/>
      <c r="H186">
        <v>485</v>
      </c>
    </row>
    <row r="187" spans="7:9" x14ac:dyDescent="0.25">
      <c r="G187" s="7"/>
      <c r="H187">
        <v>1943</v>
      </c>
      <c r="I187">
        <f t="shared" ref="I187" si="107">H188</f>
        <v>723</v>
      </c>
    </row>
    <row r="188" spans="7:9" x14ac:dyDescent="0.25">
      <c r="G188" s="7"/>
      <c r="H188">
        <v>723</v>
      </c>
    </row>
    <row r="189" spans="7:9" x14ac:dyDescent="0.25">
      <c r="G189" s="7"/>
      <c r="H189">
        <v>1974</v>
      </c>
      <c r="I189">
        <f t="shared" ref="I189" si="108">H190</f>
        <v>8574</v>
      </c>
    </row>
    <row r="190" spans="7:9" x14ac:dyDescent="0.25">
      <c r="G190" s="7"/>
      <c r="H190" s="6">
        <v>8574</v>
      </c>
    </row>
    <row r="191" spans="7:9" x14ac:dyDescent="0.25">
      <c r="G191" s="7"/>
      <c r="H191">
        <v>2005</v>
      </c>
      <c r="I191">
        <f t="shared" ref="I191" si="109">H192</f>
        <v>18142</v>
      </c>
    </row>
    <row r="192" spans="7:9" x14ac:dyDescent="0.25">
      <c r="G192" s="7"/>
      <c r="H192" s="6">
        <v>18142</v>
      </c>
    </row>
    <row r="193" spans="7:9" x14ac:dyDescent="0.25">
      <c r="G193" s="7"/>
      <c r="H193">
        <v>1913</v>
      </c>
      <c r="I193">
        <f t="shared" ref="I193" si="110">H194</f>
        <v>445</v>
      </c>
    </row>
    <row r="194" spans="7:9" x14ac:dyDescent="0.25">
      <c r="G194" s="7"/>
      <c r="H194">
        <v>445</v>
      </c>
    </row>
    <row r="195" spans="7:9" x14ac:dyDescent="0.25">
      <c r="G195" s="7"/>
      <c r="H195">
        <v>1944</v>
      </c>
      <c r="I195">
        <f t="shared" ref="I195" si="111">H196</f>
        <v>465</v>
      </c>
    </row>
    <row r="196" spans="7:9" x14ac:dyDescent="0.25">
      <c r="G196" s="7"/>
      <c r="H196">
        <v>465</v>
      </c>
    </row>
    <row r="197" spans="7:9" x14ac:dyDescent="0.25">
      <c r="G197" s="7"/>
      <c r="H197">
        <v>1975</v>
      </c>
      <c r="I197">
        <f t="shared" ref="I197" si="112">H198</f>
        <v>9458</v>
      </c>
    </row>
    <row r="198" spans="7:9" x14ac:dyDescent="0.25">
      <c r="G198" s="7"/>
      <c r="H198" s="6">
        <v>9458</v>
      </c>
    </row>
    <row r="199" spans="7:9" x14ac:dyDescent="0.25">
      <c r="G199" s="7"/>
      <c r="H199">
        <v>2006</v>
      </c>
      <c r="I199">
        <f t="shared" ref="I199" si="113">H200</f>
        <v>18303</v>
      </c>
    </row>
    <row r="200" spans="7:9" x14ac:dyDescent="0.25">
      <c r="G200" s="7"/>
      <c r="H200" s="6">
        <v>18303</v>
      </c>
    </row>
    <row r="201" spans="7:9" x14ac:dyDescent="0.25">
      <c r="G201" s="7"/>
      <c r="H201">
        <v>1914</v>
      </c>
      <c r="I201">
        <f t="shared" ref="I201" si="114">H202</f>
        <v>447</v>
      </c>
    </row>
    <row r="202" spans="7:9" x14ac:dyDescent="0.25">
      <c r="G202" s="7"/>
      <c r="H202">
        <v>447</v>
      </c>
    </row>
    <row r="203" spans="7:9" x14ac:dyDescent="0.25">
      <c r="G203" s="7"/>
      <c r="H203">
        <v>1945</v>
      </c>
      <c r="I203">
        <f t="shared" ref="I203" si="115">H204</f>
        <v>967</v>
      </c>
    </row>
    <row r="204" spans="7:9" x14ac:dyDescent="0.25">
      <c r="G204" s="7"/>
      <c r="H204">
        <v>967</v>
      </c>
    </row>
    <row r="205" spans="7:9" x14ac:dyDescent="0.25">
      <c r="G205" s="7"/>
      <c r="H205">
        <v>1976</v>
      </c>
      <c r="I205">
        <f t="shared" ref="I205" si="116">H206</f>
        <v>8818</v>
      </c>
    </row>
    <row r="206" spans="7:9" x14ac:dyDescent="0.25">
      <c r="G206" s="7"/>
      <c r="H206" s="6">
        <v>8818</v>
      </c>
    </row>
    <row r="207" spans="7:9" x14ac:dyDescent="0.25">
      <c r="G207" s="7"/>
      <c r="H207">
        <v>2007</v>
      </c>
      <c r="I207">
        <f t="shared" ref="I207" si="117">H208</f>
        <v>18081</v>
      </c>
    </row>
    <row r="208" spans="7:9" x14ac:dyDescent="0.25">
      <c r="G208" s="7"/>
      <c r="H208" s="6">
        <v>18081</v>
      </c>
    </row>
    <row r="209" spans="7:9" x14ac:dyDescent="0.25">
      <c r="G209" s="7"/>
      <c r="H209">
        <v>1915</v>
      </c>
      <c r="I209">
        <f t="shared" ref="I209" si="118">H210</f>
        <v>525</v>
      </c>
    </row>
    <row r="210" spans="7:9" x14ac:dyDescent="0.25">
      <c r="G210" s="7"/>
      <c r="H210">
        <v>525</v>
      </c>
    </row>
    <row r="211" spans="7:9" x14ac:dyDescent="0.25">
      <c r="G211" s="7"/>
      <c r="H211">
        <v>1946</v>
      </c>
      <c r="I211">
        <f t="shared" ref="I211" si="119">H212</f>
        <v>1808</v>
      </c>
    </row>
    <row r="212" spans="7:9" x14ac:dyDescent="0.25">
      <c r="G212" s="7"/>
      <c r="H212" s="6">
        <v>1808</v>
      </c>
    </row>
    <row r="213" spans="7:9" x14ac:dyDescent="0.25">
      <c r="G213" s="7"/>
      <c r="H213">
        <v>1977</v>
      </c>
      <c r="I213">
        <f t="shared" ref="I213" si="120">H214</f>
        <v>8741</v>
      </c>
    </row>
    <row r="214" spans="7:9" x14ac:dyDescent="0.25">
      <c r="G214" s="7"/>
      <c r="H214" s="6">
        <v>8741</v>
      </c>
    </row>
    <row r="215" spans="7:9" x14ac:dyDescent="0.25">
      <c r="G215" s="7"/>
      <c r="H215">
        <v>2008</v>
      </c>
      <c r="I215">
        <f t="shared" ref="I215" si="121">H216</f>
        <v>21388</v>
      </c>
    </row>
    <row r="216" spans="7:9" x14ac:dyDescent="0.25">
      <c r="G216" s="7"/>
      <c r="H216" s="6">
        <v>21388</v>
      </c>
    </row>
    <row r="217" spans="7:9" x14ac:dyDescent="0.25">
      <c r="G217" s="7"/>
      <c r="H217">
        <v>1916</v>
      </c>
      <c r="I217">
        <f t="shared" ref="I217" si="122">H218</f>
        <v>576</v>
      </c>
    </row>
    <row r="218" spans="7:9" x14ac:dyDescent="0.25">
      <c r="G218" s="7"/>
      <c r="H218">
        <v>576</v>
      </c>
    </row>
    <row r="219" spans="7:9" x14ac:dyDescent="0.25">
      <c r="G219" s="7"/>
      <c r="H219">
        <v>1947</v>
      </c>
      <c r="I219">
        <f t="shared" ref="I219" si="123">H220</f>
        <v>1752</v>
      </c>
    </row>
    <row r="220" spans="7:9" x14ac:dyDescent="0.25">
      <c r="G220" s="7"/>
      <c r="H220" s="6">
        <v>1752</v>
      </c>
    </row>
    <row r="221" spans="7:9" x14ac:dyDescent="0.25">
      <c r="G221" s="7"/>
      <c r="H221">
        <v>1978</v>
      </c>
      <c r="I221">
        <f t="shared" ref="I221" si="124">H222</f>
        <v>8920</v>
      </c>
    </row>
    <row r="222" spans="7:9" x14ac:dyDescent="0.25">
      <c r="G222" s="7"/>
      <c r="H222" s="6">
        <v>8920</v>
      </c>
    </row>
    <row r="223" spans="7:9" x14ac:dyDescent="0.25">
      <c r="G223" s="7"/>
      <c r="H223">
        <v>2009</v>
      </c>
      <c r="I223">
        <f t="shared" ref="I223" si="125">H224</f>
        <v>23001</v>
      </c>
    </row>
    <row r="224" spans="7:9" x14ac:dyDescent="0.25">
      <c r="G224" s="7"/>
      <c r="H224" s="6">
        <v>23001</v>
      </c>
    </row>
    <row r="225" spans="7:9" x14ac:dyDescent="0.25">
      <c r="G225" s="7"/>
      <c r="H225">
        <v>1917</v>
      </c>
      <c r="I225">
        <f t="shared" ref="I225" si="126">H226</f>
        <v>453</v>
      </c>
    </row>
    <row r="226" spans="7:9" x14ac:dyDescent="0.25">
      <c r="G226" s="7"/>
      <c r="H226">
        <v>453</v>
      </c>
    </row>
    <row r="227" spans="7:9" x14ac:dyDescent="0.25">
      <c r="G227" s="7"/>
      <c r="H227">
        <v>1948</v>
      </c>
      <c r="I227">
        <f t="shared" ref="I227" si="127">H228</f>
        <v>1614</v>
      </c>
    </row>
    <row r="228" spans="7:9" x14ac:dyDescent="0.25">
      <c r="G228" s="7"/>
      <c r="H228" s="6">
        <v>1614</v>
      </c>
    </row>
    <row r="229" spans="7:9" x14ac:dyDescent="0.25">
      <c r="G229" s="7"/>
      <c r="H229">
        <v>1979</v>
      </c>
      <c r="I229">
        <f t="shared" ref="I229" si="128">H230</f>
        <v>9674</v>
      </c>
    </row>
    <row r="230" spans="7:9" x14ac:dyDescent="0.25">
      <c r="G230" s="7"/>
      <c r="H230" s="6">
        <v>9674</v>
      </c>
    </row>
    <row r="231" spans="7:9" x14ac:dyDescent="0.25">
      <c r="G231" s="7"/>
      <c r="H231">
        <v>2010</v>
      </c>
      <c r="I231">
        <f t="shared" ref="I231" si="129">H232</f>
        <v>24048</v>
      </c>
    </row>
    <row r="232" spans="7:9" x14ac:dyDescent="0.25">
      <c r="G232" s="7"/>
      <c r="H232" s="6">
        <v>24048</v>
      </c>
    </row>
    <row r="233" spans="7:9" x14ac:dyDescent="0.25">
      <c r="G233" s="7"/>
      <c r="H233">
        <v>1918</v>
      </c>
      <c r="I233">
        <f t="shared" ref="I233" si="130">H234</f>
        <v>571</v>
      </c>
    </row>
    <row r="234" spans="7:9" x14ac:dyDescent="0.25">
      <c r="G234" s="7"/>
      <c r="H234">
        <v>571</v>
      </c>
    </row>
    <row r="235" spans="7:9" x14ac:dyDescent="0.25">
      <c r="G235" s="7"/>
      <c r="H235">
        <v>1949</v>
      </c>
      <c r="I235">
        <f t="shared" ref="I235" si="131">H236</f>
        <v>1594</v>
      </c>
    </row>
    <row r="236" spans="7:9" x14ac:dyDescent="0.25">
      <c r="G236" s="7"/>
      <c r="H236" s="6">
        <v>1594</v>
      </c>
    </row>
    <row r="237" spans="7:9" x14ac:dyDescent="0.25">
      <c r="G237" s="7"/>
      <c r="H237">
        <v>1980</v>
      </c>
      <c r="I237">
        <f t="shared" ref="I237" si="132">H238</f>
        <v>10065</v>
      </c>
    </row>
    <row r="238" spans="7:9" x14ac:dyDescent="0.25">
      <c r="G238" s="7"/>
      <c r="H238" s="6">
        <v>10065</v>
      </c>
    </row>
    <row r="239" spans="7:9" x14ac:dyDescent="0.25">
      <c r="G239" s="7"/>
      <c r="H239">
        <v>2011</v>
      </c>
      <c r="I239">
        <f t="shared" ref="I239" si="133">H240</f>
        <v>25301</v>
      </c>
    </row>
    <row r="240" spans="7:9" x14ac:dyDescent="0.25">
      <c r="G240" s="7"/>
      <c r="H240" s="6">
        <v>25301</v>
      </c>
    </row>
    <row r="241" spans="7:9" x14ac:dyDescent="0.25">
      <c r="G241" s="7"/>
      <c r="H241">
        <v>1919</v>
      </c>
      <c r="I241">
        <f t="shared" ref="I241" si="134">H242</f>
        <v>835</v>
      </c>
    </row>
    <row r="242" spans="7:9" x14ac:dyDescent="0.25">
      <c r="G242" s="7"/>
      <c r="H242">
        <v>835</v>
      </c>
    </row>
    <row r="243" spans="7:9" x14ac:dyDescent="0.25">
      <c r="G243" s="7"/>
      <c r="H243">
        <v>1950</v>
      </c>
      <c r="I243">
        <f t="shared" ref="I243" si="135">H244</f>
        <v>1386</v>
      </c>
    </row>
    <row r="244" spans="7:9" x14ac:dyDescent="0.25">
      <c r="G244" s="7"/>
      <c r="H244" s="6">
        <v>1386</v>
      </c>
    </row>
    <row r="245" spans="7:9" x14ac:dyDescent="0.25">
      <c r="G245" s="7"/>
      <c r="H245">
        <v>1981</v>
      </c>
      <c r="I245">
        <f t="shared" ref="I245" si="136">H246</f>
        <v>10230</v>
      </c>
    </row>
    <row r="246" spans="7:9" x14ac:dyDescent="0.25">
      <c r="G246" s="7"/>
      <c r="H246" s="6">
        <v>10230</v>
      </c>
    </row>
    <row r="247" spans="7:9" x14ac:dyDescent="0.25">
      <c r="G247" s="7"/>
      <c r="H247">
        <v>2012</v>
      </c>
      <c r="I247">
        <f t="shared" ref="I247" si="137">H248</f>
        <v>26532</v>
      </c>
    </row>
    <row r="248" spans="7:9" x14ac:dyDescent="0.25">
      <c r="G248" s="7"/>
      <c r="H248" s="6">
        <v>26532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Y64"/>
  <sheetViews>
    <sheetView topLeftCell="A27" workbookViewId="0">
      <selection activeCell="D64" sqref="D33:D64"/>
    </sheetView>
  </sheetViews>
  <sheetFormatPr defaultRowHeight="15" x14ac:dyDescent="0.25"/>
  <cols>
    <col min="2" max="2" width="12" style="2" bestFit="1" customWidth="1"/>
  </cols>
  <sheetData>
    <row r="1" spans="1:3" x14ac:dyDescent="0.25">
      <c r="A1" t="s">
        <v>13</v>
      </c>
      <c r="B1" s="2" t="s">
        <v>14</v>
      </c>
    </row>
    <row r="2" spans="1:3" x14ac:dyDescent="0.25">
      <c r="A2">
        <v>1988</v>
      </c>
      <c r="B2" s="2">
        <v>6832</v>
      </c>
      <c r="C2" s="156">
        <f t="shared" ref="C2:C21" si="0">B2</f>
        <v>6832</v>
      </c>
    </row>
    <row r="3" spans="1:3" x14ac:dyDescent="0.25">
      <c r="A3">
        <v>1989</v>
      </c>
      <c r="B3" s="2">
        <v>7758</v>
      </c>
      <c r="C3" s="156">
        <f t="shared" si="0"/>
        <v>7758</v>
      </c>
    </row>
    <row r="4" spans="1:3" x14ac:dyDescent="0.25">
      <c r="A4">
        <v>1990</v>
      </c>
      <c r="B4" s="2">
        <v>7885</v>
      </c>
      <c r="C4" s="156">
        <f t="shared" si="0"/>
        <v>7885</v>
      </c>
    </row>
    <row r="5" spans="1:3" x14ac:dyDescent="0.25">
      <c r="A5">
        <v>1991</v>
      </c>
      <c r="B5" s="2">
        <v>8777</v>
      </c>
      <c r="C5" s="156">
        <f t="shared" si="0"/>
        <v>8777</v>
      </c>
    </row>
    <row r="6" spans="1:3" x14ac:dyDescent="0.25">
      <c r="A6">
        <v>1992</v>
      </c>
      <c r="B6" s="2">
        <v>9623</v>
      </c>
      <c r="C6" s="156">
        <f t="shared" si="0"/>
        <v>9623</v>
      </c>
    </row>
    <row r="7" spans="1:3" x14ac:dyDescent="0.25">
      <c r="A7">
        <v>1993</v>
      </c>
      <c r="B7" s="2">
        <v>10512</v>
      </c>
      <c r="C7" s="156">
        <f t="shared" si="0"/>
        <v>10512</v>
      </c>
    </row>
    <row r="8" spans="1:3" x14ac:dyDescent="0.25">
      <c r="A8">
        <v>1994</v>
      </c>
      <c r="B8" s="2">
        <v>13293</v>
      </c>
      <c r="C8" s="156">
        <f t="shared" si="0"/>
        <v>13293</v>
      </c>
    </row>
    <row r="9" spans="1:3" x14ac:dyDescent="0.25">
      <c r="A9">
        <v>1995</v>
      </c>
      <c r="B9" s="2">
        <v>14040</v>
      </c>
      <c r="C9" s="156">
        <f t="shared" si="0"/>
        <v>14040</v>
      </c>
    </row>
    <row r="10" spans="1:3" x14ac:dyDescent="0.25">
      <c r="A10">
        <v>1996</v>
      </c>
      <c r="B10" s="2">
        <v>14756</v>
      </c>
      <c r="C10" s="156">
        <f t="shared" si="0"/>
        <v>14756</v>
      </c>
    </row>
    <row r="11" spans="1:3" x14ac:dyDescent="0.25">
      <c r="A11">
        <v>1997</v>
      </c>
      <c r="B11" s="2">
        <v>15994</v>
      </c>
      <c r="C11" s="156">
        <f t="shared" si="0"/>
        <v>15994</v>
      </c>
    </row>
    <row r="12" spans="1:3" x14ac:dyDescent="0.25">
      <c r="A12">
        <v>1998</v>
      </c>
      <c r="B12" s="2">
        <v>18174</v>
      </c>
      <c r="C12" s="156">
        <f t="shared" si="0"/>
        <v>18174</v>
      </c>
    </row>
    <row r="13" spans="1:3" x14ac:dyDescent="0.25">
      <c r="A13">
        <v>1999</v>
      </c>
      <c r="B13" s="2">
        <v>20062</v>
      </c>
      <c r="C13" s="156">
        <f t="shared" si="0"/>
        <v>20062</v>
      </c>
    </row>
    <row r="14" spans="1:3" x14ac:dyDescent="0.25">
      <c r="A14">
        <v>2000</v>
      </c>
      <c r="B14" s="2">
        <v>20946</v>
      </c>
      <c r="C14" s="156">
        <f t="shared" si="0"/>
        <v>20946</v>
      </c>
    </row>
    <row r="15" spans="1:3" x14ac:dyDescent="0.25">
      <c r="A15">
        <v>2001</v>
      </c>
      <c r="B15" s="2">
        <v>22609</v>
      </c>
      <c r="C15" s="156">
        <f t="shared" si="0"/>
        <v>22609</v>
      </c>
    </row>
    <row r="16" spans="1:3" x14ac:dyDescent="0.25">
      <c r="A16">
        <v>2002</v>
      </c>
      <c r="B16" s="2">
        <v>23609</v>
      </c>
      <c r="C16" s="156">
        <f t="shared" si="0"/>
        <v>23609</v>
      </c>
    </row>
    <row r="17" spans="1:9" x14ac:dyDescent="0.25">
      <c r="A17">
        <v>2003</v>
      </c>
      <c r="B17" s="2">
        <v>23803</v>
      </c>
      <c r="C17" s="156">
        <f t="shared" si="0"/>
        <v>23803</v>
      </c>
    </row>
    <row r="18" spans="1:9" x14ac:dyDescent="0.25">
      <c r="A18">
        <v>2004</v>
      </c>
      <c r="B18" s="2">
        <v>24149</v>
      </c>
      <c r="C18" s="156">
        <f t="shared" si="0"/>
        <v>24149</v>
      </c>
    </row>
    <row r="19" spans="1:9" x14ac:dyDescent="0.25">
      <c r="A19">
        <v>2005</v>
      </c>
      <c r="B19" s="2">
        <v>24487</v>
      </c>
      <c r="C19" s="156">
        <f t="shared" si="0"/>
        <v>24487</v>
      </c>
    </row>
    <row r="20" spans="1:9" x14ac:dyDescent="0.25">
      <c r="A20">
        <v>2006</v>
      </c>
      <c r="B20" s="2">
        <v>23305</v>
      </c>
      <c r="C20" s="156">
        <f t="shared" si="0"/>
        <v>23305</v>
      </c>
    </row>
    <row r="21" spans="1:9" x14ac:dyDescent="0.25">
      <c r="A21">
        <v>2007</v>
      </c>
      <c r="B21" s="2">
        <v>23840</v>
      </c>
      <c r="C21" s="156">
        <f t="shared" si="0"/>
        <v>23840</v>
      </c>
      <c r="G21" s="7">
        <f>B21</f>
        <v>23840</v>
      </c>
      <c r="H21" s="7">
        <v>20959</v>
      </c>
      <c r="I21" s="7"/>
    </row>
    <row r="22" spans="1:9" x14ac:dyDescent="0.25">
      <c r="A22">
        <v>2008</v>
      </c>
      <c r="B22" s="13">
        <f>H22+I27</f>
        <v>27051.666666666664</v>
      </c>
      <c r="C22" s="156">
        <f>B22</f>
        <v>27051.666666666664</v>
      </c>
      <c r="G22" s="7"/>
      <c r="H22" s="7">
        <v>22292</v>
      </c>
      <c r="I22" s="7"/>
    </row>
    <row r="23" spans="1:9" x14ac:dyDescent="0.25">
      <c r="A23">
        <v>2009</v>
      </c>
      <c r="B23" s="13">
        <f>H23+I27</f>
        <v>29351.666666666664</v>
      </c>
      <c r="C23" s="157">
        <v>29045</v>
      </c>
      <c r="G23" s="7"/>
      <c r="H23" s="7">
        <v>24592</v>
      </c>
      <c r="I23" s="7"/>
    </row>
    <row r="24" spans="1:9" x14ac:dyDescent="0.25">
      <c r="A24">
        <v>2010</v>
      </c>
      <c r="B24" s="13">
        <f>G24</f>
        <v>32670</v>
      </c>
      <c r="C24" s="157">
        <v>31739</v>
      </c>
      <c r="G24" s="7">
        <v>32670</v>
      </c>
      <c r="H24" s="7">
        <v>26844</v>
      </c>
      <c r="I24" s="7"/>
    </row>
    <row r="25" spans="1:9" x14ac:dyDescent="0.25">
      <c r="A25">
        <v>2011</v>
      </c>
      <c r="B25" s="13">
        <f>G25</f>
        <v>33395</v>
      </c>
      <c r="C25" s="157">
        <v>32734</v>
      </c>
      <c r="G25" s="7">
        <v>33395</v>
      </c>
      <c r="H25" s="7">
        <v>27823</v>
      </c>
      <c r="I25" s="7"/>
    </row>
    <row r="26" spans="1:9" x14ac:dyDescent="0.25">
      <c r="A26">
        <v>2012</v>
      </c>
      <c r="B26" s="2">
        <v>34085.134773359998</v>
      </c>
      <c r="C26" s="157">
        <v>31810</v>
      </c>
      <c r="G26" s="7"/>
      <c r="H26" s="7"/>
      <c r="I26" s="7"/>
    </row>
    <row r="27" spans="1:9" x14ac:dyDescent="0.25">
      <c r="A27">
        <v>2013</v>
      </c>
      <c r="B27" s="2">
        <v>35442.530271152515</v>
      </c>
      <c r="C27" s="157">
        <v>30880</v>
      </c>
      <c r="G27" s="7">
        <f>AVERAGE(G24:G25,G21)</f>
        <v>29968.333333333332</v>
      </c>
      <c r="H27" s="7">
        <f>AVERAGE(H24:H25,H21)</f>
        <v>25208.666666666668</v>
      </c>
      <c r="I27" s="7">
        <f>G27-H27</f>
        <v>4759.6666666666642</v>
      </c>
    </row>
    <row r="28" spans="1:9" x14ac:dyDescent="0.25">
      <c r="A28">
        <v>2014</v>
      </c>
      <c r="B28" s="2">
        <v>36853.424649062406</v>
      </c>
      <c r="C28" s="157">
        <v>31589</v>
      </c>
    </row>
    <row r="29" spans="1:9" x14ac:dyDescent="0.25">
      <c r="A29">
        <v>2015</v>
      </c>
      <c r="B29" s="2">
        <v>38280.150649214425</v>
      </c>
      <c r="C29" s="157">
        <v>33565</v>
      </c>
      <c r="F29" s="47" t="s">
        <v>207</v>
      </c>
    </row>
    <row r="30" spans="1:9" x14ac:dyDescent="0.25">
      <c r="A30">
        <v>2016</v>
      </c>
      <c r="B30" s="2">
        <v>39765.144414512841</v>
      </c>
      <c r="C30" s="157">
        <v>35126</v>
      </c>
      <c r="F30" s="47" t="s">
        <v>208</v>
      </c>
    </row>
    <row r="31" spans="1:9" x14ac:dyDescent="0.25">
      <c r="A31">
        <v>2017</v>
      </c>
      <c r="B31" s="2">
        <v>41310.950131053367</v>
      </c>
      <c r="C31" s="157">
        <v>37785</v>
      </c>
      <c r="F31" s="47" t="s">
        <v>209</v>
      </c>
    </row>
    <row r="32" spans="1:9" x14ac:dyDescent="0.25">
      <c r="A32">
        <v>2018</v>
      </c>
      <c r="B32" s="2">
        <v>42920.224881143164</v>
      </c>
      <c r="C32" s="2">
        <v>37742.193392000001</v>
      </c>
      <c r="F32" s="47" t="s">
        <v>210</v>
      </c>
    </row>
    <row r="33" spans="1:5" x14ac:dyDescent="0.25">
      <c r="A33">
        <v>2019</v>
      </c>
      <c r="B33" s="2">
        <v>44595.743716568337</v>
      </c>
      <c r="C33" s="2">
        <v>39140.642820720001</v>
      </c>
      <c r="D33" s="11"/>
    </row>
    <row r="34" spans="1:5" x14ac:dyDescent="0.25">
      <c r="A34">
        <v>2020</v>
      </c>
      <c r="B34" s="2">
        <v>46340.404962193403</v>
      </c>
      <c r="C34" s="2">
        <v>40594.186209744134</v>
      </c>
      <c r="D34" s="11"/>
    </row>
    <row r="35" spans="1:5" x14ac:dyDescent="0.25">
      <c r="A35">
        <v>2021</v>
      </c>
      <c r="B35" s="2">
        <v>47870.5</v>
      </c>
      <c r="C35" s="2">
        <v>41879.820987142404</v>
      </c>
      <c r="D35" s="11"/>
    </row>
    <row r="36" spans="1:5" x14ac:dyDescent="0.25">
      <c r="A36" s="8">
        <v>2022</v>
      </c>
      <c r="B36" s="2">
        <f>FORECAST(A36,B$2:B$35,A$2:A$35)</f>
        <v>46883.983055212069</v>
      </c>
      <c r="C36" s="2">
        <v>43347.166639471514</v>
      </c>
      <c r="D36" s="11"/>
      <c r="E36" s="11"/>
    </row>
    <row r="37" spans="1:5" x14ac:dyDescent="0.25">
      <c r="A37" s="8">
        <v>2023</v>
      </c>
      <c r="B37" s="2">
        <f t="shared" ref="B37:B63" si="1">FORECAST(A37,B$2:B$35,A$2:A$35)</f>
        <v>48110.317310835235</v>
      </c>
      <c r="C37" s="2">
        <v>44869.775515979272</v>
      </c>
      <c r="D37" s="11"/>
      <c r="E37" s="11"/>
    </row>
    <row r="38" spans="1:5" x14ac:dyDescent="0.25">
      <c r="A38" s="8">
        <v>2024</v>
      </c>
      <c r="B38" s="2">
        <f t="shared" si="1"/>
        <v>49336.651566457935</v>
      </c>
      <c r="C38" s="2">
        <v>46450.837374546551</v>
      </c>
      <c r="D38" s="11"/>
      <c r="E38" s="11"/>
    </row>
    <row r="39" spans="1:5" x14ac:dyDescent="0.25">
      <c r="A39" s="8">
        <v>2025</v>
      </c>
      <c r="B39" s="2">
        <f t="shared" si="1"/>
        <v>50562.9858220811</v>
      </c>
      <c r="C39" s="2">
        <v>48091.631906653551</v>
      </c>
      <c r="D39" s="11"/>
      <c r="E39" s="11"/>
    </row>
    <row r="40" spans="1:5" x14ac:dyDescent="0.25">
      <c r="A40" s="8">
        <v>2026</v>
      </c>
      <c r="B40" s="2">
        <f t="shared" si="1"/>
        <v>51789.3200777038</v>
      </c>
      <c r="C40" s="2">
        <v>49795</v>
      </c>
      <c r="D40" s="11"/>
      <c r="E40" s="11"/>
    </row>
    <row r="41" spans="1:5" x14ac:dyDescent="0.25">
      <c r="A41" s="8">
        <v>2027</v>
      </c>
      <c r="B41" s="2">
        <f t="shared" si="1"/>
        <v>53015.6543333265</v>
      </c>
      <c r="C41" s="158">
        <f>C$40+(A41-A$40)*(C$64-C$40)/(A$64-A$40)</f>
        <v>50483.958333333336</v>
      </c>
      <c r="D41" s="11"/>
      <c r="E41" s="11"/>
    </row>
    <row r="42" spans="1:5" x14ac:dyDescent="0.25">
      <c r="A42" s="8">
        <v>2028</v>
      </c>
      <c r="B42" s="2">
        <f t="shared" si="1"/>
        <v>54241.988588949665</v>
      </c>
      <c r="C42" s="158">
        <f t="shared" ref="C42:C63" si="2">C$40+(A42-A$40)*(C$64-C$40)/(A$64-A$40)</f>
        <v>51172.916666666664</v>
      </c>
      <c r="D42" s="11"/>
      <c r="E42" s="11"/>
    </row>
    <row r="43" spans="1:5" x14ac:dyDescent="0.25">
      <c r="A43" s="8">
        <v>2029</v>
      </c>
      <c r="B43" s="2">
        <f t="shared" si="1"/>
        <v>55468.322844572365</v>
      </c>
      <c r="C43" s="158">
        <f t="shared" si="2"/>
        <v>51861.875</v>
      </c>
      <c r="D43" s="11"/>
      <c r="E43" s="11"/>
    </row>
    <row r="44" spans="1:5" x14ac:dyDescent="0.25">
      <c r="A44" s="8">
        <v>2030</v>
      </c>
      <c r="B44" s="2">
        <f t="shared" si="1"/>
        <v>56694.657100195531</v>
      </c>
      <c r="C44" s="158">
        <f t="shared" si="2"/>
        <v>52550.833333333336</v>
      </c>
      <c r="D44" s="11"/>
      <c r="E44" s="11"/>
    </row>
    <row r="45" spans="1:5" x14ac:dyDescent="0.25">
      <c r="A45" s="8">
        <v>2031</v>
      </c>
      <c r="B45" s="2">
        <f t="shared" si="1"/>
        <v>57920.991355818231</v>
      </c>
      <c r="C45" s="158">
        <f t="shared" si="2"/>
        <v>53239.791666666664</v>
      </c>
      <c r="D45" s="11"/>
      <c r="E45" s="11"/>
    </row>
    <row r="46" spans="1:5" x14ac:dyDescent="0.25">
      <c r="A46" s="8">
        <v>2032</v>
      </c>
      <c r="B46" s="2">
        <f t="shared" si="1"/>
        <v>59147.325611440931</v>
      </c>
      <c r="C46" s="158">
        <f t="shared" si="2"/>
        <v>53928.75</v>
      </c>
      <c r="D46" s="11"/>
      <c r="E46" s="11"/>
    </row>
    <row r="47" spans="1:5" x14ac:dyDescent="0.25">
      <c r="A47" s="8">
        <v>2033</v>
      </c>
      <c r="B47" s="2">
        <f t="shared" si="1"/>
        <v>60373.659867064096</v>
      </c>
      <c r="C47" s="158">
        <f t="shared" si="2"/>
        <v>54617.708333333336</v>
      </c>
      <c r="D47" s="11"/>
      <c r="E47" s="11"/>
    </row>
    <row r="48" spans="1:5" x14ac:dyDescent="0.25">
      <c r="A48" s="8">
        <v>2034</v>
      </c>
      <c r="B48" s="2">
        <f t="shared" si="1"/>
        <v>61599.994122686796</v>
      </c>
      <c r="C48" s="158">
        <f t="shared" si="2"/>
        <v>55306.666666666664</v>
      </c>
      <c r="D48" s="11"/>
      <c r="E48" s="11"/>
    </row>
    <row r="49" spans="1:25" x14ac:dyDescent="0.25">
      <c r="A49" s="8">
        <v>2035</v>
      </c>
      <c r="B49" s="2">
        <f t="shared" si="1"/>
        <v>62826.328378309961</v>
      </c>
      <c r="C49" s="158">
        <f t="shared" si="2"/>
        <v>55995.625</v>
      </c>
      <c r="D49" s="11"/>
      <c r="E49" s="11"/>
    </row>
    <row r="50" spans="1:25" x14ac:dyDescent="0.25">
      <c r="A50" s="8">
        <v>2036</v>
      </c>
      <c r="B50" s="2">
        <f t="shared" si="1"/>
        <v>64052.662633932661</v>
      </c>
      <c r="C50" s="158">
        <f t="shared" si="2"/>
        <v>56684.583333333336</v>
      </c>
      <c r="D50" s="11"/>
      <c r="E50" s="11"/>
    </row>
    <row r="51" spans="1:25" x14ac:dyDescent="0.25">
      <c r="A51" s="8">
        <v>2037</v>
      </c>
      <c r="B51" s="2">
        <f t="shared" si="1"/>
        <v>65278.996889555361</v>
      </c>
      <c r="C51" s="158">
        <f t="shared" si="2"/>
        <v>57373.541666666664</v>
      </c>
      <c r="D51" s="11"/>
      <c r="E51" s="11"/>
    </row>
    <row r="52" spans="1:25" x14ac:dyDescent="0.25">
      <c r="A52" s="8">
        <v>2038</v>
      </c>
      <c r="B52" s="2">
        <f t="shared" si="1"/>
        <v>66505.331145178527</v>
      </c>
      <c r="C52" s="158">
        <f t="shared" si="2"/>
        <v>58062.5</v>
      </c>
      <c r="D52" s="11"/>
      <c r="E52" s="11"/>
    </row>
    <row r="53" spans="1:25" x14ac:dyDescent="0.25">
      <c r="A53" s="8">
        <v>2039</v>
      </c>
      <c r="B53" s="2">
        <f t="shared" si="1"/>
        <v>67731.665400801226</v>
      </c>
      <c r="C53" s="158">
        <f t="shared" si="2"/>
        <v>58751.458333333336</v>
      </c>
      <c r="D53" s="11"/>
      <c r="E53" s="11"/>
    </row>
    <row r="54" spans="1:25" x14ac:dyDescent="0.25">
      <c r="A54" s="8">
        <v>2040</v>
      </c>
      <c r="B54" s="2">
        <f t="shared" si="1"/>
        <v>68957.999656424392</v>
      </c>
      <c r="C54" s="158">
        <f t="shared" si="2"/>
        <v>59440.416666666664</v>
      </c>
      <c r="D54" s="11"/>
      <c r="E54" s="11"/>
    </row>
    <row r="55" spans="1:25" x14ac:dyDescent="0.25">
      <c r="A55" s="8">
        <v>2041</v>
      </c>
      <c r="B55" s="2">
        <f t="shared" si="1"/>
        <v>70184.333912047092</v>
      </c>
      <c r="C55" s="158">
        <f t="shared" si="2"/>
        <v>60129.375</v>
      </c>
      <c r="D55" s="11"/>
    </row>
    <row r="56" spans="1:25" x14ac:dyDescent="0.25">
      <c r="A56" s="8">
        <v>2042</v>
      </c>
      <c r="B56" s="2">
        <f t="shared" si="1"/>
        <v>71410.668167670257</v>
      </c>
      <c r="C56" s="158">
        <f t="shared" si="2"/>
        <v>60818.333333333336</v>
      </c>
      <c r="D56" s="11"/>
    </row>
    <row r="57" spans="1:25" x14ac:dyDescent="0.25">
      <c r="A57" s="8">
        <v>2043</v>
      </c>
      <c r="B57" s="2">
        <f t="shared" si="1"/>
        <v>72637.002423292957</v>
      </c>
      <c r="C57" s="158">
        <f t="shared" si="2"/>
        <v>61507.291666666664</v>
      </c>
      <c r="D57" s="11"/>
      <c r="H57">
        <v>29045</v>
      </c>
      <c r="I57">
        <v>31739</v>
      </c>
      <c r="J57">
        <v>32734</v>
      </c>
      <c r="K57">
        <v>31810</v>
      </c>
      <c r="L57">
        <v>30880</v>
      </c>
      <c r="M57">
        <v>31589</v>
      </c>
      <c r="N57">
        <v>33565</v>
      </c>
      <c r="O57">
        <v>35126</v>
      </c>
      <c r="P57">
        <v>37785</v>
      </c>
      <c r="Q57">
        <v>37742.193392000001</v>
      </c>
      <c r="R57">
        <v>39140.642820720001</v>
      </c>
      <c r="S57">
        <v>40594.186209744134</v>
      </c>
      <c r="T57">
        <v>41879.820987142404</v>
      </c>
      <c r="U57">
        <v>43347.166639471514</v>
      </c>
      <c r="V57">
        <v>44869.775515979272</v>
      </c>
      <c r="W57">
        <v>46450.837374546551</v>
      </c>
      <c r="X57">
        <v>48091.631906653551</v>
      </c>
      <c r="Y57">
        <v>49795</v>
      </c>
    </row>
    <row r="58" spans="1:25" x14ac:dyDescent="0.25">
      <c r="A58" s="8">
        <v>2044</v>
      </c>
      <c r="B58" s="2">
        <f t="shared" si="1"/>
        <v>73863.336678915657</v>
      </c>
      <c r="C58" s="158">
        <f t="shared" si="2"/>
        <v>62196.25</v>
      </c>
      <c r="D58" s="11"/>
    </row>
    <row r="59" spans="1:25" x14ac:dyDescent="0.25">
      <c r="A59" s="8">
        <v>2045</v>
      </c>
      <c r="B59" s="2">
        <f t="shared" si="1"/>
        <v>75089.670934538823</v>
      </c>
      <c r="C59" s="158">
        <f t="shared" si="2"/>
        <v>62885.208333333336</v>
      </c>
      <c r="D59" s="11"/>
    </row>
    <row r="60" spans="1:25" x14ac:dyDescent="0.25">
      <c r="A60" s="8">
        <v>2046</v>
      </c>
      <c r="B60" s="2">
        <f t="shared" si="1"/>
        <v>76316.005190161522</v>
      </c>
      <c r="C60" s="158">
        <f t="shared" si="2"/>
        <v>63574.166666666664</v>
      </c>
      <c r="D60" s="11"/>
    </row>
    <row r="61" spans="1:25" x14ac:dyDescent="0.25">
      <c r="A61" s="8">
        <v>2047</v>
      </c>
      <c r="B61" s="2">
        <f t="shared" si="1"/>
        <v>77542.339445784688</v>
      </c>
      <c r="C61" s="158">
        <f t="shared" si="2"/>
        <v>64263.125</v>
      </c>
      <c r="D61" s="11"/>
    </row>
    <row r="62" spans="1:25" x14ac:dyDescent="0.25">
      <c r="A62" s="8">
        <v>2048</v>
      </c>
      <c r="B62" s="2">
        <f t="shared" si="1"/>
        <v>78768.673701407388</v>
      </c>
      <c r="C62" s="158">
        <f t="shared" si="2"/>
        <v>64952.083333333336</v>
      </c>
      <c r="D62" s="11"/>
    </row>
    <row r="63" spans="1:25" x14ac:dyDescent="0.25">
      <c r="A63" s="8">
        <v>2049</v>
      </c>
      <c r="B63" s="2">
        <f t="shared" si="1"/>
        <v>79995.007957030088</v>
      </c>
      <c r="C63" s="158">
        <f t="shared" si="2"/>
        <v>65641.041666666672</v>
      </c>
      <c r="D63" s="11"/>
    </row>
    <row r="64" spans="1:25" x14ac:dyDescent="0.25">
      <c r="A64" s="8">
        <v>2050</v>
      </c>
      <c r="B64" s="2">
        <v>81221</v>
      </c>
      <c r="C64" s="159">
        <f>summary!D8*0.99</f>
        <v>66330</v>
      </c>
      <c r="D64" s="1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AE64"/>
  <sheetViews>
    <sheetView topLeftCell="A19" workbookViewId="0">
      <selection activeCell="C64" sqref="C64"/>
    </sheetView>
  </sheetViews>
  <sheetFormatPr defaultRowHeight="15" x14ac:dyDescent="0.25"/>
  <cols>
    <col min="2" max="2" width="10.5703125" style="2" bestFit="1" customWidth="1"/>
    <col min="3" max="4" width="10.5703125" style="2" customWidth="1"/>
    <col min="5" max="5" width="17.7109375" bestFit="1" customWidth="1"/>
    <col min="6" max="6" width="14.5703125" bestFit="1" customWidth="1"/>
    <col min="7" max="10" width="9.140625" style="2"/>
    <col min="14" max="14" width="18.42578125" bestFit="1" customWidth="1"/>
  </cols>
  <sheetData>
    <row r="1" spans="1:15" ht="15.75" thickBot="1" x14ac:dyDescent="0.3">
      <c r="A1" s="3" t="s">
        <v>13</v>
      </c>
      <c r="B1" s="2" t="s">
        <v>14</v>
      </c>
      <c r="F1" t="s">
        <v>95</v>
      </c>
      <c r="G1" s="31">
        <v>0.52238650054669167</v>
      </c>
      <c r="H1" s="31">
        <v>8.8132264556970846E-2</v>
      </c>
      <c r="I1" s="31">
        <v>6.5777103021777139E-2</v>
      </c>
      <c r="J1" s="31">
        <v>0.11622594730867536</v>
      </c>
    </row>
    <row r="2" spans="1:15" x14ac:dyDescent="0.25">
      <c r="A2" s="14">
        <v>1988</v>
      </c>
      <c r="B2" s="2">
        <v>9368</v>
      </c>
      <c r="F2" t="s">
        <v>13</v>
      </c>
      <c r="G2" s="2" t="s">
        <v>9</v>
      </c>
      <c r="H2" s="2" t="s">
        <v>3</v>
      </c>
      <c r="I2" s="2" t="s">
        <v>10</v>
      </c>
      <c r="J2" s="2" t="s">
        <v>7</v>
      </c>
      <c r="K2" s="2" t="s">
        <v>96</v>
      </c>
      <c r="L2" s="2" t="s">
        <v>97</v>
      </c>
      <c r="N2" s="2" t="s">
        <v>98</v>
      </c>
    </row>
    <row r="3" spans="1:15" x14ac:dyDescent="0.25">
      <c r="A3" s="15">
        <v>1989</v>
      </c>
      <c r="B3" s="2">
        <v>11003</v>
      </c>
      <c r="F3">
        <v>1988</v>
      </c>
      <c r="G3" s="2">
        <f>$B2*G$1</f>
        <v>4893.7167371214073</v>
      </c>
      <c r="H3" s="2">
        <f t="shared" ref="H3:J3" si="0">$B2*H$1</f>
        <v>825.62305436970291</v>
      </c>
      <c r="I3" s="2">
        <f t="shared" si="0"/>
        <v>616.19990110800825</v>
      </c>
      <c r="J3" s="2">
        <f t="shared" si="0"/>
        <v>1088.8046743876707</v>
      </c>
    </row>
    <row r="4" spans="1:15" x14ac:dyDescent="0.25">
      <c r="A4" s="15">
        <v>1990</v>
      </c>
      <c r="B4" s="2">
        <v>13344</v>
      </c>
      <c r="F4">
        <v>1989</v>
      </c>
      <c r="G4" s="2">
        <f t="shared" ref="G4:G55" si="1">$B3*G$1</f>
        <v>5747.8186655152485</v>
      </c>
      <c r="H4" s="2">
        <f t="shared" ref="H4:H55" si="2">$B3*H$1</f>
        <v>969.71930692035028</v>
      </c>
      <c r="I4" s="2">
        <f t="shared" ref="I4:I55" si="3">$B3*I$1</f>
        <v>723.74546454861388</v>
      </c>
      <c r="J4" s="2">
        <f t="shared" ref="J4:J55" si="4">$B3*J$1</f>
        <v>1278.834098237355</v>
      </c>
      <c r="N4" t="s">
        <v>109</v>
      </c>
    </row>
    <row r="5" spans="1:15" x14ac:dyDescent="0.25">
      <c r="A5" s="15">
        <v>1991</v>
      </c>
      <c r="B5" s="2">
        <v>15972</v>
      </c>
      <c r="F5">
        <v>1990</v>
      </c>
      <c r="G5" s="2">
        <f t="shared" si="1"/>
        <v>6970.7254632950535</v>
      </c>
      <c r="H5" s="2">
        <f t="shared" si="2"/>
        <v>1176.036938248219</v>
      </c>
      <c r="I5" s="2">
        <f t="shared" si="3"/>
        <v>877.72966272259418</v>
      </c>
      <c r="J5" s="2">
        <f t="shared" si="4"/>
        <v>1550.919040886964</v>
      </c>
      <c r="N5" t="s">
        <v>99</v>
      </c>
    </row>
    <row r="6" spans="1:15" x14ac:dyDescent="0.25">
      <c r="A6" s="15">
        <v>1992</v>
      </c>
      <c r="B6" s="2">
        <v>17766</v>
      </c>
      <c r="F6">
        <v>1991</v>
      </c>
      <c r="G6" s="2">
        <f t="shared" si="1"/>
        <v>8343.5571867317594</v>
      </c>
      <c r="H6" s="2">
        <f t="shared" si="2"/>
        <v>1407.6485295039383</v>
      </c>
      <c r="I6" s="2">
        <f t="shared" si="3"/>
        <v>1050.5918894638244</v>
      </c>
      <c r="J6" s="2">
        <f t="shared" si="4"/>
        <v>1856.3608304141628</v>
      </c>
      <c r="N6" t="s">
        <v>97</v>
      </c>
      <c r="O6">
        <v>0.187</v>
      </c>
    </row>
    <row r="7" spans="1:15" x14ac:dyDescent="0.25">
      <c r="A7" s="15">
        <v>1993</v>
      </c>
      <c r="B7" s="2">
        <v>18311</v>
      </c>
      <c r="F7">
        <v>1992</v>
      </c>
      <c r="G7" s="2">
        <f t="shared" si="1"/>
        <v>9280.7185687125238</v>
      </c>
      <c r="H7" s="2">
        <f t="shared" si="2"/>
        <v>1565.7578121191441</v>
      </c>
      <c r="I7" s="2">
        <f t="shared" si="3"/>
        <v>1168.5960122848926</v>
      </c>
      <c r="J7" s="2">
        <f t="shared" si="4"/>
        <v>2064.8701798859265</v>
      </c>
      <c r="N7" t="s">
        <v>100</v>
      </c>
      <c r="O7">
        <v>7.0999999999999994E-2</v>
      </c>
    </row>
    <row r="8" spans="1:15" x14ac:dyDescent="0.25">
      <c r="A8" s="15">
        <v>1994</v>
      </c>
      <c r="B8" s="2">
        <v>19440</v>
      </c>
      <c r="F8">
        <v>1993</v>
      </c>
      <c r="G8" s="2">
        <f t="shared" si="1"/>
        <v>9565.4192115104706</v>
      </c>
      <c r="H8" s="2">
        <f t="shared" si="2"/>
        <v>1613.7898963026933</v>
      </c>
      <c r="I8" s="2">
        <f t="shared" si="3"/>
        <v>1204.4445334317611</v>
      </c>
      <c r="J8" s="2">
        <f t="shared" si="4"/>
        <v>2128.2133211691544</v>
      </c>
      <c r="N8" t="s">
        <v>101</v>
      </c>
      <c r="O8">
        <v>7.0000000000000001E-3</v>
      </c>
    </row>
    <row r="9" spans="1:15" x14ac:dyDescent="0.25">
      <c r="A9" s="15">
        <v>1995</v>
      </c>
      <c r="B9" s="2">
        <v>20834</v>
      </c>
      <c r="F9">
        <v>1994</v>
      </c>
      <c r="G9" s="2">
        <f t="shared" si="1"/>
        <v>10155.193570627685</v>
      </c>
      <c r="H9" s="2">
        <f t="shared" si="2"/>
        <v>1713.2912229875133</v>
      </c>
      <c r="I9" s="2">
        <f t="shared" si="3"/>
        <v>1278.7068827433475</v>
      </c>
      <c r="J9" s="2">
        <f t="shared" si="4"/>
        <v>2259.4324156806488</v>
      </c>
      <c r="N9" t="s">
        <v>102</v>
      </c>
      <c r="O9">
        <v>4.0000000000000001E-3</v>
      </c>
    </row>
    <row r="10" spans="1:15" x14ac:dyDescent="0.25">
      <c r="A10" s="15">
        <v>1996</v>
      </c>
      <c r="B10" s="2">
        <v>22394</v>
      </c>
      <c r="F10">
        <v>1995</v>
      </c>
      <c r="G10" s="2">
        <f t="shared" si="1"/>
        <v>10883.400352389774</v>
      </c>
      <c r="H10" s="2">
        <f t="shared" si="2"/>
        <v>1836.1475997799307</v>
      </c>
      <c r="I10" s="2">
        <f t="shared" si="3"/>
        <v>1370.4001643557049</v>
      </c>
      <c r="J10" s="2">
        <f t="shared" si="4"/>
        <v>2421.4513862289423</v>
      </c>
      <c r="N10" t="s">
        <v>103</v>
      </c>
      <c r="O10">
        <v>0.49399999999999999</v>
      </c>
    </row>
    <row r="11" spans="1:15" x14ac:dyDescent="0.25">
      <c r="A11" s="15">
        <v>1997</v>
      </c>
      <c r="B11" s="2">
        <v>24307</v>
      </c>
      <c r="F11">
        <v>1996</v>
      </c>
      <c r="G11" s="2">
        <f t="shared" si="1"/>
        <v>11698.323293242613</v>
      </c>
      <c r="H11" s="2">
        <f t="shared" si="2"/>
        <v>1973.6339324888052</v>
      </c>
      <c r="I11" s="2">
        <f t="shared" si="3"/>
        <v>1473.0124450696771</v>
      </c>
      <c r="J11" s="2">
        <f t="shared" si="4"/>
        <v>2602.7638640304758</v>
      </c>
      <c r="N11" t="s">
        <v>104</v>
      </c>
      <c r="O11">
        <v>0.16700000000000001</v>
      </c>
    </row>
    <row r="12" spans="1:15" x14ac:dyDescent="0.25">
      <c r="A12" s="15">
        <v>1998</v>
      </c>
      <c r="B12" s="2">
        <v>19754</v>
      </c>
      <c r="F12">
        <v>1997</v>
      </c>
      <c r="G12" s="2">
        <f t="shared" si="1"/>
        <v>12697.648668788433</v>
      </c>
      <c r="H12" s="2">
        <f t="shared" si="2"/>
        <v>2142.2309545862904</v>
      </c>
      <c r="I12" s="2">
        <f t="shared" si="3"/>
        <v>1598.844043150337</v>
      </c>
      <c r="J12" s="2">
        <f t="shared" si="4"/>
        <v>2825.104101231972</v>
      </c>
      <c r="N12" t="s">
        <v>105</v>
      </c>
      <c r="O12">
        <v>2.8000000000000001E-2</v>
      </c>
    </row>
    <row r="13" spans="1:15" x14ac:dyDescent="0.25">
      <c r="A13" s="15">
        <v>1999</v>
      </c>
      <c r="B13" s="2">
        <v>21273</v>
      </c>
      <c r="F13">
        <v>1998</v>
      </c>
      <c r="G13" s="2">
        <f t="shared" si="1"/>
        <v>10319.222931799348</v>
      </c>
      <c r="H13" s="2">
        <f t="shared" si="2"/>
        <v>1740.9647540584021</v>
      </c>
      <c r="I13" s="2">
        <f t="shared" si="3"/>
        <v>1299.3608930921855</v>
      </c>
      <c r="J13" s="2">
        <f t="shared" si="4"/>
        <v>2295.9273631355732</v>
      </c>
      <c r="N13" t="s">
        <v>106</v>
      </c>
      <c r="O13">
        <v>3.1E-2</v>
      </c>
    </row>
    <row r="14" spans="1:15" x14ac:dyDescent="0.25">
      <c r="A14" s="16">
        <v>2000</v>
      </c>
      <c r="B14" s="2">
        <v>22109</v>
      </c>
      <c r="F14">
        <v>1999</v>
      </c>
      <c r="G14" s="2">
        <f t="shared" si="1"/>
        <v>11112.728026129771</v>
      </c>
      <c r="H14" s="2">
        <f t="shared" si="2"/>
        <v>1874.8376639204407</v>
      </c>
      <c r="I14" s="2">
        <f t="shared" si="3"/>
        <v>1399.2763125822651</v>
      </c>
      <c r="J14" s="2">
        <f t="shared" si="4"/>
        <v>2472.4745770974509</v>
      </c>
      <c r="N14" t="s">
        <v>107</v>
      </c>
      <c r="O14">
        <v>1.0999999999999999E-2</v>
      </c>
    </row>
    <row r="15" spans="1:15" x14ac:dyDescent="0.25">
      <c r="A15" s="16">
        <v>2001</v>
      </c>
      <c r="B15" s="2">
        <v>24215</v>
      </c>
      <c r="F15">
        <v>2000</v>
      </c>
      <c r="G15" s="2">
        <f t="shared" si="1"/>
        <v>11549.443140586805</v>
      </c>
      <c r="H15" s="2">
        <f t="shared" si="2"/>
        <v>1948.5162370900684</v>
      </c>
      <c r="I15" s="2">
        <f t="shared" si="3"/>
        <v>1454.2659707084708</v>
      </c>
      <c r="J15" s="2">
        <f t="shared" si="4"/>
        <v>2569.6394690475036</v>
      </c>
      <c r="N15" t="s">
        <v>108</v>
      </c>
      <c r="O15">
        <v>1</v>
      </c>
    </row>
    <row r="16" spans="1:15" x14ac:dyDescent="0.25">
      <c r="A16" s="16">
        <v>2002</v>
      </c>
      <c r="B16" s="2">
        <v>23825</v>
      </c>
      <c r="F16">
        <v>2001</v>
      </c>
      <c r="G16" s="2">
        <f t="shared" si="1"/>
        <v>12649.589110738139</v>
      </c>
      <c r="H16" s="2">
        <f t="shared" si="2"/>
        <v>2134.1227862470491</v>
      </c>
      <c r="I16" s="2">
        <f t="shared" si="3"/>
        <v>1592.7925496723335</v>
      </c>
      <c r="J16" s="2">
        <f t="shared" si="4"/>
        <v>2814.4113140795739</v>
      </c>
    </row>
    <row r="17" spans="1:31" x14ac:dyDescent="0.25">
      <c r="A17" s="16">
        <v>2003</v>
      </c>
      <c r="B17" s="2">
        <v>24153</v>
      </c>
      <c r="F17">
        <v>2002</v>
      </c>
      <c r="G17" s="2">
        <f t="shared" si="1"/>
        <v>12445.858375524929</v>
      </c>
      <c r="H17" s="2">
        <f t="shared" si="2"/>
        <v>2099.7512030698304</v>
      </c>
      <c r="I17" s="2">
        <f t="shared" si="3"/>
        <v>1567.1394794938403</v>
      </c>
      <c r="J17" s="2">
        <f t="shared" si="4"/>
        <v>2769.0831946291905</v>
      </c>
    </row>
    <row r="18" spans="1:31" x14ac:dyDescent="0.25">
      <c r="A18" s="16">
        <v>2004</v>
      </c>
      <c r="B18" s="2">
        <v>25711</v>
      </c>
      <c r="F18">
        <v>2003</v>
      </c>
      <c r="G18" s="2">
        <f t="shared" si="1"/>
        <v>12617.201147704243</v>
      </c>
      <c r="H18" s="2">
        <f t="shared" si="2"/>
        <v>2128.6585858445169</v>
      </c>
      <c r="I18" s="2">
        <f t="shared" si="3"/>
        <v>1588.7143692849831</v>
      </c>
      <c r="J18" s="2">
        <f t="shared" si="4"/>
        <v>2807.205305346436</v>
      </c>
    </row>
    <row r="19" spans="1:31" x14ac:dyDescent="0.25">
      <c r="A19" s="16">
        <v>2005</v>
      </c>
      <c r="B19" s="2">
        <v>25551</v>
      </c>
      <c r="F19">
        <v>2004</v>
      </c>
      <c r="G19" s="2">
        <f t="shared" si="1"/>
        <v>13431.07931555599</v>
      </c>
      <c r="H19" s="2">
        <f t="shared" si="2"/>
        <v>2265.9686540242774</v>
      </c>
      <c r="I19" s="2">
        <f t="shared" si="3"/>
        <v>1691.1950957929121</v>
      </c>
      <c r="J19" s="2">
        <f t="shared" si="4"/>
        <v>2988.2853312533521</v>
      </c>
      <c r="N19">
        <v>39903</v>
      </c>
      <c r="O19">
        <v>38288</v>
      </c>
      <c r="P19">
        <v>36782</v>
      </c>
      <c r="Q19">
        <v>35804</v>
      </c>
      <c r="R19">
        <v>35043</v>
      </c>
      <c r="S19">
        <v>33451</v>
      </c>
      <c r="T19">
        <v>31131</v>
      </c>
      <c r="U19">
        <v>32133</v>
      </c>
      <c r="V19">
        <v>32277</v>
      </c>
      <c r="W19">
        <v>32985</v>
      </c>
      <c r="X19">
        <v>33658</v>
      </c>
      <c r="Y19">
        <v>34348</v>
      </c>
      <c r="Z19">
        <v>35052</v>
      </c>
      <c r="AA19">
        <v>35760</v>
      </c>
      <c r="AB19">
        <v>36468</v>
      </c>
      <c r="AC19">
        <v>37168</v>
      </c>
      <c r="AD19">
        <v>37869</v>
      </c>
      <c r="AE19">
        <v>38563</v>
      </c>
    </row>
    <row r="20" spans="1:31" x14ac:dyDescent="0.25">
      <c r="A20" s="16">
        <v>2006</v>
      </c>
      <c r="B20" s="2">
        <v>25129</v>
      </c>
      <c r="F20">
        <v>2005</v>
      </c>
      <c r="G20" s="2">
        <f t="shared" si="1"/>
        <v>13347.497475468519</v>
      </c>
      <c r="H20" s="2">
        <f t="shared" si="2"/>
        <v>2251.8674916951622</v>
      </c>
      <c r="I20" s="2">
        <f t="shared" si="3"/>
        <v>1680.6707593094277</v>
      </c>
      <c r="J20" s="2">
        <f t="shared" si="4"/>
        <v>2969.6891796839641</v>
      </c>
      <c r="K20" s="8" t="s">
        <v>17</v>
      </c>
      <c r="M20" s="10"/>
      <c r="N20" s="6"/>
      <c r="O20" s="6"/>
    </row>
    <row r="21" spans="1:31" x14ac:dyDescent="0.25">
      <c r="A21" s="16">
        <v>2007</v>
      </c>
      <c r="B21" s="2">
        <v>25144</v>
      </c>
      <c r="F21">
        <v>2006</v>
      </c>
      <c r="G21" s="2">
        <f t="shared" si="1"/>
        <v>13127.050372237814</v>
      </c>
      <c r="H21" s="2">
        <f t="shared" si="2"/>
        <v>2214.6756760521203</v>
      </c>
      <c r="I21" s="2">
        <f t="shared" si="3"/>
        <v>1652.9128218342378</v>
      </c>
      <c r="J21" s="2">
        <f t="shared" si="4"/>
        <v>2920.641829919703</v>
      </c>
      <c r="K21" s="6">
        <v>25144</v>
      </c>
      <c r="L21" s="6"/>
      <c r="M21" s="6"/>
      <c r="O21" s="6"/>
      <c r="P21" s="6"/>
      <c r="R21" s="6"/>
      <c r="S21" s="6"/>
    </row>
    <row r="22" spans="1:31" x14ac:dyDescent="0.25">
      <c r="A22" s="16">
        <v>2008</v>
      </c>
      <c r="B22" s="13">
        <f>K22</f>
        <v>29867</v>
      </c>
      <c r="C22" s="13"/>
      <c r="D22" s="13"/>
      <c r="F22">
        <v>2007</v>
      </c>
      <c r="G22" s="2">
        <f t="shared" si="1"/>
        <v>13134.886169746016</v>
      </c>
      <c r="H22" s="2">
        <f t="shared" si="2"/>
        <v>2215.997660020475</v>
      </c>
      <c r="I22" s="2">
        <f t="shared" si="3"/>
        <v>1653.8994783795645</v>
      </c>
      <c r="J22" s="2">
        <f t="shared" si="4"/>
        <v>2922.3852191293331</v>
      </c>
      <c r="K22" s="6">
        <v>29867</v>
      </c>
    </row>
    <row r="23" spans="1:31" x14ac:dyDescent="0.25">
      <c r="A23" s="16">
        <v>2009</v>
      </c>
      <c r="B23" s="13">
        <f>K23</f>
        <v>33776</v>
      </c>
      <c r="C23" s="159">
        <v>39903</v>
      </c>
      <c r="D23" s="13"/>
      <c r="F23">
        <v>2008</v>
      </c>
      <c r="G23" s="2">
        <f t="shared" si="1"/>
        <v>15602.11761182804</v>
      </c>
      <c r="H23" s="2">
        <f t="shared" si="2"/>
        <v>2632.2463455230481</v>
      </c>
      <c r="I23" s="2">
        <f t="shared" si="3"/>
        <v>1964.5647359514178</v>
      </c>
      <c r="J23" s="2">
        <f t="shared" si="4"/>
        <v>3471.3203682682069</v>
      </c>
      <c r="K23" s="6">
        <v>33776</v>
      </c>
    </row>
    <row r="24" spans="1:31" x14ac:dyDescent="0.25">
      <c r="A24" s="16">
        <v>2010</v>
      </c>
      <c r="B24" s="13">
        <f>K24</f>
        <v>33983</v>
      </c>
      <c r="C24" s="159">
        <v>38288</v>
      </c>
      <c r="D24" s="13"/>
      <c r="F24">
        <v>2009</v>
      </c>
      <c r="G24" s="2">
        <f t="shared" si="1"/>
        <v>17644.126442465058</v>
      </c>
      <c r="H24" s="2">
        <f t="shared" si="2"/>
        <v>2976.7553676762473</v>
      </c>
      <c r="I24" s="2">
        <f t="shared" si="3"/>
        <v>2221.6874316635444</v>
      </c>
      <c r="J24" s="2">
        <f t="shared" si="4"/>
        <v>3925.6475962978188</v>
      </c>
      <c r="K24" s="6">
        <v>33983</v>
      </c>
    </row>
    <row r="25" spans="1:31" x14ac:dyDescent="0.25">
      <c r="A25" s="16">
        <v>2011</v>
      </c>
      <c r="B25" s="13">
        <f>K25</f>
        <v>33167</v>
      </c>
      <c r="C25" s="159">
        <v>36782</v>
      </c>
      <c r="D25" s="13"/>
      <c r="F25">
        <v>2010</v>
      </c>
      <c r="G25" s="2">
        <f t="shared" si="1"/>
        <v>17752.260448078225</v>
      </c>
      <c r="H25" s="2">
        <f t="shared" si="2"/>
        <v>2994.9987464395404</v>
      </c>
      <c r="I25" s="2">
        <f t="shared" si="3"/>
        <v>2235.3032919890525</v>
      </c>
      <c r="J25" s="2">
        <f t="shared" si="4"/>
        <v>3949.7063673907146</v>
      </c>
      <c r="K25" s="6">
        <v>33167</v>
      </c>
    </row>
    <row r="26" spans="1:31" x14ac:dyDescent="0.25">
      <c r="A26" s="16">
        <v>2012</v>
      </c>
      <c r="B26" s="2">
        <v>36871</v>
      </c>
      <c r="C26" s="159">
        <v>35804</v>
      </c>
      <c r="F26">
        <v>2011</v>
      </c>
      <c r="G26" s="2">
        <f t="shared" si="1"/>
        <v>17325.993063632122</v>
      </c>
      <c r="H26" s="2">
        <f t="shared" si="2"/>
        <v>2923.0828185610521</v>
      </c>
      <c r="I26" s="2">
        <f t="shared" si="3"/>
        <v>2181.6291759232822</v>
      </c>
      <c r="J26" s="2">
        <f t="shared" si="4"/>
        <v>3854.8659943868356</v>
      </c>
    </row>
    <row r="27" spans="1:31" x14ac:dyDescent="0.25">
      <c r="A27" s="16">
        <v>2013</v>
      </c>
      <c r="B27" s="2">
        <v>37679</v>
      </c>
      <c r="C27" s="159">
        <v>35043</v>
      </c>
      <c r="F27">
        <v>2012</v>
      </c>
      <c r="G27" s="2">
        <f t="shared" si="1"/>
        <v>19260.912661657068</v>
      </c>
      <c r="H27" s="2">
        <f t="shared" si="2"/>
        <v>3249.5247264800719</v>
      </c>
      <c r="I27" s="2">
        <f t="shared" si="3"/>
        <v>2425.2675655159451</v>
      </c>
      <c r="J27" s="2">
        <f t="shared" si="4"/>
        <v>4285.3669032181688</v>
      </c>
    </row>
    <row r="28" spans="1:31" x14ac:dyDescent="0.25">
      <c r="A28" s="16">
        <v>2014</v>
      </c>
      <c r="B28" s="2">
        <v>38375</v>
      </c>
      <c r="C28" s="159">
        <v>33451</v>
      </c>
      <c r="F28">
        <v>2013</v>
      </c>
      <c r="G28" s="2">
        <f t="shared" si="1"/>
        <v>19683.000954098796</v>
      </c>
      <c r="H28" s="2">
        <f t="shared" si="2"/>
        <v>3320.7355962421043</v>
      </c>
      <c r="I28" s="2">
        <f t="shared" si="3"/>
        <v>2478.415464757541</v>
      </c>
      <c r="J28" s="2">
        <f t="shared" si="4"/>
        <v>4379.2774686435787</v>
      </c>
    </row>
    <row r="29" spans="1:31" x14ac:dyDescent="0.25">
      <c r="A29" s="16">
        <v>2015</v>
      </c>
      <c r="B29" s="2">
        <v>39018</v>
      </c>
      <c r="C29" s="159">
        <v>31131</v>
      </c>
      <c r="F29">
        <v>2014</v>
      </c>
      <c r="G29" s="2">
        <f t="shared" si="1"/>
        <v>20046.581958479292</v>
      </c>
      <c r="H29" s="2">
        <f t="shared" si="2"/>
        <v>3382.0756523737564</v>
      </c>
      <c r="I29" s="2">
        <f t="shared" si="3"/>
        <v>2524.1963284606977</v>
      </c>
      <c r="J29" s="2">
        <f t="shared" si="4"/>
        <v>4460.1707279704169</v>
      </c>
    </row>
    <row r="30" spans="1:31" x14ac:dyDescent="0.25">
      <c r="A30" s="16">
        <v>2016</v>
      </c>
      <c r="B30" s="2">
        <v>39641</v>
      </c>
      <c r="C30" s="159">
        <v>32133</v>
      </c>
      <c r="F30">
        <v>2015</v>
      </c>
      <c r="G30" s="2">
        <f t="shared" si="1"/>
        <v>20382.476478330816</v>
      </c>
      <c r="H30" s="2">
        <f t="shared" si="2"/>
        <v>3438.7446984838884</v>
      </c>
      <c r="I30" s="2">
        <f t="shared" si="3"/>
        <v>2566.4910057037005</v>
      </c>
      <c r="J30" s="2">
        <f t="shared" si="4"/>
        <v>4534.9040120898953</v>
      </c>
    </row>
    <row r="31" spans="1:31" x14ac:dyDescent="0.25">
      <c r="A31" s="16">
        <v>2017</v>
      </c>
      <c r="B31" s="2">
        <v>39973</v>
      </c>
      <c r="C31" s="159">
        <v>32277</v>
      </c>
      <c r="F31">
        <v>2016</v>
      </c>
      <c r="G31" s="2">
        <f t="shared" si="1"/>
        <v>20707.923268171406</v>
      </c>
      <c r="H31" s="2">
        <f t="shared" si="2"/>
        <v>3493.6510993028814</v>
      </c>
      <c r="I31" s="2">
        <f t="shared" si="3"/>
        <v>2607.4701408862675</v>
      </c>
      <c r="J31" s="2">
        <f t="shared" si="4"/>
        <v>4607.3127772631997</v>
      </c>
    </row>
    <row r="32" spans="1:31" x14ac:dyDescent="0.25">
      <c r="A32" s="16">
        <v>2018</v>
      </c>
      <c r="B32" s="2">
        <v>40179</v>
      </c>
      <c r="C32">
        <v>32985</v>
      </c>
      <c r="F32">
        <v>2017</v>
      </c>
      <c r="G32" s="2">
        <f t="shared" si="1"/>
        <v>20881.355586352907</v>
      </c>
      <c r="H32" s="2">
        <f t="shared" si="2"/>
        <v>3522.9110111357954</v>
      </c>
      <c r="I32" s="2">
        <f t="shared" si="3"/>
        <v>2629.3081390894977</v>
      </c>
      <c r="J32" s="2">
        <f t="shared" si="4"/>
        <v>4645.8997917696797</v>
      </c>
    </row>
    <row r="33" spans="1:10" x14ac:dyDescent="0.25">
      <c r="A33" s="16">
        <v>2019</v>
      </c>
      <c r="B33" s="2">
        <v>40339</v>
      </c>
      <c r="C33">
        <v>33658</v>
      </c>
      <c r="F33">
        <v>2018</v>
      </c>
      <c r="G33" s="2">
        <f t="shared" si="1"/>
        <v>20988.967205465524</v>
      </c>
      <c r="H33" s="2">
        <f t="shared" si="2"/>
        <v>3541.0662576345317</v>
      </c>
      <c r="I33" s="2">
        <f t="shared" si="3"/>
        <v>2642.8582223119838</v>
      </c>
      <c r="J33" s="2">
        <f t="shared" si="4"/>
        <v>4669.842336915267</v>
      </c>
    </row>
    <row r="34" spans="1:10" x14ac:dyDescent="0.25">
      <c r="A34" s="16">
        <v>2020</v>
      </c>
      <c r="B34" s="2">
        <v>40452</v>
      </c>
      <c r="C34">
        <v>34348</v>
      </c>
      <c r="F34">
        <v>2019</v>
      </c>
      <c r="G34" s="2">
        <f t="shared" si="1"/>
        <v>21072.549045552994</v>
      </c>
      <c r="H34" s="2">
        <f t="shared" si="2"/>
        <v>3555.1674199636468</v>
      </c>
      <c r="I34" s="2">
        <f t="shared" si="3"/>
        <v>2653.382558795468</v>
      </c>
      <c r="J34" s="2">
        <f t="shared" si="4"/>
        <v>4688.438488484655</v>
      </c>
    </row>
    <row r="35" spans="1:10" x14ac:dyDescent="0.25">
      <c r="A35" s="16">
        <v>2021</v>
      </c>
      <c r="B35" s="2">
        <v>40541</v>
      </c>
      <c r="C35">
        <v>35052</v>
      </c>
      <c r="F35">
        <v>2020</v>
      </c>
      <c r="G35" s="2">
        <f t="shared" si="1"/>
        <v>21131.578720114772</v>
      </c>
      <c r="H35" s="2">
        <f t="shared" si="2"/>
        <v>3565.1263658585844</v>
      </c>
      <c r="I35" s="2">
        <f t="shared" si="3"/>
        <v>2660.8153714369287</v>
      </c>
      <c r="J35" s="2">
        <f t="shared" si="4"/>
        <v>4701.5720205305361</v>
      </c>
    </row>
    <row r="36" spans="1:10" x14ac:dyDescent="0.25">
      <c r="A36" s="16">
        <v>2022</v>
      </c>
      <c r="B36" s="2">
        <f>FORECAST(A36,B$2:B$35,A$2:A$35)</f>
        <v>43723.989304812858</v>
      </c>
      <c r="C36">
        <v>35760</v>
      </c>
      <c r="F36">
        <v>2021</v>
      </c>
      <c r="G36" s="2">
        <f t="shared" si="1"/>
        <v>21178.071118663425</v>
      </c>
      <c r="H36" s="2">
        <f t="shared" si="2"/>
        <v>3572.9701374041551</v>
      </c>
      <c r="I36" s="2">
        <f t="shared" si="3"/>
        <v>2666.6695336058669</v>
      </c>
      <c r="J36" s="2">
        <f t="shared" si="4"/>
        <v>4711.9161298410081</v>
      </c>
    </row>
    <row r="37" spans="1:10" x14ac:dyDescent="0.25">
      <c r="A37" s="16">
        <v>2023</v>
      </c>
      <c r="B37" s="2">
        <f t="shared" ref="B37:B54" si="5">FORECAST(A37,B$2:B$35,A$2:A$35)</f>
        <v>44653.655920550227</v>
      </c>
      <c r="C37">
        <v>36468</v>
      </c>
      <c r="F37">
        <v>2022</v>
      </c>
      <c r="G37" s="2">
        <f t="shared" si="1"/>
        <v>22840.821762882162</v>
      </c>
      <c r="H37" s="2">
        <f t="shared" si="2"/>
        <v>3853.4941928979306</v>
      </c>
      <c r="I37" s="2">
        <f t="shared" si="3"/>
        <v>2876.0373490257571</v>
      </c>
      <c r="J37" s="2">
        <f t="shared" si="4"/>
        <v>5081.8620770662637</v>
      </c>
    </row>
    <row r="38" spans="1:10" x14ac:dyDescent="0.25">
      <c r="A38" s="16">
        <v>2024</v>
      </c>
      <c r="B38" s="2">
        <f t="shared" si="5"/>
        <v>45583.322536287364</v>
      </c>
      <c r="C38">
        <v>37168</v>
      </c>
      <c r="F38">
        <v>2023</v>
      </c>
      <c r="G38" s="2">
        <f t="shared" si="1"/>
        <v>23326.467052952292</v>
      </c>
      <c r="H38" s="2">
        <f t="shared" si="2"/>
        <v>3935.4278170258804</v>
      </c>
      <c r="I38" s="2">
        <f t="shared" si="3"/>
        <v>2937.1881257850209</v>
      </c>
      <c r="J38" s="2">
        <f t="shared" si="4"/>
        <v>5189.9134601615906</v>
      </c>
    </row>
    <row r="39" spans="1:10" x14ac:dyDescent="0.25">
      <c r="A39" s="16">
        <v>2025</v>
      </c>
      <c r="B39" s="2">
        <f t="shared" si="5"/>
        <v>46512.9891520245</v>
      </c>
      <c r="C39">
        <v>37869</v>
      </c>
      <c r="F39">
        <v>2024</v>
      </c>
      <c r="G39" s="2">
        <f t="shared" si="1"/>
        <v>23812.112343022302</v>
      </c>
      <c r="H39" s="2">
        <f t="shared" si="2"/>
        <v>4017.3614411538092</v>
      </c>
      <c r="I39" s="2">
        <f t="shared" si="3"/>
        <v>2998.3389025442693</v>
      </c>
      <c r="J39" s="2">
        <f t="shared" si="4"/>
        <v>5297.9648432568893</v>
      </c>
    </row>
    <row r="40" spans="1:10" x14ac:dyDescent="0.25">
      <c r="A40" s="16">
        <v>2026</v>
      </c>
      <c r="B40" s="2">
        <f t="shared" si="5"/>
        <v>47442.655767761869</v>
      </c>
      <c r="C40">
        <v>38563</v>
      </c>
      <c r="F40">
        <v>2025</v>
      </c>
      <c r="G40" s="2">
        <f t="shared" si="1"/>
        <v>24297.757633092311</v>
      </c>
      <c r="H40" s="2">
        <f t="shared" si="2"/>
        <v>4099.2950652817381</v>
      </c>
      <c r="I40" s="2">
        <f t="shared" si="3"/>
        <v>3059.4896793035182</v>
      </c>
      <c r="J40" s="2">
        <f t="shared" si="4"/>
        <v>5406.0162263521879</v>
      </c>
    </row>
    <row r="41" spans="1:10" x14ac:dyDescent="0.25">
      <c r="A41" s="16">
        <v>2027</v>
      </c>
      <c r="B41" s="2">
        <f t="shared" si="5"/>
        <v>48372.322383499006</v>
      </c>
      <c r="C41" s="161">
        <f t="shared" ref="C41:C42" si="6">C$40+(A41-A$40)*(C$64-C$40)/($A$64-A$40)</f>
        <v>39681.25</v>
      </c>
      <c r="F41">
        <v>2026</v>
      </c>
      <c r="G41" s="2">
        <f t="shared" si="1"/>
        <v>24783.402923162441</v>
      </c>
      <c r="H41" s="2">
        <f t="shared" si="2"/>
        <v>4181.2286894096878</v>
      </c>
      <c r="I41" s="2">
        <f t="shared" si="3"/>
        <v>3120.6404560627821</v>
      </c>
      <c r="J41" s="2">
        <f t="shared" si="4"/>
        <v>5514.0676094475139</v>
      </c>
    </row>
    <row r="42" spans="1:10" x14ac:dyDescent="0.25">
      <c r="A42" s="16">
        <v>2028</v>
      </c>
      <c r="B42" s="2">
        <f t="shared" si="5"/>
        <v>49301.988999236142</v>
      </c>
      <c r="C42" s="161">
        <f t="shared" si="6"/>
        <v>40799.5</v>
      </c>
      <c r="F42">
        <v>2027</v>
      </c>
      <c r="G42" s="2">
        <f t="shared" si="1"/>
        <v>25269.048213232451</v>
      </c>
      <c r="H42" s="2">
        <f t="shared" si="2"/>
        <v>4263.1623135376167</v>
      </c>
      <c r="I42" s="2">
        <f t="shared" si="3"/>
        <v>3181.7912328220305</v>
      </c>
      <c r="J42" s="2">
        <f t="shared" si="4"/>
        <v>5622.1189925428134</v>
      </c>
    </row>
    <row r="43" spans="1:10" x14ac:dyDescent="0.25">
      <c r="A43" s="16">
        <v>2029</v>
      </c>
      <c r="B43" s="2">
        <f t="shared" si="5"/>
        <v>50231.655614973279</v>
      </c>
      <c r="C43" s="161">
        <f>C$40+(A43-A$40)*(C$64-C$40)/($A$64-A$40)</f>
        <v>41917.75</v>
      </c>
      <c r="F43">
        <v>2028</v>
      </c>
      <c r="G43" s="2">
        <f t="shared" si="1"/>
        <v>25754.693503302457</v>
      </c>
      <c r="H43" s="2">
        <f t="shared" si="2"/>
        <v>4345.0959376655464</v>
      </c>
      <c r="I43" s="2">
        <f t="shared" si="3"/>
        <v>3242.9420095812789</v>
      </c>
      <c r="J43" s="2">
        <f t="shared" si="4"/>
        <v>5730.1703756381121</v>
      </c>
    </row>
    <row r="44" spans="1:10" x14ac:dyDescent="0.25">
      <c r="A44" s="16">
        <v>2030</v>
      </c>
      <c r="B44" s="2">
        <f t="shared" si="5"/>
        <v>51161.322230710648</v>
      </c>
      <c r="C44" s="161">
        <f t="shared" ref="C44:C63" si="7">C$40+(A44-A$40)*(C$64-C$40)/($A$64-A$40)</f>
        <v>43036</v>
      </c>
      <c r="F44">
        <v>2029</v>
      </c>
      <c r="G44" s="2">
        <f t="shared" si="1"/>
        <v>26240.338793372466</v>
      </c>
      <c r="H44" s="2">
        <f t="shared" si="2"/>
        <v>4427.0295617934753</v>
      </c>
      <c r="I44" s="2">
        <f t="shared" si="3"/>
        <v>3304.0927863405273</v>
      </c>
      <c r="J44" s="2">
        <f t="shared" si="4"/>
        <v>5838.2217587334108</v>
      </c>
    </row>
    <row r="45" spans="1:10" x14ac:dyDescent="0.25">
      <c r="A45" s="16">
        <v>2031</v>
      </c>
      <c r="B45" s="2">
        <f t="shared" si="5"/>
        <v>52090.988846447784</v>
      </c>
      <c r="C45" s="161">
        <f t="shared" si="7"/>
        <v>44154.25</v>
      </c>
      <c r="F45">
        <v>2030</v>
      </c>
      <c r="G45" s="2">
        <f t="shared" si="1"/>
        <v>26725.984083442596</v>
      </c>
      <c r="H45" s="2">
        <f t="shared" si="2"/>
        <v>4508.9631859214251</v>
      </c>
      <c r="I45" s="2">
        <f t="shared" si="3"/>
        <v>3365.2435630997911</v>
      </c>
      <c r="J45" s="2">
        <f t="shared" si="4"/>
        <v>5946.2731418287367</v>
      </c>
    </row>
    <row r="46" spans="1:10" x14ac:dyDescent="0.25">
      <c r="A46" s="16">
        <v>2032</v>
      </c>
      <c r="B46" s="2">
        <f t="shared" si="5"/>
        <v>53020.655462184921</v>
      </c>
      <c r="C46" s="161">
        <f t="shared" si="7"/>
        <v>45272.5</v>
      </c>
      <c r="F46">
        <v>2031</v>
      </c>
      <c r="G46" s="2">
        <f t="shared" si="1"/>
        <v>27211.629373512606</v>
      </c>
      <c r="H46" s="2">
        <f t="shared" si="2"/>
        <v>4590.8968100493539</v>
      </c>
      <c r="I46" s="2">
        <f t="shared" si="3"/>
        <v>3426.39433985904</v>
      </c>
      <c r="J46" s="2">
        <f t="shared" si="4"/>
        <v>6054.3245249240363</v>
      </c>
    </row>
    <row r="47" spans="1:10" x14ac:dyDescent="0.25">
      <c r="A47" s="16">
        <v>2033</v>
      </c>
      <c r="B47" s="2">
        <f t="shared" si="5"/>
        <v>53950.32207792229</v>
      </c>
      <c r="C47" s="161">
        <f t="shared" si="7"/>
        <v>46390.75</v>
      </c>
      <c r="F47">
        <v>2032</v>
      </c>
      <c r="G47" s="2">
        <f t="shared" si="1"/>
        <v>27697.274663582615</v>
      </c>
      <c r="H47" s="2">
        <f t="shared" si="2"/>
        <v>4672.8304341772828</v>
      </c>
      <c r="I47" s="2">
        <f t="shared" si="3"/>
        <v>3487.5451166182884</v>
      </c>
      <c r="J47" s="2">
        <f t="shared" si="4"/>
        <v>6162.3759080193349</v>
      </c>
    </row>
    <row r="48" spans="1:10" x14ac:dyDescent="0.25">
      <c r="A48" s="16">
        <v>2034</v>
      </c>
      <c r="B48" s="2">
        <f t="shared" si="5"/>
        <v>54879.988693659427</v>
      </c>
      <c r="C48" s="161">
        <f t="shared" si="7"/>
        <v>47509</v>
      </c>
      <c r="F48">
        <v>2033</v>
      </c>
      <c r="G48" s="2">
        <f t="shared" si="1"/>
        <v>28182.919953652745</v>
      </c>
      <c r="H48" s="2">
        <f t="shared" si="2"/>
        <v>4754.7640583052325</v>
      </c>
      <c r="I48" s="2">
        <f t="shared" si="3"/>
        <v>3548.6958933775522</v>
      </c>
      <c r="J48" s="2">
        <f t="shared" si="4"/>
        <v>6270.4272911146609</v>
      </c>
    </row>
    <row r="49" spans="1:10" x14ac:dyDescent="0.25">
      <c r="A49" s="16">
        <v>2035</v>
      </c>
      <c r="B49" s="2">
        <f t="shared" si="5"/>
        <v>55809.655309396563</v>
      </c>
      <c r="C49" s="161">
        <f t="shared" si="7"/>
        <v>48627.25</v>
      </c>
      <c r="F49">
        <v>2034</v>
      </c>
      <c r="G49" s="2">
        <f t="shared" si="1"/>
        <v>28668.565243722751</v>
      </c>
      <c r="H49" s="2">
        <f t="shared" si="2"/>
        <v>4836.6976824331614</v>
      </c>
      <c r="I49" s="2">
        <f t="shared" si="3"/>
        <v>3609.8466701368006</v>
      </c>
      <c r="J49" s="2">
        <f t="shared" si="4"/>
        <v>6378.4786742099595</v>
      </c>
    </row>
    <row r="50" spans="1:10" x14ac:dyDescent="0.25">
      <c r="A50" s="16">
        <v>2036</v>
      </c>
      <c r="B50" s="2">
        <f t="shared" si="5"/>
        <v>56739.321925133932</v>
      </c>
      <c r="C50" s="161">
        <f t="shared" si="7"/>
        <v>49745.5</v>
      </c>
      <c r="F50">
        <v>2035</v>
      </c>
      <c r="G50" s="2">
        <f t="shared" si="1"/>
        <v>29154.210533792761</v>
      </c>
      <c r="H50" s="2">
        <f t="shared" si="2"/>
        <v>4918.6313065610902</v>
      </c>
      <c r="I50" s="2">
        <f t="shared" si="3"/>
        <v>3670.997446896049</v>
      </c>
      <c r="J50" s="2">
        <f t="shared" si="4"/>
        <v>6486.5300573052591</v>
      </c>
    </row>
    <row r="51" spans="1:10" x14ac:dyDescent="0.25">
      <c r="A51" s="16">
        <v>2037</v>
      </c>
      <c r="B51" s="2">
        <f t="shared" si="5"/>
        <v>57668.988540871069</v>
      </c>
      <c r="C51" s="161">
        <f t="shared" si="7"/>
        <v>50863.75</v>
      </c>
      <c r="F51">
        <v>2036</v>
      </c>
      <c r="G51" s="2">
        <f t="shared" si="1"/>
        <v>29639.85582386289</v>
      </c>
      <c r="H51" s="2">
        <f t="shared" si="2"/>
        <v>5000.56493068904</v>
      </c>
      <c r="I51" s="2">
        <f t="shared" si="3"/>
        <v>3732.1482236553129</v>
      </c>
      <c r="J51" s="2">
        <f t="shared" si="4"/>
        <v>6594.5814404005851</v>
      </c>
    </row>
    <row r="52" spans="1:10" x14ac:dyDescent="0.25">
      <c r="A52" s="16">
        <v>2038</v>
      </c>
      <c r="B52" s="2">
        <f t="shared" si="5"/>
        <v>58598.655156608205</v>
      </c>
      <c r="C52" s="161">
        <f t="shared" si="7"/>
        <v>51982</v>
      </c>
      <c r="F52">
        <v>2037</v>
      </c>
      <c r="G52" s="2">
        <f t="shared" si="1"/>
        <v>30125.5011139329</v>
      </c>
      <c r="H52" s="2">
        <f t="shared" si="2"/>
        <v>5082.4985548169689</v>
      </c>
      <c r="I52" s="2">
        <f t="shared" si="3"/>
        <v>3793.2990004145618</v>
      </c>
      <c r="J52" s="2">
        <f t="shared" si="4"/>
        <v>6702.6328234958837</v>
      </c>
    </row>
    <row r="53" spans="1:10" x14ac:dyDescent="0.25">
      <c r="A53" s="16">
        <v>2039</v>
      </c>
      <c r="B53" s="2">
        <f t="shared" si="5"/>
        <v>59528.321772345342</v>
      </c>
      <c r="C53" s="161">
        <f t="shared" si="7"/>
        <v>53100.25</v>
      </c>
      <c r="F53">
        <v>2038</v>
      </c>
      <c r="G53" s="2">
        <f t="shared" si="1"/>
        <v>30611.14640400291</v>
      </c>
      <c r="H53" s="2">
        <f t="shared" si="2"/>
        <v>5164.4321789448986</v>
      </c>
      <c r="I53" s="2">
        <f t="shared" si="3"/>
        <v>3854.4497771738102</v>
      </c>
      <c r="J53" s="2">
        <f t="shared" si="4"/>
        <v>6810.6842065911833</v>
      </c>
    </row>
    <row r="54" spans="1:10" x14ac:dyDescent="0.25">
      <c r="A54" s="16">
        <v>2040</v>
      </c>
      <c r="B54" s="2">
        <f t="shared" si="5"/>
        <v>60457.988388082711</v>
      </c>
      <c r="C54" s="161">
        <f t="shared" si="7"/>
        <v>54218.5</v>
      </c>
      <c r="F54">
        <v>2039</v>
      </c>
      <c r="G54" s="2">
        <f t="shared" si="1"/>
        <v>31096.791694072916</v>
      </c>
      <c r="H54" s="2">
        <f t="shared" si="2"/>
        <v>5246.3658030728275</v>
      </c>
      <c r="I54" s="2">
        <f t="shared" si="3"/>
        <v>3915.6005539330586</v>
      </c>
      <c r="J54" s="2">
        <f t="shared" si="4"/>
        <v>6918.7355896864819</v>
      </c>
    </row>
    <row r="55" spans="1:10" x14ac:dyDescent="0.25">
      <c r="A55" s="16">
        <v>2041</v>
      </c>
      <c r="C55" s="161">
        <f t="shared" si="7"/>
        <v>55336.75</v>
      </c>
      <c r="F55">
        <v>2040</v>
      </c>
      <c r="G55" s="2">
        <f t="shared" si="1"/>
        <v>31582.436984143049</v>
      </c>
      <c r="H55" s="2">
        <f t="shared" si="2"/>
        <v>5328.2994272007772</v>
      </c>
      <c r="I55" s="2">
        <f t="shared" si="3"/>
        <v>3976.7513306923224</v>
      </c>
      <c r="J55" s="2">
        <f t="shared" si="4"/>
        <v>7026.7869727818079</v>
      </c>
    </row>
    <row r="56" spans="1:10" x14ac:dyDescent="0.25">
      <c r="A56" s="16">
        <v>2042</v>
      </c>
      <c r="C56" s="161">
        <f t="shared" si="7"/>
        <v>56455</v>
      </c>
    </row>
    <row r="57" spans="1:10" x14ac:dyDescent="0.25">
      <c r="A57" s="16">
        <v>2043</v>
      </c>
      <c r="C57" s="161">
        <f t="shared" si="7"/>
        <v>57573.25</v>
      </c>
    </row>
    <row r="58" spans="1:10" x14ac:dyDescent="0.25">
      <c r="A58" s="16">
        <v>2044</v>
      </c>
      <c r="C58" s="161">
        <f t="shared" si="7"/>
        <v>58691.5</v>
      </c>
    </row>
    <row r="59" spans="1:10" x14ac:dyDescent="0.25">
      <c r="A59" s="16">
        <v>2045</v>
      </c>
      <c r="C59" s="161">
        <f t="shared" si="7"/>
        <v>59809.75</v>
      </c>
    </row>
    <row r="60" spans="1:10" x14ac:dyDescent="0.25">
      <c r="A60" s="16">
        <v>2046</v>
      </c>
      <c r="C60" s="161">
        <f t="shared" si="7"/>
        <v>60928</v>
      </c>
    </row>
    <row r="61" spans="1:10" x14ac:dyDescent="0.25">
      <c r="A61" s="16">
        <v>2047</v>
      </c>
      <c r="C61" s="161">
        <f t="shared" si="7"/>
        <v>62046.25</v>
      </c>
    </row>
    <row r="62" spans="1:10" x14ac:dyDescent="0.25">
      <c r="A62" s="16">
        <v>2048</v>
      </c>
      <c r="C62" s="161">
        <f t="shared" si="7"/>
        <v>63164.5</v>
      </c>
    </row>
    <row r="63" spans="1:10" x14ac:dyDescent="0.25">
      <c r="A63" s="16">
        <v>2049</v>
      </c>
      <c r="C63" s="161">
        <f t="shared" si="7"/>
        <v>64282.75</v>
      </c>
    </row>
    <row r="64" spans="1:10" x14ac:dyDescent="0.25">
      <c r="A64" s="16">
        <v>2050</v>
      </c>
      <c r="C64" s="2">
        <f>summary!E8</f>
        <v>65401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141"/>
  <sheetViews>
    <sheetView workbookViewId="0">
      <selection activeCell="E5" sqref="E5"/>
    </sheetView>
  </sheetViews>
  <sheetFormatPr defaultRowHeight="15" x14ac:dyDescent="0.25"/>
  <cols>
    <col min="1" max="1" width="5.42578125" bestFit="1" customWidth="1"/>
    <col min="2" max="2" width="16" style="2" bestFit="1" customWidth="1"/>
    <col min="3" max="3" width="19.140625" style="2" bestFit="1" customWidth="1"/>
    <col min="4" max="4" width="7" bestFit="1" customWidth="1"/>
    <col min="5" max="5" width="21.140625" style="2" bestFit="1" customWidth="1"/>
    <col min="8" max="8" width="21.140625" bestFit="1" customWidth="1"/>
  </cols>
  <sheetData>
    <row r="1" spans="1:8" x14ac:dyDescent="0.25">
      <c r="A1" s="248" t="s">
        <v>130</v>
      </c>
      <c r="B1" s="248"/>
      <c r="C1" s="248"/>
      <c r="D1" s="248" t="s">
        <v>131</v>
      </c>
      <c r="E1" s="248"/>
      <c r="G1" t="s">
        <v>13</v>
      </c>
      <c r="H1" s="2" t="s">
        <v>135</v>
      </c>
    </row>
    <row r="2" spans="1:8" x14ac:dyDescent="0.25">
      <c r="A2" s="248" t="s">
        <v>132</v>
      </c>
      <c r="B2" s="248"/>
      <c r="C2" s="248"/>
      <c r="D2" s="248" t="s">
        <v>132</v>
      </c>
      <c r="E2" s="248"/>
      <c r="G2">
        <v>1946</v>
      </c>
      <c r="H2" s="2">
        <v>4366</v>
      </c>
    </row>
    <row r="3" spans="1:8" x14ac:dyDescent="0.25">
      <c r="A3" t="s">
        <v>13</v>
      </c>
      <c r="B3" s="2" t="s">
        <v>133</v>
      </c>
      <c r="C3" s="2" t="s">
        <v>134</v>
      </c>
      <c r="D3" t="s">
        <v>13</v>
      </c>
      <c r="E3" s="2" t="s">
        <v>135</v>
      </c>
      <c r="G3">
        <v>1947</v>
      </c>
      <c r="H3" s="2">
        <v>4603</v>
      </c>
    </row>
    <row r="4" spans="1:8" x14ac:dyDescent="0.25">
      <c r="A4">
        <v>2012</v>
      </c>
      <c r="B4" s="2">
        <v>30814</v>
      </c>
      <c r="C4" s="2" t="s">
        <v>136</v>
      </c>
      <c r="D4">
        <v>2012</v>
      </c>
      <c r="E4" s="2">
        <v>33336</v>
      </c>
      <c r="G4">
        <v>1948</v>
      </c>
      <c r="H4" s="2">
        <v>4810</v>
      </c>
    </row>
    <row r="5" spans="1:8" x14ac:dyDescent="0.25">
      <c r="A5">
        <v>2011</v>
      </c>
      <c r="B5" s="2">
        <v>30539</v>
      </c>
      <c r="C5" s="2">
        <v>29429</v>
      </c>
      <c r="D5">
        <v>2011</v>
      </c>
      <c r="E5" s="2">
        <v>32980</v>
      </c>
      <c r="G5">
        <v>1949</v>
      </c>
      <c r="H5" s="2">
        <v>4937</v>
      </c>
    </row>
    <row r="6" spans="1:8" x14ac:dyDescent="0.25">
      <c r="A6">
        <v>2010</v>
      </c>
      <c r="B6" s="2">
        <v>30558</v>
      </c>
      <c r="C6" s="2">
        <v>29794</v>
      </c>
      <c r="D6">
        <v>2010</v>
      </c>
      <c r="E6" s="2">
        <v>32947</v>
      </c>
      <c r="G6">
        <v>1950</v>
      </c>
      <c r="H6" s="2">
        <v>4510</v>
      </c>
    </row>
    <row r="7" spans="1:8" x14ac:dyDescent="0.25">
      <c r="A7" s="34" t="s">
        <v>137</v>
      </c>
      <c r="B7" s="35" t="s">
        <v>138</v>
      </c>
      <c r="C7" s="2">
        <v>29358</v>
      </c>
      <c r="D7">
        <v>2009</v>
      </c>
      <c r="E7" s="2">
        <v>32955</v>
      </c>
      <c r="G7">
        <v>1951</v>
      </c>
      <c r="H7" s="2">
        <v>5082</v>
      </c>
    </row>
    <row r="8" spans="1:8" x14ac:dyDescent="0.25">
      <c r="A8" s="34" t="s">
        <v>139</v>
      </c>
      <c r="B8" s="35" t="s">
        <v>140</v>
      </c>
      <c r="C8" s="35" t="s">
        <v>141</v>
      </c>
      <c r="D8">
        <v>2008</v>
      </c>
      <c r="E8" s="2">
        <v>32992</v>
      </c>
      <c r="G8">
        <v>1952</v>
      </c>
      <c r="H8" s="2">
        <v>6359</v>
      </c>
    </row>
    <row r="9" spans="1:8" x14ac:dyDescent="0.25">
      <c r="A9">
        <v>2007</v>
      </c>
      <c r="B9" s="2">
        <v>30426</v>
      </c>
      <c r="C9" s="2">
        <v>29004</v>
      </c>
      <c r="D9">
        <v>2007</v>
      </c>
      <c r="E9" s="2">
        <v>32964</v>
      </c>
      <c r="G9">
        <v>1953</v>
      </c>
      <c r="H9" s="2">
        <v>6618</v>
      </c>
    </row>
    <row r="10" spans="1:8" x14ac:dyDescent="0.25">
      <c r="A10">
        <v>2006</v>
      </c>
      <c r="B10" s="2">
        <v>30090</v>
      </c>
      <c r="C10" s="2">
        <v>29271</v>
      </c>
      <c r="D10">
        <v>2006</v>
      </c>
      <c r="E10" s="2">
        <v>32679</v>
      </c>
      <c r="G10">
        <v>1954</v>
      </c>
      <c r="H10" s="2">
        <v>7213</v>
      </c>
    </row>
    <row r="11" spans="1:8" x14ac:dyDescent="0.25">
      <c r="A11">
        <v>2005</v>
      </c>
      <c r="B11" s="2">
        <v>30492</v>
      </c>
      <c r="C11" s="2">
        <v>29581</v>
      </c>
      <c r="D11">
        <v>2005</v>
      </c>
      <c r="E11" s="2">
        <v>32920</v>
      </c>
      <c r="G11">
        <v>1955</v>
      </c>
      <c r="H11" s="2">
        <v>8184</v>
      </c>
    </row>
    <row r="12" spans="1:8" x14ac:dyDescent="0.25">
      <c r="A12">
        <v>2004</v>
      </c>
      <c r="B12" s="2">
        <v>30633</v>
      </c>
      <c r="C12" s="2">
        <v>29231</v>
      </c>
      <c r="D12">
        <v>2004</v>
      </c>
      <c r="E12" s="2">
        <v>33427</v>
      </c>
      <c r="G12">
        <v>1956</v>
      </c>
      <c r="H12" s="2">
        <v>9050</v>
      </c>
    </row>
    <row r="13" spans="1:8" x14ac:dyDescent="0.25">
      <c r="A13">
        <v>2003</v>
      </c>
      <c r="B13" s="2">
        <v>30372</v>
      </c>
      <c r="C13" s="2">
        <v>29361</v>
      </c>
      <c r="D13">
        <v>2003</v>
      </c>
      <c r="E13" s="2">
        <v>33008</v>
      </c>
      <c r="G13">
        <v>1957</v>
      </c>
      <c r="H13" s="2">
        <v>9201</v>
      </c>
    </row>
    <row r="14" spans="1:8" x14ac:dyDescent="0.25">
      <c r="A14">
        <v>2002</v>
      </c>
      <c r="B14" s="2">
        <v>29796</v>
      </c>
      <c r="C14" s="2">
        <v>29227</v>
      </c>
      <c r="D14">
        <v>2002</v>
      </c>
      <c r="E14" s="2">
        <v>32408</v>
      </c>
      <c r="G14">
        <v>1958</v>
      </c>
      <c r="H14" s="2">
        <v>9903</v>
      </c>
    </row>
    <row r="15" spans="1:8" x14ac:dyDescent="0.25">
      <c r="A15">
        <v>2001</v>
      </c>
      <c r="B15" s="2">
        <v>30234</v>
      </c>
      <c r="C15" s="2">
        <v>29157</v>
      </c>
      <c r="D15">
        <v>2001</v>
      </c>
      <c r="E15" s="2">
        <v>32771</v>
      </c>
      <c r="G15">
        <v>1959</v>
      </c>
      <c r="H15" s="2">
        <v>10265</v>
      </c>
    </row>
    <row r="16" spans="1:8" x14ac:dyDescent="0.25">
      <c r="A16">
        <v>2000</v>
      </c>
      <c r="B16" s="2">
        <v>30069</v>
      </c>
      <c r="C16" s="2">
        <v>29217</v>
      </c>
      <c r="D16">
        <v>2000</v>
      </c>
      <c r="E16" s="2">
        <v>32554</v>
      </c>
      <c r="G16">
        <v>1960</v>
      </c>
      <c r="H16" s="2">
        <v>10305</v>
      </c>
    </row>
    <row r="17" spans="1:8" x14ac:dyDescent="0.25">
      <c r="A17">
        <v>1999</v>
      </c>
      <c r="B17" s="2">
        <v>30301</v>
      </c>
      <c r="C17" s="2">
        <v>29246</v>
      </c>
      <c r="D17">
        <v>1999</v>
      </c>
      <c r="E17" s="2">
        <v>32731</v>
      </c>
      <c r="G17">
        <v>1961</v>
      </c>
      <c r="H17" s="2">
        <v>11178</v>
      </c>
    </row>
    <row r="18" spans="1:8" x14ac:dyDescent="0.25">
      <c r="A18">
        <v>1998</v>
      </c>
      <c r="B18" s="2">
        <v>29930</v>
      </c>
      <c r="C18" s="2">
        <v>28274</v>
      </c>
      <c r="D18">
        <v>1998</v>
      </c>
      <c r="E18" s="2">
        <v>32202</v>
      </c>
      <c r="G18">
        <v>1962</v>
      </c>
      <c r="H18" s="2">
        <v>12399</v>
      </c>
    </row>
    <row r="19" spans="1:8" x14ac:dyDescent="0.25">
      <c r="A19">
        <v>1997</v>
      </c>
      <c r="B19" s="2">
        <v>29011</v>
      </c>
      <c r="C19" s="2">
        <v>27176</v>
      </c>
      <c r="D19">
        <v>1997</v>
      </c>
      <c r="E19" s="2">
        <v>31249</v>
      </c>
      <c r="G19">
        <v>1963</v>
      </c>
      <c r="H19" s="2">
        <v>14236</v>
      </c>
    </row>
    <row r="20" spans="1:8" x14ac:dyDescent="0.25">
      <c r="D20">
        <v>1996</v>
      </c>
      <c r="E20" s="2">
        <v>30563</v>
      </c>
      <c r="G20">
        <v>1964</v>
      </c>
      <c r="H20" s="2">
        <v>16444</v>
      </c>
    </row>
    <row r="21" spans="1:8" x14ac:dyDescent="0.25">
      <c r="D21">
        <v>1995</v>
      </c>
      <c r="E21" s="2">
        <v>30465</v>
      </c>
      <c r="G21">
        <v>1965</v>
      </c>
      <c r="H21" s="2">
        <v>18725</v>
      </c>
    </row>
    <row r="22" spans="1:8" x14ac:dyDescent="0.25">
      <c r="D22">
        <v>1994</v>
      </c>
      <c r="E22" s="2">
        <v>30413</v>
      </c>
      <c r="G22">
        <v>1966</v>
      </c>
      <c r="H22" s="2">
        <v>20028</v>
      </c>
    </row>
    <row r="23" spans="1:8" x14ac:dyDescent="0.25">
      <c r="D23">
        <v>1993</v>
      </c>
      <c r="E23" s="2">
        <v>30547</v>
      </c>
      <c r="G23">
        <v>1967</v>
      </c>
      <c r="H23" s="2">
        <v>20375</v>
      </c>
    </row>
    <row r="24" spans="1:8" x14ac:dyDescent="0.25">
      <c r="D24">
        <v>1992</v>
      </c>
      <c r="E24" s="2">
        <v>31108</v>
      </c>
      <c r="G24">
        <v>1968</v>
      </c>
      <c r="H24" s="2">
        <v>22304</v>
      </c>
    </row>
    <row r="25" spans="1:8" x14ac:dyDescent="0.25">
      <c r="D25">
        <v>1991</v>
      </c>
      <c r="E25" s="2">
        <v>31101</v>
      </c>
      <c r="G25">
        <v>1969</v>
      </c>
      <c r="H25" s="2">
        <v>24144</v>
      </c>
    </row>
    <row r="26" spans="1:8" x14ac:dyDescent="0.25">
      <c r="D26">
        <v>1990</v>
      </c>
      <c r="E26" s="2">
        <v>30465</v>
      </c>
      <c r="G26">
        <v>1970</v>
      </c>
      <c r="H26" s="2">
        <v>25021</v>
      </c>
    </row>
    <row r="27" spans="1:8" x14ac:dyDescent="0.25">
      <c r="D27">
        <v>1989</v>
      </c>
      <c r="E27" s="2">
        <v>30573</v>
      </c>
      <c r="G27">
        <v>1971</v>
      </c>
      <c r="H27" s="2">
        <v>25116</v>
      </c>
    </row>
    <row r="28" spans="1:8" x14ac:dyDescent="0.25">
      <c r="D28">
        <v>1988</v>
      </c>
      <c r="E28" s="2">
        <v>29613</v>
      </c>
      <c r="G28">
        <v>1972</v>
      </c>
      <c r="H28" s="2">
        <v>24565</v>
      </c>
    </row>
    <row r="29" spans="1:8" x14ac:dyDescent="0.25">
      <c r="D29">
        <v>1987</v>
      </c>
      <c r="E29" s="2">
        <v>27545</v>
      </c>
      <c r="G29">
        <v>1973</v>
      </c>
      <c r="H29" s="2">
        <v>24997</v>
      </c>
    </row>
    <row r="30" spans="1:8" x14ac:dyDescent="0.25">
      <c r="D30">
        <v>1986</v>
      </c>
      <c r="E30" s="2">
        <v>28264</v>
      </c>
      <c r="G30">
        <v>1974</v>
      </c>
      <c r="H30" s="2">
        <v>25218</v>
      </c>
    </row>
    <row r="31" spans="1:8" x14ac:dyDescent="0.25">
      <c r="D31">
        <v>1985</v>
      </c>
      <c r="E31" s="2">
        <v>27986</v>
      </c>
      <c r="G31">
        <v>1975</v>
      </c>
      <c r="H31" s="2">
        <v>25950</v>
      </c>
    </row>
    <row r="32" spans="1:8" x14ac:dyDescent="0.25">
      <c r="D32">
        <v>1984</v>
      </c>
      <c r="E32" s="2">
        <v>27668</v>
      </c>
      <c r="G32">
        <v>1976</v>
      </c>
      <c r="H32" s="2">
        <v>26421</v>
      </c>
    </row>
    <row r="33" spans="4:8" x14ac:dyDescent="0.25">
      <c r="D33">
        <v>1983</v>
      </c>
      <c r="E33" s="2">
        <v>27961</v>
      </c>
      <c r="G33">
        <v>1977</v>
      </c>
      <c r="H33" s="2">
        <v>26860</v>
      </c>
    </row>
    <row r="34" spans="4:8" x14ac:dyDescent="0.25">
      <c r="D34">
        <v>1982</v>
      </c>
      <c r="E34" s="2">
        <v>27990</v>
      </c>
      <c r="G34">
        <v>1978</v>
      </c>
      <c r="H34" s="2">
        <v>27390</v>
      </c>
    </row>
    <row r="35" spans="4:8" x14ac:dyDescent="0.25">
      <c r="D35">
        <v>1981</v>
      </c>
      <c r="E35" s="2">
        <v>28084</v>
      </c>
      <c r="G35">
        <v>1979</v>
      </c>
      <c r="H35" s="2">
        <v>27521</v>
      </c>
    </row>
    <row r="36" spans="4:8" x14ac:dyDescent="0.25">
      <c r="D36">
        <v>1980</v>
      </c>
      <c r="E36" s="2">
        <v>27772</v>
      </c>
      <c r="G36">
        <v>1980</v>
      </c>
      <c r="H36" s="2">
        <v>27772</v>
      </c>
    </row>
    <row r="37" spans="4:8" x14ac:dyDescent="0.25">
      <c r="D37">
        <v>1979</v>
      </c>
      <c r="E37" s="2">
        <v>27521</v>
      </c>
      <c r="G37">
        <v>1981</v>
      </c>
      <c r="H37" s="2">
        <v>28084</v>
      </c>
    </row>
    <row r="38" spans="4:8" x14ac:dyDescent="0.25">
      <c r="D38">
        <v>1978</v>
      </c>
      <c r="E38" s="2">
        <v>27390</v>
      </c>
      <c r="G38">
        <v>1982</v>
      </c>
      <c r="H38" s="2">
        <v>27990</v>
      </c>
    </row>
    <row r="39" spans="4:8" x14ac:dyDescent="0.25">
      <c r="D39">
        <v>1977</v>
      </c>
      <c r="E39" s="2">
        <v>26860</v>
      </c>
      <c r="G39">
        <v>1983</v>
      </c>
      <c r="H39" s="2">
        <v>27961</v>
      </c>
    </row>
    <row r="40" spans="4:8" x14ac:dyDescent="0.25">
      <c r="D40">
        <v>1976</v>
      </c>
      <c r="E40" s="2">
        <v>26421</v>
      </c>
      <c r="G40">
        <v>1984</v>
      </c>
      <c r="H40" s="2">
        <v>27668</v>
      </c>
    </row>
    <row r="41" spans="4:8" x14ac:dyDescent="0.25">
      <c r="D41">
        <v>1975</v>
      </c>
      <c r="E41" s="2">
        <v>25950</v>
      </c>
      <c r="G41">
        <v>1985</v>
      </c>
      <c r="H41" s="2">
        <v>27986</v>
      </c>
    </row>
    <row r="42" spans="4:8" x14ac:dyDescent="0.25">
      <c r="D42">
        <v>1974</v>
      </c>
      <c r="E42" s="2">
        <v>25218</v>
      </c>
      <c r="G42">
        <v>1986</v>
      </c>
      <c r="H42" s="2">
        <v>28264</v>
      </c>
    </row>
    <row r="43" spans="4:8" x14ac:dyDescent="0.25">
      <c r="D43">
        <v>1973</v>
      </c>
      <c r="E43" s="2">
        <v>24997</v>
      </c>
      <c r="G43">
        <v>1987</v>
      </c>
      <c r="H43" s="2">
        <v>27545</v>
      </c>
    </row>
    <row r="44" spans="4:8" x14ac:dyDescent="0.25">
      <c r="D44">
        <v>1972</v>
      </c>
      <c r="E44" s="2">
        <v>24565</v>
      </c>
      <c r="G44">
        <v>1988</v>
      </c>
      <c r="H44" s="2">
        <v>29613</v>
      </c>
    </row>
    <row r="45" spans="4:8" x14ac:dyDescent="0.25">
      <c r="D45">
        <v>1971</v>
      </c>
      <c r="E45" s="2">
        <v>25116</v>
      </c>
      <c r="G45">
        <v>1989</v>
      </c>
      <c r="H45" s="2">
        <v>30573</v>
      </c>
    </row>
    <row r="46" spans="4:8" x14ac:dyDescent="0.25">
      <c r="D46">
        <v>1970</v>
      </c>
      <c r="E46" s="2">
        <v>25021</v>
      </c>
      <c r="G46">
        <v>1990</v>
      </c>
      <c r="H46" s="2">
        <v>30465</v>
      </c>
    </row>
    <row r="47" spans="4:8" x14ac:dyDescent="0.25">
      <c r="D47">
        <v>1969</v>
      </c>
      <c r="E47" s="2">
        <v>24144</v>
      </c>
      <c r="G47">
        <v>1991</v>
      </c>
      <c r="H47" s="2">
        <v>31101</v>
      </c>
    </row>
    <row r="48" spans="4:8" x14ac:dyDescent="0.25">
      <c r="D48">
        <v>1968</v>
      </c>
      <c r="E48" s="2">
        <v>22304</v>
      </c>
      <c r="G48">
        <v>1992</v>
      </c>
      <c r="H48" s="2">
        <v>31108</v>
      </c>
    </row>
    <row r="49" spans="4:8" x14ac:dyDescent="0.25">
      <c r="D49">
        <v>1967</v>
      </c>
      <c r="E49" s="2">
        <v>20375</v>
      </c>
      <c r="G49">
        <v>1993</v>
      </c>
      <c r="H49" s="2">
        <v>30547</v>
      </c>
    </row>
    <row r="50" spans="4:8" x14ac:dyDescent="0.25">
      <c r="D50">
        <v>1966</v>
      </c>
      <c r="E50" s="2">
        <v>20028</v>
      </c>
      <c r="G50">
        <v>1994</v>
      </c>
      <c r="H50" s="2">
        <v>30413</v>
      </c>
    </row>
    <row r="51" spans="4:8" x14ac:dyDescent="0.25">
      <c r="D51">
        <v>1965</v>
      </c>
      <c r="E51" s="2">
        <v>18725</v>
      </c>
      <c r="G51">
        <v>1995</v>
      </c>
      <c r="H51" s="2">
        <v>30465</v>
      </c>
    </row>
    <row r="52" spans="4:8" x14ac:dyDescent="0.25">
      <c r="D52">
        <v>1964</v>
      </c>
      <c r="E52" s="2">
        <v>16444</v>
      </c>
      <c r="G52">
        <v>1996</v>
      </c>
      <c r="H52" s="2">
        <v>30563</v>
      </c>
    </row>
    <row r="53" spans="4:8" x14ac:dyDescent="0.25">
      <c r="D53">
        <v>1963</v>
      </c>
      <c r="E53" s="2">
        <v>14236</v>
      </c>
      <c r="G53">
        <v>1997</v>
      </c>
      <c r="H53" s="2">
        <v>31249</v>
      </c>
    </row>
    <row r="54" spans="4:8" x14ac:dyDescent="0.25">
      <c r="D54">
        <v>1962</v>
      </c>
      <c r="E54" s="2">
        <v>12399</v>
      </c>
      <c r="G54">
        <v>1998</v>
      </c>
      <c r="H54" s="2">
        <v>32202</v>
      </c>
    </row>
    <row r="55" spans="4:8" x14ac:dyDescent="0.25">
      <c r="D55">
        <v>1961</v>
      </c>
      <c r="E55" s="2">
        <v>11178</v>
      </c>
      <c r="G55">
        <v>1999</v>
      </c>
      <c r="H55" s="2">
        <v>32731</v>
      </c>
    </row>
    <row r="56" spans="4:8" x14ac:dyDescent="0.25">
      <c r="D56">
        <v>1960</v>
      </c>
      <c r="E56" s="2">
        <v>10305</v>
      </c>
      <c r="G56">
        <v>2000</v>
      </c>
      <c r="H56" s="2">
        <v>32554</v>
      </c>
    </row>
    <row r="57" spans="4:8" x14ac:dyDescent="0.25">
      <c r="D57">
        <v>1959</v>
      </c>
      <c r="E57" s="2">
        <v>10265</v>
      </c>
      <c r="G57">
        <v>2001</v>
      </c>
      <c r="H57" s="2">
        <v>32771</v>
      </c>
    </row>
    <row r="58" spans="4:8" x14ac:dyDescent="0.25">
      <c r="D58">
        <v>1958</v>
      </c>
      <c r="E58" s="2">
        <v>9903</v>
      </c>
      <c r="G58">
        <v>2002</v>
      </c>
      <c r="H58" s="2">
        <v>32408</v>
      </c>
    </row>
    <row r="59" spans="4:8" x14ac:dyDescent="0.25">
      <c r="D59">
        <v>1957</v>
      </c>
      <c r="E59" s="2">
        <v>9201</v>
      </c>
      <c r="G59">
        <v>2003</v>
      </c>
      <c r="H59" s="2">
        <v>33008</v>
      </c>
    </row>
    <row r="60" spans="4:8" x14ac:dyDescent="0.25">
      <c r="D60">
        <v>1956</v>
      </c>
      <c r="E60" s="2">
        <v>9050</v>
      </c>
      <c r="G60">
        <v>2004</v>
      </c>
      <c r="H60" s="2">
        <v>33427</v>
      </c>
    </row>
    <row r="61" spans="4:8" x14ac:dyDescent="0.25">
      <c r="D61">
        <v>1955</v>
      </c>
      <c r="E61" s="2">
        <v>8184</v>
      </c>
      <c r="G61">
        <v>2005</v>
      </c>
      <c r="H61" s="2">
        <v>32920</v>
      </c>
    </row>
    <row r="62" spans="4:8" x14ac:dyDescent="0.25">
      <c r="D62">
        <v>1954</v>
      </c>
      <c r="E62" s="2">
        <v>7213</v>
      </c>
      <c r="G62">
        <v>2006</v>
      </c>
      <c r="H62" s="2">
        <v>32679</v>
      </c>
    </row>
    <row r="63" spans="4:8" x14ac:dyDescent="0.25">
      <c r="D63">
        <v>1953</v>
      </c>
      <c r="E63" s="2">
        <v>6618</v>
      </c>
      <c r="G63">
        <v>2007</v>
      </c>
      <c r="H63" s="2">
        <v>32964</v>
      </c>
    </row>
    <row r="64" spans="4:8" x14ac:dyDescent="0.25">
      <c r="D64">
        <v>1952</v>
      </c>
      <c r="E64" s="2">
        <v>6359</v>
      </c>
      <c r="G64">
        <v>2008</v>
      </c>
      <c r="H64" s="2">
        <v>32992</v>
      </c>
    </row>
    <row r="65" spans="4:8" x14ac:dyDescent="0.25">
      <c r="D65">
        <v>1951</v>
      </c>
      <c r="E65" s="2">
        <v>5082</v>
      </c>
      <c r="G65">
        <v>2009</v>
      </c>
      <c r="H65" s="2">
        <v>32955</v>
      </c>
    </row>
    <row r="66" spans="4:8" x14ac:dyDescent="0.25">
      <c r="D66">
        <v>1950</v>
      </c>
      <c r="E66" s="2">
        <v>4510</v>
      </c>
      <c r="G66">
        <v>2010</v>
      </c>
      <c r="H66" s="2">
        <v>32947</v>
      </c>
    </row>
    <row r="67" spans="4:8" x14ac:dyDescent="0.25">
      <c r="D67">
        <v>1949</v>
      </c>
      <c r="E67" s="2">
        <v>4937</v>
      </c>
      <c r="G67">
        <v>2011</v>
      </c>
      <c r="H67" s="2">
        <v>32980</v>
      </c>
    </row>
    <row r="68" spans="4:8" x14ac:dyDescent="0.25">
      <c r="D68">
        <v>1948</v>
      </c>
      <c r="E68" s="2">
        <v>4810</v>
      </c>
      <c r="G68">
        <v>2012</v>
      </c>
      <c r="H68" s="2">
        <v>33336</v>
      </c>
    </row>
    <row r="69" spans="4:8" x14ac:dyDescent="0.25">
      <c r="D69">
        <v>1947</v>
      </c>
      <c r="E69" s="2">
        <v>4603</v>
      </c>
      <c r="G69">
        <v>2013</v>
      </c>
      <c r="H69" s="36">
        <f>438056.50891*LN(G69)-3297842.90933</f>
        <v>34620.039932545274</v>
      </c>
    </row>
    <row r="70" spans="4:8" x14ac:dyDescent="0.25">
      <c r="D70">
        <v>1946</v>
      </c>
      <c r="E70" s="2">
        <v>4366</v>
      </c>
      <c r="G70">
        <v>2014</v>
      </c>
      <c r="H70" s="36">
        <f t="shared" ref="H70:H96" si="0">438056.50891*LN(G70)-3297842.90933</f>
        <v>34837.599663319532</v>
      </c>
    </row>
    <row r="71" spans="4:8" x14ac:dyDescent="0.25">
      <c r="D71" t="s">
        <v>142</v>
      </c>
      <c r="E71" s="2">
        <v>1811</v>
      </c>
      <c r="G71">
        <v>2015</v>
      </c>
      <c r="H71" s="36">
        <f t="shared" si="0"/>
        <v>35055.051397201605</v>
      </c>
    </row>
    <row r="72" spans="4:8" x14ac:dyDescent="0.25">
      <c r="D72">
        <v>1944</v>
      </c>
      <c r="E72" s="2">
        <v>1508</v>
      </c>
      <c r="G72">
        <v>2016</v>
      </c>
      <c r="H72" s="36">
        <f t="shared" si="0"/>
        <v>35272.395241357852</v>
      </c>
    </row>
    <row r="73" spans="4:8" x14ac:dyDescent="0.25">
      <c r="D73">
        <v>1943</v>
      </c>
      <c r="E73" s="2">
        <v>1155</v>
      </c>
      <c r="G73">
        <v>2017</v>
      </c>
      <c r="H73" s="36">
        <f t="shared" si="0"/>
        <v>35489.631302794442</v>
      </c>
    </row>
    <row r="74" spans="4:8" x14ac:dyDescent="0.25">
      <c r="D74">
        <v>1942</v>
      </c>
      <c r="E74" s="2">
        <v>1687</v>
      </c>
      <c r="G74">
        <v>2018</v>
      </c>
      <c r="H74" s="36">
        <f t="shared" si="0"/>
        <v>35706.759688360151</v>
      </c>
    </row>
    <row r="75" spans="4:8" x14ac:dyDescent="0.25">
      <c r="D75">
        <v>1941</v>
      </c>
      <c r="E75" s="2">
        <v>2131</v>
      </c>
      <c r="G75">
        <v>2019</v>
      </c>
      <c r="H75" s="36">
        <f t="shared" si="0"/>
        <v>35923.780504743569</v>
      </c>
    </row>
    <row r="76" spans="4:8" x14ac:dyDescent="0.25">
      <c r="D76">
        <v>1940</v>
      </c>
      <c r="E76" s="2">
        <v>2715</v>
      </c>
      <c r="G76">
        <v>2020</v>
      </c>
      <c r="H76" s="36">
        <f t="shared" si="0"/>
        <v>36140.693858474959</v>
      </c>
    </row>
    <row r="77" spans="4:8" x14ac:dyDescent="0.25">
      <c r="D77">
        <v>1939</v>
      </c>
      <c r="E77" s="2">
        <v>2894</v>
      </c>
      <c r="G77">
        <v>2021</v>
      </c>
      <c r="H77" s="36">
        <f t="shared" si="0"/>
        <v>36357.499855927192</v>
      </c>
    </row>
    <row r="78" spans="4:8" x14ac:dyDescent="0.25">
      <c r="D78">
        <v>1938</v>
      </c>
      <c r="E78" s="2">
        <v>2782</v>
      </c>
      <c r="G78">
        <v>2022</v>
      </c>
      <c r="H78" s="36">
        <f t="shared" si="0"/>
        <v>36574.198603314348</v>
      </c>
    </row>
    <row r="79" spans="4:8" x14ac:dyDescent="0.25">
      <c r="D79">
        <v>1937</v>
      </c>
      <c r="E79" s="2">
        <v>2461</v>
      </c>
      <c r="G79">
        <v>2023</v>
      </c>
      <c r="H79" s="36">
        <f t="shared" si="0"/>
        <v>36790.790206693579</v>
      </c>
    </row>
    <row r="80" spans="4:8" x14ac:dyDescent="0.25">
      <c r="D80">
        <v>1936</v>
      </c>
      <c r="E80" s="2">
        <v>2319</v>
      </c>
      <c r="G80">
        <v>2024</v>
      </c>
      <c r="H80" s="36">
        <f t="shared" si="0"/>
        <v>37007.274771964177</v>
      </c>
    </row>
    <row r="81" spans="4:8" x14ac:dyDescent="0.25">
      <c r="D81">
        <v>1935</v>
      </c>
      <c r="E81" s="2">
        <v>2438</v>
      </c>
      <c r="G81">
        <v>2025</v>
      </c>
      <c r="H81" s="36">
        <f t="shared" si="0"/>
        <v>37223.652404869441</v>
      </c>
    </row>
    <row r="82" spans="4:8" x14ac:dyDescent="0.25">
      <c r="D82">
        <v>1934</v>
      </c>
      <c r="E82" s="2">
        <v>2176</v>
      </c>
      <c r="G82">
        <v>2026</v>
      </c>
      <c r="H82" s="36">
        <f t="shared" si="0"/>
        <v>37439.923210995272</v>
      </c>
    </row>
    <row r="83" spans="4:8" x14ac:dyDescent="0.25">
      <c r="D83">
        <v>1933</v>
      </c>
      <c r="E83" s="2">
        <v>2006</v>
      </c>
      <c r="G83">
        <v>2027</v>
      </c>
      <c r="H83" s="36">
        <f t="shared" si="0"/>
        <v>37656.087295771111</v>
      </c>
    </row>
    <row r="84" spans="4:8" x14ac:dyDescent="0.25">
      <c r="D84">
        <v>1932</v>
      </c>
      <c r="E84" s="2">
        <v>1710</v>
      </c>
      <c r="G84">
        <v>2028</v>
      </c>
      <c r="H84" s="36">
        <f t="shared" si="0"/>
        <v>37872.144764471799</v>
      </c>
    </row>
    <row r="85" spans="4:8" x14ac:dyDescent="0.25">
      <c r="D85">
        <v>1931</v>
      </c>
      <c r="E85" s="2">
        <v>1519</v>
      </c>
      <c r="G85">
        <v>2029</v>
      </c>
      <c r="H85" s="36">
        <f>438056.50891*LN(G85)-3297842.90933</f>
        <v>38088.095722214784</v>
      </c>
    </row>
    <row r="86" spans="4:8" x14ac:dyDescent="0.25">
      <c r="D86">
        <v>1930</v>
      </c>
      <c r="E86" s="2">
        <v>1448</v>
      </c>
      <c r="G86">
        <v>2030</v>
      </c>
      <c r="H86" s="36">
        <f t="shared" si="0"/>
        <v>38303.940273962915</v>
      </c>
    </row>
    <row r="87" spans="4:8" x14ac:dyDescent="0.25">
      <c r="D87">
        <v>1929</v>
      </c>
      <c r="E87" s="2">
        <v>1494</v>
      </c>
      <c r="G87">
        <v>2031</v>
      </c>
      <c r="H87" s="36">
        <f t="shared" si="0"/>
        <v>38519.678524523973</v>
      </c>
    </row>
    <row r="88" spans="4:8" x14ac:dyDescent="0.25">
      <c r="D88">
        <v>1928</v>
      </c>
      <c r="E88" s="2">
        <v>1457</v>
      </c>
      <c r="G88">
        <v>2032</v>
      </c>
      <c r="H88" s="36">
        <f t="shared" si="0"/>
        <v>38735.310578550678</v>
      </c>
    </row>
    <row r="89" spans="4:8" x14ac:dyDescent="0.25">
      <c r="D89">
        <v>1927</v>
      </c>
      <c r="E89" s="2">
        <v>1397</v>
      </c>
      <c r="G89">
        <v>2033</v>
      </c>
      <c r="H89" s="36">
        <f t="shared" si="0"/>
        <v>38950.836540541612</v>
      </c>
    </row>
    <row r="90" spans="4:8" x14ac:dyDescent="0.25">
      <c r="D90">
        <v>1926</v>
      </c>
      <c r="E90" s="2">
        <v>1417</v>
      </c>
      <c r="G90">
        <v>2034</v>
      </c>
      <c r="H90" s="36">
        <f t="shared" si="0"/>
        <v>39166.256514841225</v>
      </c>
    </row>
    <row r="91" spans="4:8" x14ac:dyDescent="0.25">
      <c r="D91">
        <v>1925</v>
      </c>
      <c r="E91" s="2">
        <v>1350</v>
      </c>
      <c r="G91">
        <v>2035</v>
      </c>
      <c r="H91" s="36">
        <f t="shared" si="0"/>
        <v>39381.570605639368</v>
      </c>
    </row>
    <row r="92" spans="4:8" x14ac:dyDescent="0.25">
      <c r="D92">
        <v>1924</v>
      </c>
      <c r="E92" s="2">
        <v>1204</v>
      </c>
      <c r="G92">
        <v>2036</v>
      </c>
      <c r="H92" s="36">
        <f t="shared" si="0"/>
        <v>39596.778916973621</v>
      </c>
    </row>
    <row r="93" spans="4:8" x14ac:dyDescent="0.25">
      <c r="D93">
        <v>1923</v>
      </c>
      <c r="E93" s="2">
        <v>1009</v>
      </c>
      <c r="G93">
        <v>2037</v>
      </c>
      <c r="H93" s="36">
        <f t="shared" si="0"/>
        <v>39811.881552726962</v>
      </c>
    </row>
    <row r="94" spans="4:8" x14ac:dyDescent="0.25">
      <c r="D94">
        <v>1922</v>
      </c>
      <c r="E94" s="2">
        <v>864</v>
      </c>
      <c r="G94">
        <v>2038</v>
      </c>
      <c r="H94" s="36">
        <f t="shared" si="0"/>
        <v>40026.878616630565</v>
      </c>
    </row>
    <row r="95" spans="4:8" x14ac:dyDescent="0.25">
      <c r="D95">
        <v>1921</v>
      </c>
      <c r="E95" s="2">
        <v>663</v>
      </c>
      <c r="G95">
        <v>2039</v>
      </c>
      <c r="H95" s="36">
        <f t="shared" si="0"/>
        <v>40241.770212261938</v>
      </c>
    </row>
    <row r="96" spans="4:8" x14ac:dyDescent="0.25">
      <c r="D96">
        <v>1920</v>
      </c>
      <c r="E96" s="2">
        <v>438</v>
      </c>
      <c r="G96">
        <v>2040</v>
      </c>
      <c r="H96" s="36">
        <f t="shared" si="0"/>
        <v>40456.556443047244</v>
      </c>
    </row>
    <row r="97" spans="4:5" x14ac:dyDescent="0.25">
      <c r="D97">
        <v>1919</v>
      </c>
      <c r="E97" s="2">
        <v>324</v>
      </c>
    </row>
    <row r="98" spans="4:5" x14ac:dyDescent="0.25">
      <c r="D98">
        <v>1918</v>
      </c>
      <c r="E98" s="2">
        <v>350</v>
      </c>
    </row>
    <row r="99" spans="4:5" x14ac:dyDescent="0.25">
      <c r="D99">
        <v>1917</v>
      </c>
      <c r="E99" s="2">
        <v>264</v>
      </c>
    </row>
    <row r="100" spans="4:5" x14ac:dyDescent="0.25">
      <c r="D100">
        <v>1916</v>
      </c>
      <c r="E100" s="2">
        <v>353</v>
      </c>
    </row>
    <row r="101" spans="4:5" x14ac:dyDescent="0.25">
      <c r="D101">
        <v>1915</v>
      </c>
      <c r="E101" s="2">
        <v>324</v>
      </c>
    </row>
    <row r="102" spans="4:5" x14ac:dyDescent="0.25">
      <c r="D102">
        <v>1914</v>
      </c>
      <c r="E102" s="2">
        <v>315</v>
      </c>
    </row>
    <row r="103" spans="4:5" x14ac:dyDescent="0.25">
      <c r="D103">
        <v>1913</v>
      </c>
      <c r="E103" s="2">
        <v>241</v>
      </c>
    </row>
    <row r="104" spans="4:5" x14ac:dyDescent="0.25">
      <c r="D104">
        <v>1912</v>
      </c>
      <c r="E104" s="2">
        <v>197</v>
      </c>
    </row>
    <row r="105" spans="4:5" x14ac:dyDescent="0.25">
      <c r="D105">
        <v>1911</v>
      </c>
      <c r="E105" s="2">
        <v>127</v>
      </c>
    </row>
    <row r="106" spans="4:5" x14ac:dyDescent="0.25">
      <c r="D106">
        <v>1910</v>
      </c>
      <c r="E106" s="2">
        <v>111</v>
      </c>
    </row>
    <row r="107" spans="4:5" x14ac:dyDescent="0.25">
      <c r="D107">
        <v>1909</v>
      </c>
      <c r="E107" s="2">
        <v>95</v>
      </c>
    </row>
    <row r="108" spans="4:5" x14ac:dyDescent="0.25">
      <c r="D108">
        <v>1908</v>
      </c>
      <c r="E108" s="2">
        <v>111</v>
      </c>
    </row>
    <row r="109" spans="4:5" x14ac:dyDescent="0.25">
      <c r="D109">
        <v>1907</v>
      </c>
      <c r="E109" s="2">
        <v>72</v>
      </c>
    </row>
    <row r="110" spans="4:5" x14ac:dyDescent="0.25">
      <c r="D110">
        <v>1906</v>
      </c>
      <c r="E110" s="2">
        <v>105</v>
      </c>
    </row>
    <row r="111" spans="4:5" x14ac:dyDescent="0.25">
      <c r="D111">
        <v>1905</v>
      </c>
      <c r="E111" s="2">
        <v>90</v>
      </c>
    </row>
    <row r="112" spans="4:5" x14ac:dyDescent="0.25">
      <c r="D112">
        <v>1904</v>
      </c>
      <c r="E112" s="2">
        <v>58</v>
      </c>
    </row>
    <row r="113" spans="4:5" x14ac:dyDescent="0.25">
      <c r="D113" t="s">
        <v>143</v>
      </c>
      <c r="E113" s="2">
        <v>64</v>
      </c>
    </row>
    <row r="114" spans="4:5" x14ac:dyDescent="0.25">
      <c r="D114">
        <v>1902</v>
      </c>
      <c r="E114" s="2">
        <v>37</v>
      </c>
    </row>
    <row r="115" spans="4:5" x14ac:dyDescent="0.25">
      <c r="D115">
        <v>1901</v>
      </c>
      <c r="E115" s="2">
        <v>49</v>
      </c>
    </row>
    <row r="116" spans="4:5" x14ac:dyDescent="0.25">
      <c r="D116">
        <v>1900</v>
      </c>
      <c r="E116" s="2">
        <v>40</v>
      </c>
    </row>
    <row r="117" spans="4:5" x14ac:dyDescent="0.25">
      <c r="D117">
        <v>1899</v>
      </c>
      <c r="E117" s="2">
        <v>61</v>
      </c>
    </row>
    <row r="118" spans="4:5" x14ac:dyDescent="0.25">
      <c r="D118">
        <v>1898</v>
      </c>
      <c r="E118" s="2">
        <v>46</v>
      </c>
    </row>
    <row r="119" spans="4:5" x14ac:dyDescent="0.25">
      <c r="D119" t="s">
        <v>144</v>
      </c>
      <c r="E119" s="2">
        <v>35</v>
      </c>
    </row>
    <row r="120" spans="4:5" x14ac:dyDescent="0.25">
      <c r="D120">
        <v>1896</v>
      </c>
      <c r="E120" s="2">
        <v>961</v>
      </c>
    </row>
    <row r="121" spans="4:5" x14ac:dyDescent="0.25">
      <c r="D121">
        <v>1895</v>
      </c>
      <c r="E121" s="2">
        <v>885</v>
      </c>
    </row>
    <row r="122" spans="4:5" x14ac:dyDescent="0.25">
      <c r="D122">
        <v>1894</v>
      </c>
      <c r="E122" s="2">
        <v>865</v>
      </c>
    </row>
    <row r="123" spans="4:5" x14ac:dyDescent="0.25">
      <c r="D123">
        <v>1893</v>
      </c>
      <c r="E123" s="2">
        <v>600</v>
      </c>
    </row>
    <row r="124" spans="4:5" x14ac:dyDescent="0.25">
      <c r="D124">
        <v>1892</v>
      </c>
      <c r="E124" s="2">
        <v>762</v>
      </c>
    </row>
    <row r="125" spans="4:5" x14ac:dyDescent="0.25">
      <c r="D125">
        <v>1891</v>
      </c>
      <c r="E125" s="2">
        <v>689</v>
      </c>
    </row>
    <row r="126" spans="4:5" x14ac:dyDescent="0.25">
      <c r="D126">
        <v>1890</v>
      </c>
      <c r="E126" s="2">
        <v>440</v>
      </c>
    </row>
    <row r="127" spans="4:5" x14ac:dyDescent="0.25">
      <c r="D127">
        <v>1889</v>
      </c>
      <c r="E127" s="2">
        <v>484</v>
      </c>
    </row>
    <row r="128" spans="4:5" x14ac:dyDescent="0.25">
      <c r="D128">
        <v>1888</v>
      </c>
      <c r="E128" s="2">
        <v>446</v>
      </c>
    </row>
    <row r="129" spans="4:5" x14ac:dyDescent="0.25">
      <c r="D129">
        <v>1887</v>
      </c>
      <c r="E129" s="2">
        <v>281</v>
      </c>
    </row>
    <row r="130" spans="4:5" x14ac:dyDescent="0.25">
      <c r="D130">
        <v>1886</v>
      </c>
      <c r="E130" s="2">
        <v>336</v>
      </c>
    </row>
    <row r="131" spans="4:5" x14ac:dyDescent="0.25">
      <c r="D131">
        <v>1885</v>
      </c>
      <c r="E131" s="2">
        <v>325</v>
      </c>
    </row>
    <row r="132" spans="4:5" x14ac:dyDescent="0.25">
      <c r="D132">
        <v>1884</v>
      </c>
      <c r="E132" s="2">
        <v>311</v>
      </c>
    </row>
    <row r="133" spans="4:5" x14ac:dyDescent="0.25">
      <c r="D133">
        <v>1883</v>
      </c>
      <c r="E133" s="2">
        <v>400</v>
      </c>
    </row>
    <row r="134" spans="4:5" x14ac:dyDescent="0.25">
      <c r="D134">
        <v>1882</v>
      </c>
      <c r="E134" s="2">
        <v>488</v>
      </c>
    </row>
    <row r="135" spans="4:5" x14ac:dyDescent="0.25">
      <c r="D135">
        <v>1881</v>
      </c>
      <c r="E135" s="2">
        <v>461</v>
      </c>
    </row>
    <row r="136" spans="4:5" x14ac:dyDescent="0.25">
      <c r="D136">
        <v>1880</v>
      </c>
      <c r="E136" s="2">
        <v>371</v>
      </c>
    </row>
    <row r="137" spans="4:5" x14ac:dyDescent="0.25">
      <c r="D137">
        <v>1879</v>
      </c>
      <c r="E137" s="2">
        <v>431</v>
      </c>
    </row>
    <row r="138" spans="4:5" x14ac:dyDescent="0.25">
      <c r="D138">
        <v>1878</v>
      </c>
      <c r="E138" s="2">
        <v>372</v>
      </c>
    </row>
    <row r="139" spans="4:5" x14ac:dyDescent="0.25">
      <c r="D139">
        <v>1877</v>
      </c>
      <c r="E139" s="2">
        <v>336</v>
      </c>
    </row>
    <row r="140" spans="4:5" x14ac:dyDescent="0.25">
      <c r="D140">
        <v>1876</v>
      </c>
      <c r="E140" s="2">
        <v>272</v>
      </c>
    </row>
    <row r="141" spans="4:5" x14ac:dyDescent="0.25">
      <c r="D141" t="s">
        <v>145</v>
      </c>
      <c r="E141" s="2">
        <v>29</v>
      </c>
    </row>
  </sheetData>
  <sortState ref="G4:H70">
    <sortCondition ref="G4:G70"/>
  </sortState>
  <mergeCells count="4">
    <mergeCell ref="D2:E2"/>
    <mergeCell ref="D1:E1"/>
    <mergeCell ref="A1:C1"/>
    <mergeCell ref="A2:C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C41"/>
  <sheetViews>
    <sheetView topLeftCell="A9" workbookViewId="0">
      <selection activeCell="K28" sqref="K28"/>
    </sheetView>
  </sheetViews>
  <sheetFormatPr defaultRowHeight="15" x14ac:dyDescent="0.25"/>
  <cols>
    <col min="1" max="1" width="15" bestFit="1" customWidth="1"/>
    <col min="2" max="2" width="7" style="2" bestFit="1" customWidth="1"/>
    <col min="3" max="3" width="39" bestFit="1" customWidth="1"/>
  </cols>
  <sheetData>
    <row r="1" spans="1:3" x14ac:dyDescent="0.25">
      <c r="A1" t="s">
        <v>146</v>
      </c>
      <c r="B1" s="2">
        <v>4500</v>
      </c>
      <c r="C1" s="37" t="s">
        <v>147</v>
      </c>
    </row>
    <row r="2" spans="1:3" x14ac:dyDescent="0.25">
      <c r="A2" t="s">
        <v>150</v>
      </c>
      <c r="B2" s="2">
        <v>1275</v>
      </c>
      <c r="C2" t="s">
        <v>149</v>
      </c>
    </row>
    <row r="3" spans="1:3" x14ac:dyDescent="0.25">
      <c r="A3">
        <v>2012</v>
      </c>
      <c r="B3" s="2">
        <v>2200</v>
      </c>
      <c r="C3" t="s">
        <v>151</v>
      </c>
    </row>
    <row r="4" spans="1:3" x14ac:dyDescent="0.25">
      <c r="A4">
        <v>2013</v>
      </c>
      <c r="B4" s="2">
        <f>B3+C$11</f>
        <v>2307.8947368421054</v>
      </c>
    </row>
    <row r="5" spans="1:3" x14ac:dyDescent="0.25">
      <c r="A5">
        <v>2014</v>
      </c>
      <c r="B5" s="2">
        <f t="shared" ref="B5:B40" si="0">B4+C$11</f>
        <v>2415.7894736842109</v>
      </c>
    </row>
    <row r="6" spans="1:3" x14ac:dyDescent="0.25">
      <c r="A6">
        <v>2015</v>
      </c>
      <c r="B6" s="2">
        <f t="shared" si="0"/>
        <v>2523.6842105263163</v>
      </c>
    </row>
    <row r="7" spans="1:3" x14ac:dyDescent="0.25">
      <c r="A7">
        <v>2016</v>
      </c>
      <c r="B7" s="2">
        <f t="shared" si="0"/>
        <v>2631.5789473684217</v>
      </c>
    </row>
    <row r="8" spans="1:3" x14ac:dyDescent="0.25">
      <c r="A8">
        <v>2017</v>
      </c>
      <c r="B8" s="2">
        <f t="shared" si="0"/>
        <v>2739.4736842105272</v>
      </c>
    </row>
    <row r="9" spans="1:3" x14ac:dyDescent="0.25">
      <c r="A9">
        <v>2018</v>
      </c>
      <c r="B9" s="2">
        <f t="shared" si="0"/>
        <v>2847.3684210526326</v>
      </c>
    </row>
    <row r="10" spans="1:3" x14ac:dyDescent="0.25">
      <c r="A10">
        <v>2019</v>
      </c>
      <c r="B10" s="2">
        <f t="shared" si="0"/>
        <v>2955.263157894738</v>
      </c>
    </row>
    <row r="11" spans="1:3" x14ac:dyDescent="0.25">
      <c r="A11">
        <v>2020</v>
      </c>
      <c r="B11" s="2">
        <f t="shared" si="0"/>
        <v>3063.1578947368434</v>
      </c>
      <c r="C11">
        <f>(B41-B3)/(A41-A3)</f>
        <v>107.89473684210526</v>
      </c>
    </row>
    <row r="12" spans="1:3" x14ac:dyDescent="0.25">
      <c r="A12">
        <v>2021</v>
      </c>
      <c r="B12" s="2">
        <f t="shared" si="0"/>
        <v>3171.0526315789489</v>
      </c>
    </row>
    <row r="13" spans="1:3" x14ac:dyDescent="0.25">
      <c r="A13">
        <v>2022</v>
      </c>
      <c r="B13" s="2">
        <f t="shared" si="0"/>
        <v>3278.9473684210543</v>
      </c>
    </row>
    <row r="14" spans="1:3" x14ac:dyDescent="0.25">
      <c r="A14">
        <v>2023</v>
      </c>
      <c r="B14" s="2">
        <f t="shared" si="0"/>
        <v>3386.8421052631597</v>
      </c>
    </row>
    <row r="15" spans="1:3" x14ac:dyDescent="0.25">
      <c r="A15">
        <v>2024</v>
      </c>
      <c r="B15" s="2">
        <f t="shared" si="0"/>
        <v>3494.7368421052652</v>
      </c>
    </row>
    <row r="16" spans="1:3" x14ac:dyDescent="0.25">
      <c r="A16">
        <v>2025</v>
      </c>
      <c r="B16" s="2">
        <f t="shared" si="0"/>
        <v>3602.6315789473706</v>
      </c>
    </row>
    <row r="17" spans="1:3" x14ac:dyDescent="0.25">
      <c r="A17">
        <v>2026</v>
      </c>
      <c r="B17" s="2">
        <f t="shared" si="0"/>
        <v>3710.526315789476</v>
      </c>
    </row>
    <row r="18" spans="1:3" x14ac:dyDescent="0.25">
      <c r="A18">
        <v>2027</v>
      </c>
      <c r="B18" s="2">
        <f t="shared" si="0"/>
        <v>3818.4210526315815</v>
      </c>
    </row>
    <row r="19" spans="1:3" x14ac:dyDescent="0.25">
      <c r="A19">
        <v>2028</v>
      </c>
      <c r="B19" s="2">
        <f t="shared" si="0"/>
        <v>3926.3157894736869</v>
      </c>
    </row>
    <row r="20" spans="1:3" x14ac:dyDescent="0.25">
      <c r="A20">
        <v>2029</v>
      </c>
      <c r="B20" s="2">
        <f t="shared" si="0"/>
        <v>4034.2105263157923</v>
      </c>
      <c r="C20" s="7"/>
    </row>
    <row r="21" spans="1:3" x14ac:dyDescent="0.25">
      <c r="A21">
        <v>2030</v>
      </c>
      <c r="B21" s="2">
        <f t="shared" si="0"/>
        <v>4142.1052631578978</v>
      </c>
      <c r="C21" s="7"/>
    </row>
    <row r="22" spans="1:3" x14ac:dyDescent="0.25">
      <c r="A22">
        <v>2031</v>
      </c>
      <c r="B22" s="2">
        <f t="shared" si="0"/>
        <v>4250.0000000000027</v>
      </c>
      <c r="C22" s="7"/>
    </row>
    <row r="23" spans="1:3" x14ac:dyDescent="0.25">
      <c r="A23">
        <v>2032</v>
      </c>
      <c r="B23" s="2">
        <f t="shared" si="0"/>
        <v>4357.8947368421077</v>
      </c>
      <c r="C23" s="7"/>
    </row>
    <row r="24" spans="1:3" x14ac:dyDescent="0.25">
      <c r="A24">
        <v>2033</v>
      </c>
      <c r="B24" s="2">
        <f t="shared" si="0"/>
        <v>4465.7894736842127</v>
      </c>
      <c r="C24" s="7"/>
    </row>
    <row r="25" spans="1:3" x14ac:dyDescent="0.25">
      <c r="A25">
        <v>2034</v>
      </c>
      <c r="B25" s="2">
        <f t="shared" si="0"/>
        <v>4573.6842105263177</v>
      </c>
      <c r="C25" s="7"/>
    </row>
    <row r="26" spans="1:3" x14ac:dyDescent="0.25">
      <c r="A26">
        <v>2035</v>
      </c>
      <c r="B26" s="2">
        <f t="shared" si="0"/>
        <v>4681.5789473684226</v>
      </c>
      <c r="C26" s="7"/>
    </row>
    <row r="27" spans="1:3" x14ac:dyDescent="0.25">
      <c r="A27">
        <v>2036</v>
      </c>
      <c r="B27" s="2">
        <f t="shared" si="0"/>
        <v>4789.4736842105276</v>
      </c>
      <c r="C27" s="7"/>
    </row>
    <row r="28" spans="1:3" x14ac:dyDescent="0.25">
      <c r="A28">
        <v>2037</v>
      </c>
      <c r="B28" s="2">
        <f t="shared" si="0"/>
        <v>4897.3684210526326</v>
      </c>
      <c r="C28" s="7"/>
    </row>
    <row r="29" spans="1:3" x14ac:dyDescent="0.25">
      <c r="A29">
        <v>2038</v>
      </c>
      <c r="B29" s="2">
        <f t="shared" si="0"/>
        <v>5005.2631578947376</v>
      </c>
      <c r="C29" s="7"/>
    </row>
    <row r="30" spans="1:3" x14ac:dyDescent="0.25">
      <c r="A30">
        <v>2039</v>
      </c>
      <c r="B30" s="2">
        <f t="shared" si="0"/>
        <v>5113.1578947368425</v>
      </c>
      <c r="C30" s="7"/>
    </row>
    <row r="31" spans="1:3" x14ac:dyDescent="0.25">
      <c r="A31">
        <v>2040</v>
      </c>
      <c r="B31" s="2">
        <f t="shared" si="0"/>
        <v>5221.0526315789475</v>
      </c>
      <c r="C31" s="7"/>
    </row>
    <row r="32" spans="1:3" x14ac:dyDescent="0.25">
      <c r="A32">
        <v>2041</v>
      </c>
      <c r="B32" s="2">
        <f t="shared" si="0"/>
        <v>5328.9473684210525</v>
      </c>
    </row>
    <row r="33" spans="1:2" x14ac:dyDescent="0.25">
      <c r="A33">
        <v>2042</v>
      </c>
      <c r="B33" s="2">
        <f t="shared" si="0"/>
        <v>5436.8421052631575</v>
      </c>
    </row>
    <row r="34" spans="1:2" x14ac:dyDescent="0.25">
      <c r="A34">
        <v>2043</v>
      </c>
      <c r="B34" s="2">
        <f t="shared" si="0"/>
        <v>5544.7368421052624</v>
      </c>
    </row>
    <row r="35" spans="1:2" x14ac:dyDescent="0.25">
      <c r="A35">
        <v>2044</v>
      </c>
      <c r="B35" s="2">
        <f t="shared" si="0"/>
        <v>5652.6315789473674</v>
      </c>
    </row>
    <row r="36" spans="1:2" x14ac:dyDescent="0.25">
      <c r="A36">
        <v>2045</v>
      </c>
      <c r="B36" s="2">
        <f t="shared" si="0"/>
        <v>5760.5263157894724</v>
      </c>
    </row>
    <row r="37" spans="1:2" x14ac:dyDescent="0.25">
      <c r="A37">
        <v>2046</v>
      </c>
      <c r="B37" s="2">
        <f t="shared" si="0"/>
        <v>5868.4210526315774</v>
      </c>
    </row>
    <row r="38" spans="1:2" x14ac:dyDescent="0.25">
      <c r="A38">
        <v>2047</v>
      </c>
      <c r="B38" s="2">
        <f t="shared" si="0"/>
        <v>5976.3157894736823</v>
      </c>
    </row>
    <row r="39" spans="1:2" x14ac:dyDescent="0.25">
      <c r="A39">
        <v>2048</v>
      </c>
      <c r="B39" s="2">
        <f t="shared" si="0"/>
        <v>6084.2105263157873</v>
      </c>
    </row>
    <row r="40" spans="1:2" x14ac:dyDescent="0.25">
      <c r="A40">
        <v>2049</v>
      </c>
      <c r="B40" s="2">
        <f t="shared" si="0"/>
        <v>6192.1052631578923</v>
      </c>
    </row>
    <row r="41" spans="1:2" x14ac:dyDescent="0.25">
      <c r="A41">
        <v>2050</v>
      </c>
      <c r="B41" s="2">
        <f>summary!G8</f>
        <v>6300</v>
      </c>
    </row>
  </sheetData>
  <hyperlinks>
    <hyperlink ref="C1" r:id="rId1" display="mailto:[mailto:cnelson@ldsbc.edu]" xr:uid="{00000000-0004-0000-0800-000000000000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N64"/>
  <sheetViews>
    <sheetView topLeftCell="A40" workbookViewId="0">
      <selection activeCell="E57" sqref="E57"/>
    </sheetView>
  </sheetViews>
  <sheetFormatPr defaultRowHeight="15" x14ac:dyDescent="0.25"/>
  <cols>
    <col min="2" max="2" width="9.5703125" style="2" bestFit="1" customWidth="1"/>
    <col min="5" max="5" width="15" bestFit="1" customWidth="1"/>
    <col min="6" max="6" width="57.140625" bestFit="1" customWidth="1"/>
  </cols>
  <sheetData>
    <row r="1" spans="1:14" x14ac:dyDescent="0.25">
      <c r="A1" t="s">
        <v>13</v>
      </c>
      <c r="B1" s="2" t="s">
        <v>14</v>
      </c>
    </row>
    <row r="2" spans="1:14" x14ac:dyDescent="0.25">
      <c r="A2">
        <v>1988</v>
      </c>
    </row>
    <row r="3" spans="1:14" x14ac:dyDescent="0.25">
      <c r="A3">
        <v>1989</v>
      </c>
    </row>
    <row r="4" spans="1:14" x14ac:dyDescent="0.25">
      <c r="A4">
        <v>1990</v>
      </c>
    </row>
    <row r="5" spans="1:14" x14ac:dyDescent="0.25">
      <c r="A5">
        <v>1991</v>
      </c>
    </row>
    <row r="6" spans="1:14" x14ac:dyDescent="0.25">
      <c r="A6">
        <v>1992</v>
      </c>
    </row>
    <row r="7" spans="1:14" x14ac:dyDescent="0.25">
      <c r="A7">
        <v>1993</v>
      </c>
    </row>
    <row r="8" spans="1:14" x14ac:dyDescent="0.25">
      <c r="A8">
        <v>1994</v>
      </c>
      <c r="B8" s="2">
        <v>2113</v>
      </c>
      <c r="N8" t="s">
        <v>69</v>
      </c>
    </row>
    <row r="9" spans="1:14" x14ac:dyDescent="0.25">
      <c r="A9">
        <v>1995</v>
      </c>
      <c r="B9" s="2">
        <v>2009</v>
      </c>
    </row>
    <row r="10" spans="1:14" x14ac:dyDescent="0.25">
      <c r="A10">
        <v>1996</v>
      </c>
      <c r="B10" s="2">
        <v>1922</v>
      </c>
    </row>
    <row r="11" spans="1:14" x14ac:dyDescent="0.25">
      <c r="A11">
        <v>1997</v>
      </c>
      <c r="B11" s="2">
        <v>2140</v>
      </c>
    </row>
    <row r="12" spans="1:14" x14ac:dyDescent="0.25">
      <c r="A12">
        <v>1998</v>
      </c>
      <c r="B12" s="2">
        <v>2250</v>
      </c>
    </row>
    <row r="13" spans="1:14" x14ac:dyDescent="0.25">
      <c r="A13">
        <v>1999</v>
      </c>
      <c r="B13" s="2">
        <v>2298</v>
      </c>
    </row>
    <row r="14" spans="1:14" x14ac:dyDescent="0.25">
      <c r="A14">
        <v>2000</v>
      </c>
      <c r="B14" s="2">
        <v>2430</v>
      </c>
    </row>
    <row r="15" spans="1:14" x14ac:dyDescent="0.25">
      <c r="A15">
        <v>2001</v>
      </c>
      <c r="B15" s="2">
        <v>2500</v>
      </c>
    </row>
    <row r="16" spans="1:14" x14ac:dyDescent="0.25">
      <c r="A16">
        <v>2002</v>
      </c>
      <c r="B16" s="2">
        <v>2380</v>
      </c>
    </row>
    <row r="17" spans="1:6" x14ac:dyDescent="0.25">
      <c r="A17">
        <v>2003</v>
      </c>
      <c r="B17" s="2">
        <v>2512</v>
      </c>
    </row>
    <row r="18" spans="1:6" x14ac:dyDescent="0.25">
      <c r="A18">
        <v>2004</v>
      </c>
      <c r="B18" s="2">
        <v>2482</v>
      </c>
    </row>
    <row r="19" spans="1:6" x14ac:dyDescent="0.25">
      <c r="A19">
        <v>2005</v>
      </c>
      <c r="B19" s="2">
        <v>2447</v>
      </c>
    </row>
    <row r="20" spans="1:6" x14ac:dyDescent="0.25">
      <c r="A20">
        <v>2006</v>
      </c>
      <c r="B20" s="2">
        <v>2465</v>
      </c>
    </row>
    <row r="21" spans="1:6" x14ac:dyDescent="0.25">
      <c r="A21">
        <v>2007</v>
      </c>
      <c r="B21" s="2">
        <v>2652</v>
      </c>
    </row>
    <row r="22" spans="1:6" x14ac:dyDescent="0.25">
      <c r="A22">
        <v>2008</v>
      </c>
      <c r="B22" s="2">
        <v>2857</v>
      </c>
    </row>
    <row r="23" spans="1:6" x14ac:dyDescent="0.25">
      <c r="A23">
        <v>2009</v>
      </c>
      <c r="B23" s="2">
        <f>(B22+B24)/2</f>
        <v>3028.5</v>
      </c>
    </row>
    <row r="24" spans="1:6" x14ac:dyDescent="0.25">
      <c r="A24">
        <v>2010</v>
      </c>
      <c r="B24" s="13">
        <v>3200</v>
      </c>
      <c r="C24" s="8" t="s">
        <v>67</v>
      </c>
    </row>
    <row r="25" spans="1:6" x14ac:dyDescent="0.25">
      <c r="A25">
        <v>2011</v>
      </c>
      <c r="B25" s="2">
        <f>B24+300/40</f>
        <v>3207.5</v>
      </c>
      <c r="C25" t="s">
        <v>68</v>
      </c>
    </row>
    <row r="26" spans="1:6" x14ac:dyDescent="0.25">
      <c r="A26">
        <v>2012</v>
      </c>
      <c r="B26" s="2">
        <f t="shared" ref="B26:B64" si="0">B25+300/40</f>
        <v>3215</v>
      </c>
    </row>
    <row r="27" spans="1:6" x14ac:dyDescent="0.25">
      <c r="A27">
        <v>2013</v>
      </c>
      <c r="B27" s="2">
        <f t="shared" si="0"/>
        <v>3222.5</v>
      </c>
    </row>
    <row r="28" spans="1:6" x14ac:dyDescent="0.25">
      <c r="A28">
        <v>2014</v>
      </c>
      <c r="B28" s="2">
        <f t="shared" si="0"/>
        <v>3230</v>
      </c>
      <c r="E28" t="s">
        <v>146</v>
      </c>
      <c r="F28" t="s">
        <v>148</v>
      </c>
    </row>
    <row r="29" spans="1:6" x14ac:dyDescent="0.25">
      <c r="A29">
        <v>2015</v>
      </c>
      <c r="B29" s="2">
        <f t="shared" si="0"/>
        <v>3237.5</v>
      </c>
    </row>
    <row r="30" spans="1:6" x14ac:dyDescent="0.25">
      <c r="A30">
        <v>2016</v>
      </c>
      <c r="B30" s="2">
        <f t="shared" si="0"/>
        <v>3245</v>
      </c>
    </row>
    <row r="31" spans="1:6" x14ac:dyDescent="0.25">
      <c r="A31">
        <v>2017</v>
      </c>
      <c r="B31" s="2">
        <f t="shared" si="0"/>
        <v>3252.5</v>
      </c>
    </row>
    <row r="32" spans="1:6" x14ac:dyDescent="0.25">
      <c r="A32">
        <v>2018</v>
      </c>
      <c r="B32" s="2">
        <f t="shared" si="0"/>
        <v>3260</v>
      </c>
    </row>
    <row r="33" spans="1:2" x14ac:dyDescent="0.25">
      <c r="A33">
        <v>2019</v>
      </c>
      <c r="B33" s="2">
        <f t="shared" si="0"/>
        <v>3267.5</v>
      </c>
    </row>
    <row r="34" spans="1:2" x14ac:dyDescent="0.25">
      <c r="A34">
        <v>2020</v>
      </c>
      <c r="B34" s="2">
        <f t="shared" si="0"/>
        <v>3275</v>
      </c>
    </row>
    <row r="35" spans="1:2" x14ac:dyDescent="0.25">
      <c r="A35">
        <v>2021</v>
      </c>
      <c r="B35" s="2">
        <f t="shared" si="0"/>
        <v>3282.5</v>
      </c>
    </row>
    <row r="36" spans="1:2" x14ac:dyDescent="0.25">
      <c r="A36">
        <v>2022</v>
      </c>
      <c r="B36" s="2">
        <f t="shared" si="0"/>
        <v>3290</v>
      </c>
    </row>
    <row r="37" spans="1:2" x14ac:dyDescent="0.25">
      <c r="A37">
        <v>2023</v>
      </c>
      <c r="B37" s="2">
        <f t="shared" si="0"/>
        <v>3297.5</v>
      </c>
    </row>
    <row r="38" spans="1:2" x14ac:dyDescent="0.25">
      <c r="A38">
        <v>2024</v>
      </c>
      <c r="B38" s="2">
        <f t="shared" si="0"/>
        <v>3305</v>
      </c>
    </row>
    <row r="39" spans="1:2" x14ac:dyDescent="0.25">
      <c r="A39">
        <v>2025</v>
      </c>
      <c r="B39" s="2">
        <f t="shared" si="0"/>
        <v>3312.5</v>
      </c>
    </row>
    <row r="40" spans="1:2" x14ac:dyDescent="0.25">
      <c r="A40">
        <v>2026</v>
      </c>
      <c r="B40" s="2">
        <f t="shared" si="0"/>
        <v>3320</v>
      </c>
    </row>
    <row r="41" spans="1:2" x14ac:dyDescent="0.25">
      <c r="A41">
        <v>2027</v>
      </c>
      <c r="B41" s="2">
        <f t="shared" si="0"/>
        <v>3327.5</v>
      </c>
    </row>
    <row r="42" spans="1:2" x14ac:dyDescent="0.25">
      <c r="A42">
        <v>2028</v>
      </c>
      <c r="B42" s="2">
        <f t="shared" si="0"/>
        <v>3335</v>
      </c>
    </row>
    <row r="43" spans="1:2" x14ac:dyDescent="0.25">
      <c r="A43">
        <v>2029</v>
      </c>
      <c r="B43" s="2">
        <f t="shared" si="0"/>
        <v>3342.5</v>
      </c>
    </row>
    <row r="44" spans="1:2" x14ac:dyDescent="0.25">
      <c r="A44">
        <v>2030</v>
      </c>
      <c r="B44" s="2">
        <f t="shared" si="0"/>
        <v>3350</v>
      </c>
    </row>
    <row r="45" spans="1:2" x14ac:dyDescent="0.25">
      <c r="A45">
        <v>2031</v>
      </c>
      <c r="B45" s="2">
        <f t="shared" si="0"/>
        <v>3357.5</v>
      </c>
    </row>
    <row r="46" spans="1:2" x14ac:dyDescent="0.25">
      <c r="A46">
        <v>2032</v>
      </c>
      <c r="B46" s="2">
        <f t="shared" si="0"/>
        <v>3365</v>
      </c>
    </row>
    <row r="47" spans="1:2" x14ac:dyDescent="0.25">
      <c r="A47">
        <v>2033</v>
      </c>
      <c r="B47" s="2">
        <f t="shared" si="0"/>
        <v>3372.5</v>
      </c>
    </row>
    <row r="48" spans="1:2" x14ac:dyDescent="0.25">
      <c r="A48">
        <v>2034</v>
      </c>
      <c r="B48" s="2">
        <f t="shared" si="0"/>
        <v>3380</v>
      </c>
    </row>
    <row r="49" spans="1:2" x14ac:dyDescent="0.25">
      <c r="A49">
        <v>2035</v>
      </c>
      <c r="B49" s="2">
        <f t="shared" si="0"/>
        <v>3387.5</v>
      </c>
    </row>
    <row r="50" spans="1:2" x14ac:dyDescent="0.25">
      <c r="A50">
        <v>2036</v>
      </c>
      <c r="B50" s="2">
        <f t="shared" si="0"/>
        <v>3395</v>
      </c>
    </row>
    <row r="51" spans="1:2" x14ac:dyDescent="0.25">
      <c r="A51">
        <v>2037</v>
      </c>
      <c r="B51" s="2">
        <f t="shared" si="0"/>
        <v>3402.5</v>
      </c>
    </row>
    <row r="52" spans="1:2" x14ac:dyDescent="0.25">
      <c r="A52">
        <v>2038</v>
      </c>
      <c r="B52" s="2">
        <f t="shared" si="0"/>
        <v>3410</v>
      </c>
    </row>
    <row r="53" spans="1:2" x14ac:dyDescent="0.25">
      <c r="A53">
        <v>2039</v>
      </c>
      <c r="B53" s="2">
        <f t="shared" si="0"/>
        <v>3417.5</v>
      </c>
    </row>
    <row r="54" spans="1:2" x14ac:dyDescent="0.25">
      <c r="A54">
        <v>2040</v>
      </c>
      <c r="B54" s="2">
        <f t="shared" si="0"/>
        <v>3425</v>
      </c>
    </row>
    <row r="55" spans="1:2" x14ac:dyDescent="0.25">
      <c r="A55">
        <v>2041</v>
      </c>
      <c r="B55" s="2">
        <f t="shared" si="0"/>
        <v>3432.5</v>
      </c>
    </row>
    <row r="56" spans="1:2" x14ac:dyDescent="0.25">
      <c r="A56">
        <v>2042</v>
      </c>
      <c r="B56" s="2">
        <f t="shared" si="0"/>
        <v>3440</v>
      </c>
    </row>
    <row r="57" spans="1:2" x14ac:dyDescent="0.25">
      <c r="A57">
        <v>2043</v>
      </c>
      <c r="B57" s="2">
        <f t="shared" si="0"/>
        <v>3447.5</v>
      </c>
    </row>
    <row r="58" spans="1:2" x14ac:dyDescent="0.25">
      <c r="A58">
        <v>2044</v>
      </c>
      <c r="B58" s="2">
        <f t="shared" si="0"/>
        <v>3455</v>
      </c>
    </row>
    <row r="59" spans="1:2" x14ac:dyDescent="0.25">
      <c r="A59">
        <v>2045</v>
      </c>
      <c r="B59" s="2">
        <f t="shared" si="0"/>
        <v>3462.5</v>
      </c>
    </row>
    <row r="60" spans="1:2" x14ac:dyDescent="0.25">
      <c r="A60">
        <v>2046</v>
      </c>
      <c r="B60" s="2">
        <f t="shared" si="0"/>
        <v>3470</v>
      </c>
    </row>
    <row r="61" spans="1:2" x14ac:dyDescent="0.25">
      <c r="A61">
        <v>2047</v>
      </c>
      <c r="B61" s="2">
        <f t="shared" si="0"/>
        <v>3477.5</v>
      </c>
    </row>
    <row r="62" spans="1:2" x14ac:dyDescent="0.25">
      <c r="A62">
        <v>2048</v>
      </c>
      <c r="B62" s="2">
        <f t="shared" si="0"/>
        <v>3485</v>
      </c>
    </row>
    <row r="63" spans="1:2" x14ac:dyDescent="0.25">
      <c r="A63">
        <v>2049</v>
      </c>
      <c r="B63" s="2">
        <f t="shared" si="0"/>
        <v>3492.5</v>
      </c>
    </row>
    <row r="64" spans="1:2" x14ac:dyDescent="0.25">
      <c r="A64">
        <v>2050</v>
      </c>
      <c r="B64" s="2">
        <f t="shared" si="0"/>
        <v>3500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B7A3-9101-473E-87E2-739C24B87CDF}">
  <sheetPr>
    <tabColor rgb="FF002060"/>
  </sheetPr>
  <dimension ref="A1:AE69"/>
  <sheetViews>
    <sheetView topLeftCell="A31" workbookViewId="0">
      <selection activeCell="E54" sqref="E54:V54"/>
    </sheetView>
  </sheetViews>
  <sheetFormatPr defaultRowHeight="12.75" x14ac:dyDescent="0.2"/>
  <cols>
    <col min="1" max="3" width="9.140625" style="60"/>
    <col min="4" max="4" width="27.85546875" style="60" bestFit="1" customWidth="1"/>
    <col min="5" max="17" width="10.28515625" style="60" bestFit="1" customWidth="1"/>
    <col min="18" max="16384" width="9.140625" style="60"/>
  </cols>
  <sheetData>
    <row r="1" spans="1:31" ht="16.5" thickBot="1" x14ac:dyDescent="0.3">
      <c r="A1" s="66"/>
      <c r="B1" s="252" t="s">
        <v>304</v>
      </c>
      <c r="C1" s="252"/>
      <c r="D1" s="252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</row>
    <row r="2" spans="1:31" ht="16.5" thickBot="1" x14ac:dyDescent="0.3">
      <c r="A2" s="66"/>
      <c r="B2" s="99"/>
      <c r="C2" s="99"/>
      <c r="D2" s="99"/>
      <c r="E2" s="253" t="s">
        <v>303</v>
      </c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</row>
    <row r="3" spans="1:31" ht="16.5" thickBot="1" x14ac:dyDescent="0.3">
      <c r="A3" s="66"/>
      <c r="B3" s="66"/>
      <c r="C3" s="66"/>
      <c r="D3" s="66"/>
      <c r="E3" s="254" t="s">
        <v>302</v>
      </c>
      <c r="F3" s="255"/>
      <c r="G3" s="256"/>
      <c r="H3" s="257" t="s">
        <v>301</v>
      </c>
      <c r="I3" s="258"/>
      <c r="J3" s="259"/>
      <c r="K3" s="260" t="s">
        <v>300</v>
      </c>
      <c r="L3" s="261"/>
      <c r="M3" s="262"/>
      <c r="N3" s="249" t="s">
        <v>299</v>
      </c>
      <c r="O3" s="250"/>
      <c r="P3" s="251"/>
      <c r="Q3" s="263" t="s">
        <v>298</v>
      </c>
      <c r="R3" s="264"/>
      <c r="S3" s="265"/>
      <c r="T3" s="254" t="s">
        <v>297</v>
      </c>
      <c r="U3" s="255"/>
      <c r="V3" s="256"/>
      <c r="W3" s="257" t="s">
        <v>296</v>
      </c>
      <c r="X3" s="258"/>
      <c r="Y3" s="259"/>
      <c r="Z3" s="260" t="s">
        <v>295</v>
      </c>
      <c r="AA3" s="261"/>
      <c r="AB3" s="262"/>
      <c r="AC3" s="249" t="s">
        <v>294</v>
      </c>
      <c r="AD3" s="250"/>
      <c r="AE3" s="251"/>
    </row>
    <row r="4" spans="1:31" ht="16.5" thickBot="1" x14ac:dyDescent="0.3">
      <c r="A4" s="66"/>
      <c r="B4" s="66"/>
      <c r="C4" s="66"/>
      <c r="D4" s="66"/>
      <c r="E4" s="143" t="s">
        <v>293</v>
      </c>
      <c r="F4" s="142" t="s">
        <v>292</v>
      </c>
      <c r="G4" s="141" t="s">
        <v>274</v>
      </c>
      <c r="H4" s="140" t="s">
        <v>293</v>
      </c>
      <c r="I4" s="139" t="s">
        <v>292</v>
      </c>
      <c r="J4" s="138" t="s">
        <v>274</v>
      </c>
      <c r="K4" s="137" t="s">
        <v>293</v>
      </c>
      <c r="L4" s="136" t="s">
        <v>292</v>
      </c>
      <c r="M4" s="135" t="s">
        <v>274</v>
      </c>
      <c r="N4" s="134" t="s">
        <v>293</v>
      </c>
      <c r="O4" s="133" t="s">
        <v>292</v>
      </c>
      <c r="P4" s="132" t="s">
        <v>274</v>
      </c>
      <c r="Q4" s="146" t="s">
        <v>293</v>
      </c>
      <c r="R4" s="145" t="s">
        <v>292</v>
      </c>
      <c r="S4" s="144" t="s">
        <v>274</v>
      </c>
      <c r="T4" s="143" t="s">
        <v>293</v>
      </c>
      <c r="U4" s="142" t="s">
        <v>292</v>
      </c>
      <c r="V4" s="141" t="s">
        <v>274</v>
      </c>
      <c r="W4" s="140" t="s">
        <v>293</v>
      </c>
      <c r="X4" s="139" t="s">
        <v>292</v>
      </c>
      <c r="Y4" s="138" t="s">
        <v>274</v>
      </c>
      <c r="Z4" s="137" t="s">
        <v>293</v>
      </c>
      <c r="AA4" s="136" t="s">
        <v>292</v>
      </c>
      <c r="AB4" s="135" t="s">
        <v>274</v>
      </c>
      <c r="AC4" s="134" t="s">
        <v>293</v>
      </c>
      <c r="AD4" s="133" t="s">
        <v>292</v>
      </c>
      <c r="AE4" s="132" t="s">
        <v>274</v>
      </c>
    </row>
    <row r="5" spans="1:31" ht="15.75" x14ac:dyDescent="0.25">
      <c r="A5" s="66"/>
      <c r="B5" s="65"/>
      <c r="C5" s="131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</row>
    <row r="6" spans="1:31" ht="15.75" x14ac:dyDescent="0.25">
      <c r="A6" s="66"/>
      <c r="B6" s="65" t="s">
        <v>85</v>
      </c>
      <c r="C6" s="131"/>
      <c r="D6" s="66"/>
      <c r="E6" s="127"/>
      <c r="F6" s="126"/>
      <c r="G6" s="125"/>
      <c r="H6" s="124"/>
      <c r="I6" s="123"/>
      <c r="J6" s="122"/>
      <c r="K6" s="121"/>
      <c r="L6" s="120"/>
      <c r="M6" s="119"/>
      <c r="N6" s="118"/>
      <c r="O6" s="117"/>
      <c r="P6" s="116"/>
      <c r="Q6" s="130"/>
      <c r="R6" s="129"/>
      <c r="S6" s="128"/>
      <c r="T6" s="127"/>
      <c r="U6" s="126"/>
      <c r="V6" s="125"/>
      <c r="W6" s="124"/>
      <c r="X6" s="123"/>
      <c r="Y6" s="122"/>
      <c r="Z6" s="121"/>
      <c r="AA6" s="120"/>
      <c r="AB6" s="119"/>
      <c r="AC6" s="118"/>
      <c r="AD6" s="117"/>
      <c r="AE6" s="116"/>
    </row>
    <row r="7" spans="1:31" ht="15.75" x14ac:dyDescent="0.25">
      <c r="A7" s="66"/>
      <c r="B7" s="65"/>
      <c r="C7" s="95" t="s">
        <v>278</v>
      </c>
      <c r="D7" s="99"/>
      <c r="E7" s="91">
        <v>24243</v>
      </c>
      <c r="F7" s="90">
        <v>4907</v>
      </c>
      <c r="G7" s="89">
        <v>29150</v>
      </c>
      <c r="H7" s="88">
        <v>26324</v>
      </c>
      <c r="I7" s="87">
        <v>4387</v>
      </c>
      <c r="J7" s="86">
        <v>30711</v>
      </c>
      <c r="K7" s="85">
        <v>26957</v>
      </c>
      <c r="L7" s="84">
        <v>4794</v>
      </c>
      <c r="M7" s="83">
        <v>31751</v>
      </c>
      <c r="N7" s="82">
        <v>26998</v>
      </c>
      <c r="O7" s="81">
        <v>5351</v>
      </c>
      <c r="P7" s="80">
        <v>32349</v>
      </c>
      <c r="Q7" s="94">
        <v>29674</v>
      </c>
      <c r="R7" s="93">
        <v>5540</v>
      </c>
      <c r="S7" s="92">
        <f>Q7+R7</f>
        <v>35214</v>
      </c>
      <c r="T7" s="91">
        <v>25480</v>
      </c>
      <c r="U7" s="90">
        <v>5531</v>
      </c>
      <c r="V7" s="89">
        <f t="shared" ref="V7:V12" si="0">U7+T7</f>
        <v>31011</v>
      </c>
      <c r="W7" s="88">
        <v>25589</v>
      </c>
      <c r="X7" s="87">
        <v>5500</v>
      </c>
      <c r="Y7" s="86">
        <f t="shared" ref="Y7:Y12" si="1">SUM(W7:X7)</f>
        <v>31089</v>
      </c>
      <c r="Z7" s="85">
        <v>24920</v>
      </c>
      <c r="AA7" s="84">
        <v>6343</v>
      </c>
      <c r="AB7" s="83">
        <v>31263</v>
      </c>
      <c r="AC7" s="82">
        <v>25810</v>
      </c>
      <c r="AD7" s="81">
        <v>6022</v>
      </c>
      <c r="AE7" s="80">
        <f t="shared" ref="AE7:AE12" si="2">SUM(AC7:AD7)</f>
        <v>31832</v>
      </c>
    </row>
    <row r="8" spans="1:31" ht="15.75" x14ac:dyDescent="0.25">
      <c r="A8" s="66"/>
      <c r="B8" s="96"/>
      <c r="C8" s="95" t="s">
        <v>291</v>
      </c>
      <c r="D8" s="99"/>
      <c r="E8" s="91">
        <v>335</v>
      </c>
      <c r="F8" s="90">
        <v>58</v>
      </c>
      <c r="G8" s="89">
        <v>393</v>
      </c>
      <c r="H8" s="88">
        <v>311</v>
      </c>
      <c r="I8" s="87">
        <v>62</v>
      </c>
      <c r="J8" s="86">
        <v>373</v>
      </c>
      <c r="K8" s="85">
        <v>282</v>
      </c>
      <c r="L8" s="84">
        <v>58</v>
      </c>
      <c r="M8" s="83">
        <v>340</v>
      </c>
      <c r="N8" s="82">
        <v>272</v>
      </c>
      <c r="O8" s="81">
        <v>54</v>
      </c>
      <c r="P8" s="80">
        <v>326</v>
      </c>
      <c r="Q8" s="94">
        <v>290</v>
      </c>
      <c r="R8" s="93">
        <v>56</v>
      </c>
      <c r="S8" s="92">
        <f>Q8+R8</f>
        <v>346</v>
      </c>
      <c r="T8" s="91">
        <v>303</v>
      </c>
      <c r="U8" s="90">
        <v>67</v>
      </c>
      <c r="V8" s="89">
        <f t="shared" si="0"/>
        <v>370</v>
      </c>
      <c r="W8" s="88">
        <v>333</v>
      </c>
      <c r="X8" s="87">
        <v>73</v>
      </c>
      <c r="Y8" s="86">
        <f t="shared" si="1"/>
        <v>406</v>
      </c>
      <c r="Z8" s="85">
        <v>354</v>
      </c>
      <c r="AA8" s="84">
        <v>86</v>
      </c>
      <c r="AB8" s="83">
        <v>440</v>
      </c>
      <c r="AC8" s="82">
        <v>387</v>
      </c>
      <c r="AD8" s="81">
        <v>92</v>
      </c>
      <c r="AE8" s="80">
        <f t="shared" si="2"/>
        <v>479</v>
      </c>
    </row>
    <row r="9" spans="1:31" ht="15.75" x14ac:dyDescent="0.25">
      <c r="A9" s="66"/>
      <c r="B9" s="96"/>
      <c r="C9" s="95" t="s">
        <v>290</v>
      </c>
      <c r="D9" s="99"/>
      <c r="E9" s="91">
        <v>982</v>
      </c>
      <c r="F9" s="90">
        <v>313</v>
      </c>
      <c r="G9" s="89">
        <v>1295</v>
      </c>
      <c r="H9" s="88">
        <v>1044</v>
      </c>
      <c r="I9" s="87">
        <v>337</v>
      </c>
      <c r="J9" s="86">
        <v>1381</v>
      </c>
      <c r="K9" s="85">
        <v>928</v>
      </c>
      <c r="L9" s="84">
        <v>307</v>
      </c>
      <c r="M9" s="83">
        <v>1235</v>
      </c>
      <c r="N9" s="82">
        <v>1029</v>
      </c>
      <c r="O9" s="81">
        <v>329</v>
      </c>
      <c r="P9" s="80">
        <v>1358</v>
      </c>
      <c r="Q9" s="94">
        <v>1056</v>
      </c>
      <c r="R9" s="93">
        <v>352</v>
      </c>
      <c r="S9" s="92">
        <f>Q9+R9</f>
        <v>1408</v>
      </c>
      <c r="T9" s="91">
        <v>1058</v>
      </c>
      <c r="U9" s="90">
        <v>346</v>
      </c>
      <c r="V9" s="89">
        <f t="shared" si="0"/>
        <v>1404</v>
      </c>
      <c r="W9" s="88">
        <v>786</v>
      </c>
      <c r="X9" s="87">
        <v>289</v>
      </c>
      <c r="Y9" s="86">
        <f t="shared" si="1"/>
        <v>1075</v>
      </c>
      <c r="Z9" s="85">
        <v>750</v>
      </c>
      <c r="AA9" s="84">
        <v>312</v>
      </c>
      <c r="AB9" s="83">
        <v>1062</v>
      </c>
      <c r="AC9" s="82">
        <v>776</v>
      </c>
      <c r="AD9" s="81">
        <v>317</v>
      </c>
      <c r="AE9" s="80">
        <f t="shared" si="2"/>
        <v>1093</v>
      </c>
    </row>
    <row r="10" spans="1:31" ht="15.75" x14ac:dyDescent="0.25">
      <c r="A10" s="66"/>
      <c r="B10" s="96"/>
      <c r="C10" s="95" t="s">
        <v>289</v>
      </c>
      <c r="D10" s="99"/>
      <c r="E10" s="91"/>
      <c r="F10" s="90"/>
      <c r="G10" s="89"/>
      <c r="H10" s="88"/>
      <c r="I10" s="87"/>
      <c r="J10" s="86"/>
      <c r="K10" s="85"/>
      <c r="L10" s="84"/>
      <c r="M10" s="83"/>
      <c r="N10" s="82"/>
      <c r="O10" s="81"/>
      <c r="P10" s="80"/>
      <c r="Q10" s="94"/>
      <c r="R10" s="93"/>
      <c r="S10" s="92"/>
      <c r="T10" s="91">
        <v>41</v>
      </c>
      <c r="U10" s="90">
        <v>2</v>
      </c>
      <c r="V10" s="89">
        <f t="shared" si="0"/>
        <v>43</v>
      </c>
      <c r="W10" s="88">
        <v>62</v>
      </c>
      <c r="X10" s="87">
        <v>9</v>
      </c>
      <c r="Y10" s="86">
        <f t="shared" si="1"/>
        <v>71</v>
      </c>
      <c r="Z10" s="85">
        <v>95</v>
      </c>
      <c r="AA10" s="84">
        <v>22</v>
      </c>
      <c r="AB10" s="83">
        <v>117</v>
      </c>
      <c r="AC10" s="82">
        <v>107</v>
      </c>
      <c r="AD10" s="81">
        <v>41</v>
      </c>
      <c r="AE10" s="80">
        <f t="shared" si="2"/>
        <v>148</v>
      </c>
    </row>
    <row r="11" spans="1:31" ht="15.75" x14ac:dyDescent="0.25">
      <c r="A11" s="66"/>
      <c r="B11" s="96"/>
      <c r="C11" s="95" t="s">
        <v>288</v>
      </c>
      <c r="D11" s="99"/>
      <c r="E11" s="91">
        <v>69</v>
      </c>
      <c r="F11" s="90">
        <v>8</v>
      </c>
      <c r="G11" s="89">
        <v>77</v>
      </c>
      <c r="H11" s="88">
        <v>62</v>
      </c>
      <c r="I11" s="87">
        <v>14</v>
      </c>
      <c r="J11" s="86">
        <v>76</v>
      </c>
      <c r="K11" s="85">
        <v>63</v>
      </c>
      <c r="L11" s="84">
        <v>17</v>
      </c>
      <c r="M11" s="83">
        <v>80</v>
      </c>
      <c r="N11" s="82">
        <v>68</v>
      </c>
      <c r="O11" s="81">
        <v>16</v>
      </c>
      <c r="P11" s="80">
        <v>84</v>
      </c>
      <c r="Q11" s="94">
        <v>66</v>
      </c>
      <c r="R11" s="93">
        <v>23</v>
      </c>
      <c r="S11" s="92">
        <f>Q11+R11</f>
        <v>89</v>
      </c>
      <c r="T11" s="91">
        <v>79</v>
      </c>
      <c r="U11" s="90">
        <v>11</v>
      </c>
      <c r="V11" s="89">
        <f t="shared" si="0"/>
        <v>90</v>
      </c>
      <c r="W11" s="88">
        <v>76</v>
      </c>
      <c r="X11" s="87">
        <v>13</v>
      </c>
      <c r="Y11" s="86">
        <f t="shared" si="1"/>
        <v>89</v>
      </c>
      <c r="Z11" s="85">
        <v>76</v>
      </c>
      <c r="AA11" s="84">
        <v>19</v>
      </c>
      <c r="AB11" s="83">
        <v>95</v>
      </c>
      <c r="AC11" s="82">
        <v>84</v>
      </c>
      <c r="AD11" s="81">
        <v>7</v>
      </c>
      <c r="AE11" s="80">
        <f t="shared" si="2"/>
        <v>91</v>
      </c>
    </row>
    <row r="12" spans="1:31" ht="15.75" x14ac:dyDescent="0.25">
      <c r="A12" s="66"/>
      <c r="B12" s="96"/>
      <c r="C12" s="95" t="s">
        <v>276</v>
      </c>
      <c r="D12" s="99"/>
      <c r="E12" s="91">
        <v>-663</v>
      </c>
      <c r="F12" s="90">
        <v>-142</v>
      </c>
      <c r="G12" s="89">
        <v>-805</v>
      </c>
      <c r="H12" s="88">
        <v>-739</v>
      </c>
      <c r="I12" s="87">
        <v>-159</v>
      </c>
      <c r="J12" s="86">
        <v>-898</v>
      </c>
      <c r="K12" s="85">
        <v>-559</v>
      </c>
      <c r="L12" s="84">
        <v>-125</v>
      </c>
      <c r="M12" s="83">
        <v>-684</v>
      </c>
      <c r="N12" s="82">
        <v>-675</v>
      </c>
      <c r="O12" s="81">
        <v>-151</v>
      </c>
      <c r="P12" s="80">
        <v>-826</v>
      </c>
      <c r="Q12" s="115">
        <v>-679</v>
      </c>
      <c r="R12" s="114">
        <v>-152</v>
      </c>
      <c r="S12" s="92">
        <f>Q12+R12</f>
        <v>-831</v>
      </c>
      <c r="T12" s="91">
        <v>-766</v>
      </c>
      <c r="U12" s="90">
        <v>-149</v>
      </c>
      <c r="V12" s="89">
        <f t="shared" si="0"/>
        <v>-915</v>
      </c>
      <c r="W12" s="88">
        <v>-461</v>
      </c>
      <c r="X12" s="87">
        <v>-114</v>
      </c>
      <c r="Y12" s="86">
        <f t="shared" si="1"/>
        <v>-575</v>
      </c>
      <c r="Z12" s="85">
        <v>-415</v>
      </c>
      <c r="AA12" s="84">
        <v>-111</v>
      </c>
      <c r="AB12" s="83">
        <v>-526</v>
      </c>
      <c r="AC12" s="82">
        <v>-390</v>
      </c>
      <c r="AD12" s="81">
        <v>-100</v>
      </c>
      <c r="AE12" s="80">
        <f t="shared" si="2"/>
        <v>-490</v>
      </c>
    </row>
    <row r="13" spans="1:31" ht="15.75" x14ac:dyDescent="0.25">
      <c r="A13" s="66"/>
      <c r="B13" s="96"/>
      <c r="C13" s="95"/>
      <c r="D13" s="77" t="s">
        <v>274</v>
      </c>
      <c r="E13" s="97">
        <f t="shared" ref="E13:Y13" si="3">SUM(E7:E12)</f>
        <v>24966</v>
      </c>
      <c r="F13" s="76">
        <f t="shared" si="3"/>
        <v>5144</v>
      </c>
      <c r="G13" s="75">
        <f t="shared" si="3"/>
        <v>30110</v>
      </c>
      <c r="H13" s="97">
        <f t="shared" si="3"/>
        <v>27002</v>
      </c>
      <c r="I13" s="76">
        <f t="shared" si="3"/>
        <v>4641</v>
      </c>
      <c r="J13" s="75">
        <f t="shared" si="3"/>
        <v>31643</v>
      </c>
      <c r="K13" s="97">
        <f t="shared" si="3"/>
        <v>27671</v>
      </c>
      <c r="L13" s="76">
        <f t="shared" si="3"/>
        <v>5051</v>
      </c>
      <c r="M13" s="75">
        <f t="shared" si="3"/>
        <v>32722</v>
      </c>
      <c r="N13" s="97">
        <f t="shared" si="3"/>
        <v>27692</v>
      </c>
      <c r="O13" s="76">
        <f t="shared" si="3"/>
        <v>5599</v>
      </c>
      <c r="P13" s="75">
        <f t="shared" si="3"/>
        <v>33291</v>
      </c>
      <c r="Q13" s="97">
        <f t="shared" si="3"/>
        <v>30407</v>
      </c>
      <c r="R13" s="76">
        <f t="shared" si="3"/>
        <v>5819</v>
      </c>
      <c r="S13" s="75">
        <f t="shared" si="3"/>
        <v>36226</v>
      </c>
      <c r="T13" s="97">
        <f t="shared" si="3"/>
        <v>26195</v>
      </c>
      <c r="U13" s="76">
        <f t="shared" si="3"/>
        <v>5808</v>
      </c>
      <c r="V13" s="75">
        <f t="shared" si="3"/>
        <v>32003</v>
      </c>
      <c r="W13" s="97">
        <f t="shared" si="3"/>
        <v>26385</v>
      </c>
      <c r="X13" s="76">
        <f t="shared" si="3"/>
        <v>5770</v>
      </c>
      <c r="Y13" s="75">
        <f t="shared" si="3"/>
        <v>32155</v>
      </c>
      <c r="Z13" s="97">
        <v>25780</v>
      </c>
      <c r="AA13" s="76">
        <v>6671</v>
      </c>
      <c r="AB13" s="75">
        <v>32451</v>
      </c>
      <c r="AC13" s="97">
        <f>SUM(AC7:AC12)</f>
        <v>26774</v>
      </c>
      <c r="AD13" s="76">
        <f>SUM(AD7:AD12)</f>
        <v>6379</v>
      </c>
      <c r="AE13" s="75">
        <f>SUM(AE7:AE12)</f>
        <v>33153</v>
      </c>
    </row>
    <row r="14" spans="1:31" ht="15.75" x14ac:dyDescent="0.25">
      <c r="A14" s="66"/>
      <c r="B14" s="65" t="s">
        <v>87</v>
      </c>
      <c r="C14" s="95"/>
      <c r="D14" s="77"/>
      <c r="E14" s="91"/>
      <c r="F14" s="90"/>
      <c r="G14" s="89"/>
      <c r="H14" s="88"/>
      <c r="I14" s="87"/>
      <c r="J14" s="86"/>
      <c r="K14" s="85"/>
      <c r="L14" s="84"/>
      <c r="M14" s="83"/>
      <c r="N14" s="82"/>
      <c r="O14" s="81"/>
      <c r="P14" s="80"/>
      <c r="Q14" s="94"/>
      <c r="R14" s="93"/>
      <c r="S14" s="92"/>
      <c r="T14" s="91"/>
      <c r="U14" s="90"/>
      <c r="V14" s="89"/>
      <c r="W14" s="88"/>
      <c r="X14" s="87"/>
      <c r="Y14" s="86"/>
      <c r="Z14" s="85"/>
      <c r="AA14" s="84"/>
      <c r="AB14" s="83"/>
      <c r="AC14" s="82"/>
      <c r="AD14" s="81"/>
      <c r="AE14" s="80"/>
    </row>
    <row r="15" spans="1:31" ht="15.75" x14ac:dyDescent="0.25">
      <c r="A15" s="66"/>
      <c r="B15" s="96"/>
      <c r="C15" s="95" t="s">
        <v>278</v>
      </c>
      <c r="D15" s="99"/>
      <c r="E15" s="91">
        <v>13179</v>
      </c>
      <c r="F15" s="90">
        <v>2447</v>
      </c>
      <c r="G15" s="89">
        <v>15626</v>
      </c>
      <c r="H15" s="88">
        <v>13688</v>
      </c>
      <c r="I15" s="87">
        <v>2750</v>
      </c>
      <c r="J15" s="86">
        <v>16438</v>
      </c>
      <c r="K15" s="85">
        <v>13999</v>
      </c>
      <c r="L15" s="84">
        <v>2823</v>
      </c>
      <c r="M15" s="83">
        <v>16822</v>
      </c>
      <c r="N15" s="82">
        <v>14159</v>
      </c>
      <c r="O15" s="81">
        <v>2827</v>
      </c>
      <c r="P15" s="80">
        <v>16986</v>
      </c>
      <c r="Q15" s="94">
        <v>13363</v>
      </c>
      <c r="R15" s="93">
        <v>3042</v>
      </c>
      <c r="S15" s="92">
        <f t="shared" ref="S15:S23" si="4">Q15+R15</f>
        <v>16405</v>
      </c>
      <c r="T15" s="91">
        <v>13473</v>
      </c>
      <c r="U15" s="90">
        <v>3287</v>
      </c>
      <c r="V15" s="89">
        <f t="shared" ref="V15:V23" si="5">U15+T15</f>
        <v>16760</v>
      </c>
      <c r="W15" s="88">
        <v>14194</v>
      </c>
      <c r="X15" s="87">
        <v>3690</v>
      </c>
      <c r="Y15" s="86">
        <f t="shared" ref="Y15:Y23" si="6">SUM(W15:X15)</f>
        <v>17884</v>
      </c>
      <c r="Z15" s="85">
        <v>15897</v>
      </c>
      <c r="AA15" s="84">
        <v>3869</v>
      </c>
      <c r="AB15" s="83">
        <f t="shared" ref="AB15:AB23" si="7">SUM(Z15:AA15)</f>
        <v>19766</v>
      </c>
      <c r="AC15" s="82">
        <v>16196</v>
      </c>
      <c r="AD15" s="81">
        <v>3710</v>
      </c>
      <c r="AE15" s="80">
        <f t="shared" ref="AE15:AE23" si="8">SUM(AC15:AD15)</f>
        <v>19906</v>
      </c>
    </row>
    <row r="16" spans="1:31" ht="15.75" x14ac:dyDescent="0.25">
      <c r="A16" s="66"/>
      <c r="B16" s="96"/>
      <c r="C16" s="95" t="s">
        <v>287</v>
      </c>
      <c r="D16" s="99"/>
      <c r="E16" s="91">
        <v>203</v>
      </c>
      <c r="F16" s="90">
        <v>0</v>
      </c>
      <c r="G16" s="89">
        <v>203</v>
      </c>
      <c r="H16" s="88">
        <v>267</v>
      </c>
      <c r="I16" s="87">
        <v>2</v>
      </c>
      <c r="J16" s="86">
        <v>269</v>
      </c>
      <c r="K16" s="85">
        <v>297</v>
      </c>
      <c r="L16" s="84">
        <v>0</v>
      </c>
      <c r="M16" s="83">
        <v>297</v>
      </c>
      <c r="N16" s="82">
        <v>308</v>
      </c>
      <c r="O16" s="81">
        <v>2</v>
      </c>
      <c r="P16" s="80">
        <v>310</v>
      </c>
      <c r="Q16" s="94">
        <v>394</v>
      </c>
      <c r="R16" s="93">
        <v>0</v>
      </c>
      <c r="S16" s="92">
        <f t="shared" si="4"/>
        <v>394</v>
      </c>
      <c r="T16" s="91">
        <v>390</v>
      </c>
      <c r="U16" s="90">
        <v>13</v>
      </c>
      <c r="V16" s="89">
        <f t="shared" si="5"/>
        <v>403</v>
      </c>
      <c r="W16" s="88">
        <v>342</v>
      </c>
      <c r="X16" s="87">
        <v>7</v>
      </c>
      <c r="Y16" s="86">
        <f t="shared" si="6"/>
        <v>349</v>
      </c>
      <c r="Z16" s="85">
        <v>368</v>
      </c>
      <c r="AA16" s="84">
        <v>26</v>
      </c>
      <c r="AB16" s="83">
        <f t="shared" si="7"/>
        <v>394</v>
      </c>
      <c r="AC16" s="82">
        <v>399</v>
      </c>
      <c r="AD16" s="81">
        <v>14</v>
      </c>
      <c r="AE16" s="80">
        <f t="shared" si="8"/>
        <v>413</v>
      </c>
    </row>
    <row r="17" spans="1:31" ht="15.75" x14ac:dyDescent="0.25">
      <c r="A17" s="66"/>
      <c r="B17" s="96"/>
      <c r="C17" s="95" t="s">
        <v>286</v>
      </c>
      <c r="D17" s="99"/>
      <c r="E17" s="91">
        <v>1517</v>
      </c>
      <c r="F17" s="90">
        <v>0</v>
      </c>
      <c r="G17" s="89">
        <v>1517</v>
      </c>
      <c r="H17" s="88">
        <v>1218</v>
      </c>
      <c r="I17" s="87">
        <v>0</v>
      </c>
      <c r="J17" s="86">
        <v>1218</v>
      </c>
      <c r="K17" s="85">
        <v>1402</v>
      </c>
      <c r="L17" s="84">
        <v>0</v>
      </c>
      <c r="M17" s="83">
        <v>1402</v>
      </c>
      <c r="N17" s="82">
        <v>901</v>
      </c>
      <c r="O17" s="81">
        <v>0</v>
      </c>
      <c r="P17" s="80">
        <v>901</v>
      </c>
      <c r="Q17" s="94">
        <v>833</v>
      </c>
      <c r="R17" s="93">
        <v>0</v>
      </c>
      <c r="S17" s="92">
        <f t="shared" si="4"/>
        <v>833</v>
      </c>
      <c r="T17" s="91">
        <v>766</v>
      </c>
      <c r="U17" s="90">
        <v>45</v>
      </c>
      <c r="V17" s="89">
        <f t="shared" si="5"/>
        <v>811</v>
      </c>
      <c r="W17" s="88">
        <v>862</v>
      </c>
      <c r="X17" s="87">
        <v>55</v>
      </c>
      <c r="Y17" s="86">
        <f t="shared" si="6"/>
        <v>917</v>
      </c>
      <c r="Z17" s="85">
        <v>912</v>
      </c>
      <c r="AA17" s="84">
        <v>38</v>
      </c>
      <c r="AB17" s="83">
        <f t="shared" si="7"/>
        <v>950</v>
      </c>
      <c r="AC17" s="82">
        <v>829</v>
      </c>
      <c r="AD17" s="81">
        <v>20</v>
      </c>
      <c r="AE17" s="80">
        <f t="shared" si="8"/>
        <v>849</v>
      </c>
    </row>
    <row r="18" spans="1:31" ht="15.75" x14ac:dyDescent="0.25">
      <c r="A18" s="66"/>
      <c r="B18" s="96"/>
      <c r="C18" s="95" t="s">
        <v>285</v>
      </c>
      <c r="D18" s="99"/>
      <c r="E18" s="91">
        <v>7714</v>
      </c>
      <c r="F18" s="90">
        <v>294</v>
      </c>
      <c r="G18" s="89">
        <v>8008</v>
      </c>
      <c r="H18" s="88">
        <v>8323</v>
      </c>
      <c r="I18" s="87">
        <v>455</v>
      </c>
      <c r="J18" s="86">
        <v>8778</v>
      </c>
      <c r="K18" s="85">
        <v>8528</v>
      </c>
      <c r="L18" s="84">
        <v>424</v>
      </c>
      <c r="M18" s="83">
        <v>8952</v>
      </c>
      <c r="N18" s="82">
        <v>8354</v>
      </c>
      <c r="O18" s="81">
        <v>330</v>
      </c>
      <c r="P18" s="80">
        <v>8684</v>
      </c>
      <c r="Q18" s="94">
        <v>7979</v>
      </c>
      <c r="R18" s="93">
        <v>353</v>
      </c>
      <c r="S18" s="92">
        <f t="shared" si="4"/>
        <v>8332</v>
      </c>
      <c r="T18" s="91">
        <v>7222</v>
      </c>
      <c r="U18" s="90">
        <v>2227</v>
      </c>
      <c r="V18" s="89">
        <f t="shared" si="5"/>
        <v>9449</v>
      </c>
      <c r="W18" s="88">
        <v>8673</v>
      </c>
      <c r="X18" s="87">
        <v>2639</v>
      </c>
      <c r="Y18" s="86">
        <f t="shared" si="6"/>
        <v>11312</v>
      </c>
      <c r="Z18" s="85">
        <v>2643</v>
      </c>
      <c r="AA18" s="84">
        <v>1349</v>
      </c>
      <c r="AB18" s="83">
        <f t="shared" si="7"/>
        <v>3992</v>
      </c>
      <c r="AC18" s="82">
        <v>2592</v>
      </c>
      <c r="AD18" s="81">
        <v>1249</v>
      </c>
      <c r="AE18" s="80">
        <f t="shared" si="8"/>
        <v>3841</v>
      </c>
    </row>
    <row r="19" spans="1:31" ht="15.75" x14ac:dyDescent="0.25">
      <c r="A19" s="66"/>
      <c r="B19" s="96"/>
      <c r="C19" s="95" t="s">
        <v>284</v>
      </c>
      <c r="D19" s="99"/>
      <c r="E19" s="91">
        <v>2309</v>
      </c>
      <c r="F19" s="90">
        <v>1</v>
      </c>
      <c r="G19" s="89">
        <v>2310</v>
      </c>
      <c r="H19" s="88">
        <v>2636</v>
      </c>
      <c r="I19" s="87">
        <v>2</v>
      </c>
      <c r="J19" s="86">
        <v>2638</v>
      </c>
      <c r="K19" s="85">
        <v>2513</v>
      </c>
      <c r="L19" s="84">
        <v>3</v>
      </c>
      <c r="M19" s="83">
        <v>2516</v>
      </c>
      <c r="N19" s="82">
        <v>2716</v>
      </c>
      <c r="O19" s="81">
        <v>2</v>
      </c>
      <c r="P19" s="80">
        <v>2718</v>
      </c>
      <c r="Q19" s="94">
        <v>2440</v>
      </c>
      <c r="R19" s="93">
        <v>2</v>
      </c>
      <c r="S19" s="92">
        <f t="shared" si="4"/>
        <v>2442</v>
      </c>
      <c r="T19" s="91">
        <v>2257</v>
      </c>
      <c r="U19" s="90">
        <v>90</v>
      </c>
      <c r="V19" s="89">
        <f t="shared" si="5"/>
        <v>2347</v>
      </c>
      <c r="W19" s="88">
        <v>2168</v>
      </c>
      <c r="X19" s="87">
        <v>131</v>
      </c>
      <c r="Y19" s="86">
        <f t="shared" si="6"/>
        <v>2299</v>
      </c>
      <c r="Z19" s="85">
        <v>2141</v>
      </c>
      <c r="AA19" s="84">
        <v>125</v>
      </c>
      <c r="AB19" s="83">
        <f t="shared" si="7"/>
        <v>2266</v>
      </c>
      <c r="AC19" s="82">
        <v>2066</v>
      </c>
      <c r="AD19" s="81">
        <v>125</v>
      </c>
      <c r="AE19" s="80">
        <f t="shared" si="8"/>
        <v>2191</v>
      </c>
    </row>
    <row r="20" spans="1:31" ht="15.75" x14ac:dyDescent="0.25">
      <c r="A20" s="66"/>
      <c r="B20" s="96"/>
      <c r="C20" s="95" t="s">
        <v>283</v>
      </c>
      <c r="D20" s="99"/>
      <c r="E20" s="91">
        <v>1679</v>
      </c>
      <c r="F20" s="90">
        <v>104</v>
      </c>
      <c r="G20" s="89">
        <v>1783</v>
      </c>
      <c r="H20" s="88">
        <v>1804</v>
      </c>
      <c r="I20" s="87">
        <v>144</v>
      </c>
      <c r="J20" s="86">
        <v>1948</v>
      </c>
      <c r="K20" s="85">
        <v>1565</v>
      </c>
      <c r="L20" s="84">
        <v>109</v>
      </c>
      <c r="M20" s="83">
        <v>1674</v>
      </c>
      <c r="N20" s="82">
        <v>1207</v>
      </c>
      <c r="O20" s="81">
        <v>106</v>
      </c>
      <c r="P20" s="80">
        <v>1313</v>
      </c>
      <c r="Q20" s="94">
        <v>608</v>
      </c>
      <c r="R20" s="93">
        <v>22</v>
      </c>
      <c r="S20" s="92">
        <f t="shared" si="4"/>
        <v>630</v>
      </c>
      <c r="T20" s="91">
        <v>1371</v>
      </c>
      <c r="U20" s="90">
        <v>20</v>
      </c>
      <c r="V20" s="89">
        <f t="shared" si="5"/>
        <v>1391</v>
      </c>
      <c r="W20" s="88">
        <v>1311</v>
      </c>
      <c r="X20" s="87">
        <v>144</v>
      </c>
      <c r="Y20" s="86">
        <f t="shared" si="6"/>
        <v>1455</v>
      </c>
      <c r="Z20" s="85">
        <v>1340</v>
      </c>
      <c r="AA20" s="84">
        <v>136</v>
      </c>
      <c r="AB20" s="83">
        <f t="shared" si="7"/>
        <v>1476</v>
      </c>
      <c r="AC20" s="82">
        <v>1315</v>
      </c>
      <c r="AD20" s="81">
        <v>138</v>
      </c>
      <c r="AE20" s="80">
        <f t="shared" si="8"/>
        <v>1453</v>
      </c>
    </row>
    <row r="21" spans="1:31" ht="15.75" x14ac:dyDescent="0.25">
      <c r="A21" s="66"/>
      <c r="B21" s="96"/>
      <c r="C21" s="95" t="s">
        <v>282</v>
      </c>
      <c r="D21" s="99"/>
      <c r="E21" s="91">
        <v>712</v>
      </c>
      <c r="F21" s="90">
        <v>47</v>
      </c>
      <c r="G21" s="89">
        <v>759</v>
      </c>
      <c r="H21" s="88">
        <v>830</v>
      </c>
      <c r="I21" s="87">
        <v>49</v>
      </c>
      <c r="J21" s="86">
        <v>879</v>
      </c>
      <c r="K21" s="85">
        <v>730</v>
      </c>
      <c r="L21" s="84">
        <v>55</v>
      </c>
      <c r="M21" s="83">
        <v>785</v>
      </c>
      <c r="N21" s="82">
        <v>539</v>
      </c>
      <c r="O21" s="81">
        <v>33</v>
      </c>
      <c r="P21" s="80">
        <v>572</v>
      </c>
      <c r="Q21" s="94">
        <v>1404</v>
      </c>
      <c r="R21" s="93">
        <v>119</v>
      </c>
      <c r="S21" s="92">
        <f t="shared" si="4"/>
        <v>1523</v>
      </c>
      <c r="T21" s="91">
        <v>560</v>
      </c>
      <c r="U21" s="90">
        <v>120</v>
      </c>
      <c r="V21" s="89">
        <f t="shared" si="5"/>
        <v>680</v>
      </c>
      <c r="W21" s="88">
        <v>569</v>
      </c>
      <c r="X21" s="87">
        <v>14</v>
      </c>
      <c r="Y21" s="86">
        <f t="shared" si="6"/>
        <v>583</v>
      </c>
      <c r="Z21" s="85">
        <v>501</v>
      </c>
      <c r="AA21" s="84">
        <v>28</v>
      </c>
      <c r="AB21" s="83">
        <f t="shared" si="7"/>
        <v>529</v>
      </c>
      <c r="AC21" s="82">
        <v>547</v>
      </c>
      <c r="AD21" s="81">
        <v>22</v>
      </c>
      <c r="AE21" s="80">
        <f t="shared" si="8"/>
        <v>569</v>
      </c>
    </row>
    <row r="22" spans="1:31" ht="15.75" x14ac:dyDescent="0.25">
      <c r="A22" s="66"/>
      <c r="B22" s="96"/>
      <c r="C22" s="95" t="s">
        <v>281</v>
      </c>
      <c r="D22" s="99"/>
      <c r="E22" s="91">
        <v>611</v>
      </c>
      <c r="F22" s="90">
        <v>3</v>
      </c>
      <c r="G22" s="89">
        <v>614</v>
      </c>
      <c r="H22" s="88">
        <v>645</v>
      </c>
      <c r="I22" s="87">
        <v>0</v>
      </c>
      <c r="J22" s="86">
        <v>645</v>
      </c>
      <c r="K22" s="85">
        <v>601</v>
      </c>
      <c r="L22" s="84">
        <v>0</v>
      </c>
      <c r="M22" s="83">
        <v>601</v>
      </c>
      <c r="N22" s="82">
        <v>578</v>
      </c>
      <c r="O22" s="81">
        <v>0</v>
      </c>
      <c r="P22" s="80">
        <v>578</v>
      </c>
      <c r="Q22" s="94">
        <v>478</v>
      </c>
      <c r="R22" s="93">
        <v>0</v>
      </c>
      <c r="S22" s="92">
        <f t="shared" si="4"/>
        <v>478</v>
      </c>
      <c r="T22" s="91">
        <v>426</v>
      </c>
      <c r="U22" s="90">
        <v>0</v>
      </c>
      <c r="V22" s="89">
        <f t="shared" si="5"/>
        <v>426</v>
      </c>
      <c r="W22" s="88">
        <v>364</v>
      </c>
      <c r="X22" s="87">
        <v>0</v>
      </c>
      <c r="Y22" s="86">
        <f t="shared" si="6"/>
        <v>364</v>
      </c>
      <c r="Z22" s="85">
        <v>410</v>
      </c>
      <c r="AA22" s="84">
        <v>0</v>
      </c>
      <c r="AB22" s="83">
        <f t="shared" si="7"/>
        <v>410</v>
      </c>
      <c r="AC22" s="82">
        <v>455</v>
      </c>
      <c r="AD22" s="81">
        <v>0</v>
      </c>
      <c r="AE22" s="80">
        <f t="shared" si="8"/>
        <v>455</v>
      </c>
    </row>
    <row r="23" spans="1:31" ht="15.75" x14ac:dyDescent="0.25">
      <c r="A23" s="66"/>
      <c r="B23" s="96"/>
      <c r="C23" s="95" t="s">
        <v>276</v>
      </c>
      <c r="D23" s="99"/>
      <c r="E23" s="91">
        <v>-1822</v>
      </c>
      <c r="F23" s="90">
        <v>-308</v>
      </c>
      <c r="G23" s="89">
        <v>-2130</v>
      </c>
      <c r="H23" s="88">
        <v>-2777</v>
      </c>
      <c r="I23" s="87">
        <v>-475</v>
      </c>
      <c r="J23" s="86">
        <v>-3252</v>
      </c>
      <c r="K23" s="85">
        <v>-2704</v>
      </c>
      <c r="L23" s="84">
        <v>-437</v>
      </c>
      <c r="M23" s="83">
        <v>-3141</v>
      </c>
      <c r="N23" s="82">
        <v>-2030</v>
      </c>
      <c r="O23" s="81">
        <v>-338</v>
      </c>
      <c r="P23" s="80">
        <v>-2368</v>
      </c>
      <c r="Q23" s="94">
        <v>-1983</v>
      </c>
      <c r="R23" s="93">
        <v>-356</v>
      </c>
      <c r="S23" s="92">
        <f t="shared" si="4"/>
        <v>-2339</v>
      </c>
      <c r="T23" s="91">
        <v>-2994</v>
      </c>
      <c r="U23" s="90">
        <v>-566</v>
      </c>
      <c r="V23" s="89">
        <f t="shared" si="5"/>
        <v>-3560</v>
      </c>
      <c r="W23" s="88">
        <v>-4787</v>
      </c>
      <c r="X23" s="87">
        <v>-1057</v>
      </c>
      <c r="Y23" s="86">
        <f t="shared" si="6"/>
        <v>-5844</v>
      </c>
      <c r="Z23" s="85">
        <v>-704</v>
      </c>
      <c r="AA23" s="84">
        <v>-93</v>
      </c>
      <c r="AB23" s="83">
        <f t="shared" si="7"/>
        <v>-797</v>
      </c>
      <c r="AC23" s="82">
        <v>-584</v>
      </c>
      <c r="AD23" s="81">
        <v>-67</v>
      </c>
      <c r="AE23" s="80">
        <f t="shared" si="8"/>
        <v>-651</v>
      </c>
    </row>
    <row r="24" spans="1:31" ht="15.75" x14ac:dyDescent="0.25">
      <c r="A24" s="66"/>
      <c r="B24" s="96"/>
      <c r="C24" s="95"/>
      <c r="D24" s="77" t="s">
        <v>274</v>
      </c>
      <c r="E24" s="97">
        <f t="shared" ref="E24:AE24" si="9">SUM(E15:E23)</f>
        <v>26102</v>
      </c>
      <c r="F24" s="76">
        <f t="shared" si="9"/>
        <v>2588</v>
      </c>
      <c r="G24" s="75">
        <f t="shared" si="9"/>
        <v>28690</v>
      </c>
      <c r="H24" s="97">
        <f t="shared" si="9"/>
        <v>26634</v>
      </c>
      <c r="I24" s="76">
        <f t="shared" si="9"/>
        <v>2927</v>
      </c>
      <c r="J24" s="75">
        <f t="shared" si="9"/>
        <v>29561</v>
      </c>
      <c r="K24" s="97">
        <f t="shared" si="9"/>
        <v>26931</v>
      </c>
      <c r="L24" s="76">
        <f t="shared" si="9"/>
        <v>2977</v>
      </c>
      <c r="M24" s="75">
        <f t="shared" si="9"/>
        <v>29908</v>
      </c>
      <c r="N24" s="97">
        <f t="shared" si="9"/>
        <v>26732</v>
      </c>
      <c r="O24" s="76">
        <f t="shared" si="9"/>
        <v>2962</v>
      </c>
      <c r="P24" s="75">
        <f t="shared" si="9"/>
        <v>29694</v>
      </c>
      <c r="Q24" s="97">
        <f t="shared" si="9"/>
        <v>25516</v>
      </c>
      <c r="R24" s="76">
        <f t="shared" si="9"/>
        <v>3182</v>
      </c>
      <c r="S24" s="75">
        <f t="shared" si="9"/>
        <v>28698</v>
      </c>
      <c r="T24" s="97">
        <f t="shared" si="9"/>
        <v>23471</v>
      </c>
      <c r="U24" s="76">
        <f t="shared" si="9"/>
        <v>5236</v>
      </c>
      <c r="V24" s="75">
        <f t="shared" si="9"/>
        <v>28707</v>
      </c>
      <c r="W24" s="97">
        <f t="shared" si="9"/>
        <v>23696</v>
      </c>
      <c r="X24" s="76">
        <f t="shared" si="9"/>
        <v>5623</v>
      </c>
      <c r="Y24" s="75">
        <f t="shared" si="9"/>
        <v>29319</v>
      </c>
      <c r="Z24" s="97">
        <f t="shared" si="9"/>
        <v>23508</v>
      </c>
      <c r="AA24" s="76">
        <f t="shared" si="9"/>
        <v>5478</v>
      </c>
      <c r="AB24" s="75">
        <f t="shared" si="9"/>
        <v>28986</v>
      </c>
      <c r="AC24" s="97">
        <f t="shared" si="9"/>
        <v>23815</v>
      </c>
      <c r="AD24" s="76">
        <f t="shared" si="9"/>
        <v>5211</v>
      </c>
      <c r="AE24" s="75">
        <f t="shared" si="9"/>
        <v>29026</v>
      </c>
    </row>
    <row r="25" spans="1:31" ht="15.75" x14ac:dyDescent="0.25">
      <c r="A25" s="66"/>
      <c r="B25" s="65" t="s">
        <v>88</v>
      </c>
      <c r="C25" s="95"/>
      <c r="D25" s="77"/>
      <c r="E25" s="91"/>
      <c r="F25" s="90"/>
      <c r="G25" s="89"/>
      <c r="H25" s="88"/>
      <c r="I25" s="87"/>
      <c r="J25" s="86"/>
      <c r="K25" s="85"/>
      <c r="L25" s="84"/>
      <c r="M25" s="83"/>
      <c r="N25" s="82"/>
      <c r="O25" s="81"/>
      <c r="P25" s="80"/>
      <c r="Q25" s="94"/>
      <c r="R25" s="93"/>
      <c r="S25" s="92"/>
      <c r="T25" s="91"/>
      <c r="U25" s="90"/>
      <c r="V25" s="89"/>
      <c r="W25" s="88"/>
      <c r="X25" s="87"/>
      <c r="Y25" s="86"/>
      <c r="Z25" s="85"/>
      <c r="AA25" s="84"/>
      <c r="AB25" s="83"/>
      <c r="AC25" s="82"/>
      <c r="AD25" s="81"/>
      <c r="AE25" s="80"/>
    </row>
    <row r="26" spans="1:31" ht="15.75" x14ac:dyDescent="0.25">
      <c r="A26" s="66"/>
      <c r="B26" s="96"/>
      <c r="C26" s="95"/>
      <c r="D26" s="77" t="s">
        <v>279</v>
      </c>
      <c r="E26" s="97">
        <v>22192</v>
      </c>
      <c r="F26" s="76">
        <v>1585</v>
      </c>
      <c r="G26" s="75">
        <v>23777</v>
      </c>
      <c r="H26" s="97">
        <v>22644</v>
      </c>
      <c r="I26" s="76">
        <v>1852</v>
      </c>
      <c r="J26" s="75">
        <v>24496</v>
      </c>
      <c r="K26" s="97">
        <v>24169</v>
      </c>
      <c r="L26" s="76">
        <v>2087</v>
      </c>
      <c r="M26" s="75">
        <v>26256</v>
      </c>
      <c r="N26" s="97">
        <v>24997</v>
      </c>
      <c r="O26" s="76">
        <v>2384</v>
      </c>
      <c r="P26" s="75">
        <v>27381</v>
      </c>
      <c r="Q26" s="97">
        <v>23725</v>
      </c>
      <c r="R26" s="76">
        <v>2161</v>
      </c>
      <c r="S26" s="75">
        <f>Q26+R26</f>
        <v>25886</v>
      </c>
      <c r="T26" s="97">
        <v>24722</v>
      </c>
      <c r="U26" s="76">
        <v>2191</v>
      </c>
      <c r="V26" s="75">
        <f>U26+T26</f>
        <v>26913</v>
      </c>
      <c r="W26" s="97">
        <v>24093</v>
      </c>
      <c r="X26" s="76">
        <v>2159</v>
      </c>
      <c r="Y26" s="75">
        <f>SUM(W26:X26)</f>
        <v>26252</v>
      </c>
      <c r="Z26" s="97">
        <v>24976</v>
      </c>
      <c r="AA26" s="76">
        <v>2260</v>
      </c>
      <c r="AB26" s="75">
        <f>SUM(Z26:AA26)</f>
        <v>27236</v>
      </c>
      <c r="AC26" s="97">
        <v>26100</v>
      </c>
      <c r="AD26" s="76">
        <v>2279</v>
      </c>
      <c r="AE26" s="75">
        <f>SUM(AC26:AD26)</f>
        <v>28379</v>
      </c>
    </row>
    <row r="27" spans="1:31" ht="15.75" x14ac:dyDescent="0.25">
      <c r="A27" s="66"/>
      <c r="B27" s="65" t="s">
        <v>89</v>
      </c>
      <c r="C27" s="95"/>
      <c r="D27" s="99"/>
      <c r="E27" s="91"/>
      <c r="F27" s="90"/>
      <c r="G27" s="89"/>
      <c r="H27" s="88"/>
      <c r="I27" s="87"/>
      <c r="J27" s="86"/>
      <c r="K27" s="85"/>
      <c r="L27" s="84"/>
      <c r="M27" s="83"/>
      <c r="N27" s="82"/>
      <c r="O27" s="81"/>
      <c r="P27" s="80"/>
      <c r="Q27" s="94"/>
      <c r="R27" s="93"/>
      <c r="S27" s="92"/>
      <c r="T27" s="91"/>
      <c r="U27" s="90"/>
      <c r="V27" s="89"/>
      <c r="W27" s="88"/>
      <c r="X27" s="87"/>
      <c r="Y27" s="86"/>
      <c r="Z27" s="85"/>
      <c r="AA27" s="84"/>
      <c r="AB27" s="83"/>
      <c r="AC27" s="82"/>
      <c r="AD27" s="81"/>
      <c r="AE27" s="80"/>
    </row>
    <row r="28" spans="1:31" ht="15.75" x14ac:dyDescent="0.25">
      <c r="A28" s="66"/>
      <c r="B28" s="96"/>
      <c r="C28" s="95"/>
      <c r="D28" s="77" t="s">
        <v>279</v>
      </c>
      <c r="E28" s="97">
        <v>7252</v>
      </c>
      <c r="F28" s="76">
        <v>1175</v>
      </c>
      <c r="G28" s="75">
        <v>8427</v>
      </c>
      <c r="H28" s="97">
        <v>7208</v>
      </c>
      <c r="I28" s="76">
        <v>1121</v>
      </c>
      <c r="J28" s="75">
        <v>8329</v>
      </c>
      <c r="K28" s="97">
        <v>7245</v>
      </c>
      <c r="L28" s="76">
        <v>1019</v>
      </c>
      <c r="M28" s="75">
        <v>8264</v>
      </c>
      <c r="N28" s="97">
        <v>7594</v>
      </c>
      <c r="O28" s="76">
        <v>1112</v>
      </c>
      <c r="P28" s="75">
        <v>8706</v>
      </c>
      <c r="Q28" s="97">
        <v>7066</v>
      </c>
      <c r="R28" s="76">
        <v>1161</v>
      </c>
      <c r="S28" s="75">
        <f>Q28+R28</f>
        <v>8227</v>
      </c>
      <c r="T28" s="97">
        <v>6794</v>
      </c>
      <c r="U28" s="76">
        <v>1406</v>
      </c>
      <c r="V28" s="75">
        <f>U28+T28</f>
        <v>8200</v>
      </c>
      <c r="W28" s="97">
        <v>7490</v>
      </c>
      <c r="X28" s="76">
        <v>1655</v>
      </c>
      <c r="Y28" s="75">
        <f>SUM(W28:X28)</f>
        <v>9145</v>
      </c>
      <c r="Z28" s="97">
        <v>7802</v>
      </c>
      <c r="AA28" s="76">
        <v>1796</v>
      </c>
      <c r="AB28" s="75">
        <f>SUM(Z28:AA28)</f>
        <v>9598</v>
      </c>
      <c r="AC28" s="97">
        <v>8106</v>
      </c>
      <c r="AD28" s="76">
        <v>2139</v>
      </c>
      <c r="AE28" s="75">
        <f>SUM(AC28:AD28)</f>
        <v>10245</v>
      </c>
    </row>
    <row r="29" spans="1:31" ht="15.75" x14ac:dyDescent="0.25">
      <c r="A29" s="66"/>
      <c r="B29" s="65" t="s">
        <v>90</v>
      </c>
      <c r="C29" s="95"/>
      <c r="D29" s="77"/>
      <c r="E29" s="110"/>
      <c r="F29" s="109"/>
      <c r="G29" s="108"/>
      <c r="H29" s="107"/>
      <c r="I29" s="106"/>
      <c r="J29" s="105"/>
      <c r="K29" s="104"/>
      <c r="L29" s="103"/>
      <c r="M29" s="98"/>
      <c r="N29" s="102"/>
      <c r="O29" s="101"/>
      <c r="P29" s="100"/>
      <c r="Q29" s="113"/>
      <c r="R29" s="112"/>
      <c r="S29" s="111"/>
      <c r="T29" s="110"/>
      <c r="U29" s="109"/>
      <c r="V29" s="108"/>
      <c r="W29" s="107"/>
      <c r="X29" s="106"/>
      <c r="Y29" s="105"/>
      <c r="Z29" s="104"/>
      <c r="AA29" s="103"/>
      <c r="AB29" s="98"/>
      <c r="AC29" s="102"/>
      <c r="AD29" s="101"/>
      <c r="AE29" s="100"/>
    </row>
    <row r="30" spans="1:31" ht="15.75" x14ac:dyDescent="0.25">
      <c r="A30" s="66"/>
      <c r="B30" s="96"/>
      <c r="C30" s="95" t="s">
        <v>278</v>
      </c>
      <c r="D30" s="99"/>
      <c r="E30" s="91">
        <v>3573</v>
      </c>
      <c r="F30" s="90">
        <v>287</v>
      </c>
      <c r="G30" s="89">
        <v>3860</v>
      </c>
      <c r="H30" s="88">
        <v>3730</v>
      </c>
      <c r="I30" s="87">
        <v>246</v>
      </c>
      <c r="J30" s="86">
        <v>3976</v>
      </c>
      <c r="K30" s="85">
        <v>3912</v>
      </c>
      <c r="L30" s="84">
        <v>291</v>
      </c>
      <c r="M30" s="83">
        <f>K30+L30</f>
        <v>4203</v>
      </c>
      <c r="N30" s="82">
        <v>4039</v>
      </c>
      <c r="O30" s="81">
        <v>265</v>
      </c>
      <c r="P30" s="80">
        <v>4304</v>
      </c>
      <c r="Q30" s="94">
        <v>4145</v>
      </c>
      <c r="R30" s="93">
        <v>320</v>
      </c>
      <c r="S30" s="92">
        <f>Q30+R30</f>
        <v>4465</v>
      </c>
      <c r="T30" s="91">
        <v>4308</v>
      </c>
      <c r="U30" s="90">
        <v>347</v>
      </c>
      <c r="V30" s="89">
        <f>U30+T30</f>
        <v>4655</v>
      </c>
      <c r="W30" s="88">
        <v>4493</v>
      </c>
      <c r="X30" s="87">
        <v>394</v>
      </c>
      <c r="Y30" s="86">
        <f>SUM(W30:X30)</f>
        <v>4887</v>
      </c>
      <c r="Z30" s="85">
        <v>4793</v>
      </c>
      <c r="AA30" s="84">
        <v>407</v>
      </c>
      <c r="AB30" s="83">
        <f>SUM(Z30:AA30)</f>
        <v>5200</v>
      </c>
      <c r="AC30" s="82">
        <v>4944</v>
      </c>
      <c r="AD30" s="81">
        <v>439</v>
      </c>
      <c r="AE30" s="80">
        <f>SUM(AC30:AD30)</f>
        <v>5383</v>
      </c>
    </row>
    <row r="31" spans="1:31" ht="15.75" x14ac:dyDescent="0.25">
      <c r="A31" s="66"/>
      <c r="B31" s="96"/>
      <c r="C31" s="95" t="s">
        <v>280</v>
      </c>
      <c r="D31" s="99"/>
      <c r="E31" s="91">
        <v>700</v>
      </c>
      <c r="F31" s="90">
        <v>2</v>
      </c>
      <c r="G31" s="89">
        <v>702</v>
      </c>
      <c r="H31" s="88">
        <v>559</v>
      </c>
      <c r="I31" s="87">
        <v>0</v>
      </c>
      <c r="J31" s="86">
        <v>559</v>
      </c>
      <c r="K31" s="85">
        <v>319</v>
      </c>
      <c r="L31" s="84">
        <v>2</v>
      </c>
      <c r="M31" s="83">
        <f>K31+L31</f>
        <v>321</v>
      </c>
      <c r="N31" s="82">
        <v>383</v>
      </c>
      <c r="O31" s="81">
        <v>3</v>
      </c>
      <c r="P31" s="80">
        <v>386</v>
      </c>
      <c r="Q31" s="94">
        <v>116</v>
      </c>
      <c r="R31" s="93">
        <v>2</v>
      </c>
      <c r="S31" s="92">
        <f>Q31+R31</f>
        <v>118</v>
      </c>
      <c r="T31" s="91">
        <v>178</v>
      </c>
      <c r="U31" s="90">
        <v>6</v>
      </c>
      <c r="V31" s="89">
        <f>U31+T31</f>
        <v>184</v>
      </c>
      <c r="W31" s="88">
        <v>248</v>
      </c>
      <c r="X31" s="87">
        <v>34</v>
      </c>
      <c r="Y31" s="86">
        <f>SUM(W31:X31)</f>
        <v>282</v>
      </c>
      <c r="Z31" s="85">
        <v>260</v>
      </c>
      <c r="AA31" s="84">
        <v>21</v>
      </c>
      <c r="AB31" s="83">
        <f>SUM(Z31:AA31)</f>
        <v>281</v>
      </c>
      <c r="AC31" s="82">
        <v>269</v>
      </c>
      <c r="AD31" s="81">
        <v>24</v>
      </c>
      <c r="AE31" s="80">
        <f>SUM(AC31:AD31)</f>
        <v>293</v>
      </c>
    </row>
    <row r="32" spans="1:31" ht="15.75" x14ac:dyDescent="0.25">
      <c r="A32" s="66"/>
      <c r="B32" s="96"/>
      <c r="C32" s="95" t="s">
        <v>276</v>
      </c>
      <c r="D32" s="99"/>
      <c r="E32" s="91">
        <v>-168</v>
      </c>
      <c r="F32" s="90">
        <v>0</v>
      </c>
      <c r="G32" s="89">
        <v>-168</v>
      </c>
      <c r="H32" s="88">
        <v>-124</v>
      </c>
      <c r="I32" s="87">
        <v>0</v>
      </c>
      <c r="J32" s="86">
        <v>-124</v>
      </c>
      <c r="K32" s="85">
        <v>-65</v>
      </c>
      <c r="L32" s="84">
        <v>0</v>
      </c>
      <c r="M32" s="83">
        <v>-65</v>
      </c>
      <c r="N32" s="82">
        <v>-91</v>
      </c>
      <c r="O32" s="81">
        <v>-1</v>
      </c>
      <c r="P32" s="80">
        <v>-92</v>
      </c>
      <c r="Q32" s="94">
        <v>-1</v>
      </c>
      <c r="R32" s="93">
        <v>-1</v>
      </c>
      <c r="S32" s="92">
        <f>Q32+R32</f>
        <v>-2</v>
      </c>
      <c r="T32" s="91">
        <v>-33</v>
      </c>
      <c r="U32" s="90">
        <v>-1</v>
      </c>
      <c r="V32" s="89">
        <f>U32+T32</f>
        <v>-34</v>
      </c>
      <c r="W32" s="88">
        <v>-61</v>
      </c>
      <c r="X32" s="87">
        <v>-1</v>
      </c>
      <c r="Y32" s="86">
        <f>SUM(W32:X32)</f>
        <v>-62</v>
      </c>
      <c r="Z32" s="85">
        <v>-67</v>
      </c>
      <c r="AA32" s="84">
        <v>0</v>
      </c>
      <c r="AB32" s="83">
        <f>SUM(Z32:AA32)</f>
        <v>-67</v>
      </c>
      <c r="AC32" s="82">
        <v>-86</v>
      </c>
      <c r="AD32" s="81">
        <v>-1</v>
      </c>
      <c r="AE32" s="80">
        <f>SUM(AC32:AD32)</f>
        <v>-87</v>
      </c>
    </row>
    <row r="33" spans="1:31" ht="15.75" x14ac:dyDescent="0.25">
      <c r="A33" s="66"/>
      <c r="B33" s="96"/>
      <c r="C33" s="95"/>
      <c r="D33" s="77" t="s">
        <v>274</v>
      </c>
      <c r="E33" s="97">
        <f t="shared" ref="E33:X33" si="10">SUM(E30:E32)</f>
        <v>4105</v>
      </c>
      <c r="F33" s="76">
        <f t="shared" si="10"/>
        <v>289</v>
      </c>
      <c r="G33" s="75">
        <f t="shared" si="10"/>
        <v>4394</v>
      </c>
      <c r="H33" s="97">
        <f t="shared" si="10"/>
        <v>4165</v>
      </c>
      <c r="I33" s="76">
        <f t="shared" si="10"/>
        <v>246</v>
      </c>
      <c r="J33" s="75">
        <f t="shared" si="10"/>
        <v>4411</v>
      </c>
      <c r="K33" s="97">
        <f t="shared" si="10"/>
        <v>4166</v>
      </c>
      <c r="L33" s="76">
        <f t="shared" si="10"/>
        <v>293</v>
      </c>
      <c r="M33" s="75">
        <f t="shared" si="10"/>
        <v>4459</v>
      </c>
      <c r="N33" s="97">
        <f t="shared" si="10"/>
        <v>4331</v>
      </c>
      <c r="O33" s="76">
        <f t="shared" si="10"/>
        <v>267</v>
      </c>
      <c r="P33" s="75">
        <f t="shared" si="10"/>
        <v>4598</v>
      </c>
      <c r="Q33" s="97">
        <f t="shared" si="10"/>
        <v>4260</v>
      </c>
      <c r="R33" s="76">
        <f t="shared" si="10"/>
        <v>321</v>
      </c>
      <c r="S33" s="75">
        <f t="shared" si="10"/>
        <v>4581</v>
      </c>
      <c r="T33" s="97">
        <f t="shared" si="10"/>
        <v>4453</v>
      </c>
      <c r="U33" s="76">
        <f t="shared" si="10"/>
        <v>352</v>
      </c>
      <c r="V33" s="75">
        <f t="shared" si="10"/>
        <v>4805</v>
      </c>
      <c r="W33" s="97">
        <f t="shared" si="10"/>
        <v>4680</v>
      </c>
      <c r="X33" s="76">
        <f t="shared" si="10"/>
        <v>427</v>
      </c>
      <c r="Y33" s="75">
        <f>SUM(W33:X33)</f>
        <v>5107</v>
      </c>
      <c r="Z33" s="97">
        <f t="shared" ref="Z33:AE33" si="11">SUM(Z30:Z32)</f>
        <v>4986</v>
      </c>
      <c r="AA33" s="76">
        <f t="shared" si="11"/>
        <v>428</v>
      </c>
      <c r="AB33" s="75">
        <f t="shared" si="11"/>
        <v>5414</v>
      </c>
      <c r="AC33" s="97">
        <f t="shared" si="11"/>
        <v>5127</v>
      </c>
      <c r="AD33" s="76">
        <f t="shared" si="11"/>
        <v>462</v>
      </c>
      <c r="AE33" s="75">
        <f t="shared" si="11"/>
        <v>5589</v>
      </c>
    </row>
    <row r="34" spans="1:31" ht="15.75" x14ac:dyDescent="0.25">
      <c r="A34" s="66"/>
      <c r="B34" s="65" t="s">
        <v>266</v>
      </c>
      <c r="C34" s="95"/>
      <c r="D34" s="77"/>
      <c r="E34" s="91"/>
      <c r="F34" s="90"/>
      <c r="G34" s="89"/>
      <c r="H34" s="88"/>
      <c r="I34" s="87"/>
      <c r="J34" s="86"/>
      <c r="K34" s="85"/>
      <c r="L34" s="84"/>
      <c r="M34" s="83"/>
      <c r="N34" s="82"/>
      <c r="O34" s="81"/>
      <c r="P34" s="80"/>
      <c r="Q34" s="94"/>
      <c r="R34" s="93"/>
      <c r="S34" s="92"/>
      <c r="T34" s="91"/>
      <c r="U34" s="90"/>
      <c r="V34" s="89"/>
      <c r="W34" s="88"/>
      <c r="X34" s="87"/>
      <c r="Y34" s="86"/>
      <c r="Z34" s="85"/>
      <c r="AA34" s="84"/>
      <c r="AB34" s="83"/>
      <c r="AC34" s="82"/>
      <c r="AD34" s="81"/>
      <c r="AE34" s="80"/>
    </row>
    <row r="35" spans="1:31" ht="15.75" x14ac:dyDescent="0.25">
      <c r="A35" s="66"/>
      <c r="B35" s="96"/>
      <c r="C35" s="95"/>
      <c r="D35" s="77" t="s">
        <v>279</v>
      </c>
      <c r="E35" s="97">
        <v>7719</v>
      </c>
      <c r="F35" s="76">
        <v>533</v>
      </c>
      <c r="G35" s="75">
        <v>8252</v>
      </c>
      <c r="H35" s="97">
        <v>7722</v>
      </c>
      <c r="I35" s="76">
        <v>627</v>
      </c>
      <c r="J35" s="75">
        <v>8349</v>
      </c>
      <c r="K35" s="97">
        <v>8123</v>
      </c>
      <c r="L35" s="76">
        <v>717</v>
      </c>
      <c r="M35" s="75">
        <v>8840</v>
      </c>
      <c r="N35" s="97">
        <v>7792</v>
      </c>
      <c r="O35" s="76">
        <v>795</v>
      </c>
      <c r="P35" s="75">
        <v>8587</v>
      </c>
      <c r="Q35" s="97">
        <v>7163</v>
      </c>
      <c r="R35" s="76">
        <v>984</v>
      </c>
      <c r="S35" s="75">
        <f>Q35+R35</f>
        <v>8147</v>
      </c>
      <c r="T35" s="97">
        <v>7089</v>
      </c>
      <c r="U35" s="76">
        <v>1253</v>
      </c>
      <c r="V35" s="75">
        <f>U35+T35</f>
        <v>8342</v>
      </c>
      <c r="W35" s="97">
        <v>7084</v>
      </c>
      <c r="X35" s="76">
        <v>1380</v>
      </c>
      <c r="Y35" s="75">
        <f>SUM(W35:X35)</f>
        <v>8464</v>
      </c>
      <c r="Z35" s="97">
        <v>7440</v>
      </c>
      <c r="AA35" s="76">
        <v>1551</v>
      </c>
      <c r="AB35" s="75">
        <f>SUM(Z35:AA35)</f>
        <v>8991</v>
      </c>
      <c r="AC35" s="97">
        <v>7988</v>
      </c>
      <c r="AD35" s="76">
        <v>1719</v>
      </c>
      <c r="AE35" s="75">
        <f>SUM(AC35:AD35)</f>
        <v>9707</v>
      </c>
    </row>
    <row r="36" spans="1:31" ht="15.75" x14ac:dyDescent="0.25">
      <c r="A36" s="66"/>
      <c r="B36" s="65" t="s">
        <v>92</v>
      </c>
      <c r="C36" s="95"/>
      <c r="D36" s="99"/>
      <c r="E36" s="91"/>
      <c r="F36" s="90"/>
      <c r="G36" s="89"/>
      <c r="H36" s="88"/>
      <c r="I36" s="87"/>
      <c r="J36" s="86"/>
      <c r="K36" s="85"/>
      <c r="L36" s="84"/>
      <c r="M36" s="98"/>
      <c r="N36" s="82"/>
      <c r="O36" s="81"/>
      <c r="P36" s="80"/>
      <c r="Q36" s="94"/>
      <c r="R36" s="93"/>
      <c r="S36" s="92"/>
      <c r="T36" s="91"/>
      <c r="U36" s="90"/>
      <c r="V36" s="89"/>
      <c r="W36" s="88"/>
      <c r="X36" s="87"/>
      <c r="Y36" s="86"/>
      <c r="Z36" s="85"/>
      <c r="AA36" s="84"/>
      <c r="AB36" s="98"/>
      <c r="AC36" s="82"/>
      <c r="AD36" s="81"/>
      <c r="AE36" s="80"/>
    </row>
    <row r="37" spans="1:31" ht="15.75" x14ac:dyDescent="0.25">
      <c r="A37" s="66"/>
      <c r="B37" s="96"/>
      <c r="C37" s="95"/>
      <c r="D37" s="77" t="s">
        <v>279</v>
      </c>
      <c r="E37" s="97">
        <v>26062</v>
      </c>
      <c r="F37" s="76">
        <v>2983</v>
      </c>
      <c r="G37" s="75">
        <v>29045</v>
      </c>
      <c r="H37" s="97">
        <v>28631</v>
      </c>
      <c r="I37" s="76">
        <v>3108</v>
      </c>
      <c r="J37" s="75">
        <v>31739</v>
      </c>
      <c r="K37" s="97">
        <v>29648</v>
      </c>
      <c r="L37" s="76">
        <v>3086</v>
      </c>
      <c r="M37" s="75">
        <v>32734</v>
      </c>
      <c r="N37" s="97">
        <v>28882</v>
      </c>
      <c r="O37" s="76">
        <v>2928</v>
      </c>
      <c r="P37" s="75">
        <v>31810</v>
      </c>
      <c r="Q37" s="97">
        <v>27828</v>
      </c>
      <c r="R37" s="76">
        <v>3052</v>
      </c>
      <c r="S37" s="75">
        <f>Q37+R37</f>
        <v>30880</v>
      </c>
      <c r="T37" s="97">
        <v>28244</v>
      </c>
      <c r="U37" s="76">
        <v>3345</v>
      </c>
      <c r="V37" s="75">
        <f>U37+T37</f>
        <v>31589</v>
      </c>
      <c r="W37" s="97">
        <v>29706</v>
      </c>
      <c r="X37" s="76">
        <v>3859</v>
      </c>
      <c r="Y37" s="75">
        <f>SUM(W37:X37)</f>
        <v>33565</v>
      </c>
      <c r="Z37" s="97">
        <v>31324</v>
      </c>
      <c r="AA37" s="76">
        <v>3802</v>
      </c>
      <c r="AB37" s="75">
        <f>SUM(Z37:AA37)</f>
        <v>35126</v>
      </c>
      <c r="AC37" s="97">
        <v>33952</v>
      </c>
      <c r="AD37" s="76">
        <v>3833</v>
      </c>
      <c r="AE37" s="75">
        <f>SUM(AC37:AD37)</f>
        <v>37785</v>
      </c>
    </row>
    <row r="38" spans="1:31" ht="15.75" x14ac:dyDescent="0.25">
      <c r="A38" s="66"/>
      <c r="B38" s="65" t="s">
        <v>93</v>
      </c>
      <c r="C38" s="95"/>
      <c r="D38" s="77"/>
      <c r="E38" s="91"/>
      <c r="F38" s="90"/>
      <c r="G38" s="89"/>
      <c r="H38" s="88"/>
      <c r="I38" s="87"/>
      <c r="J38" s="86"/>
      <c r="K38" s="85"/>
      <c r="L38" s="84"/>
      <c r="M38" s="83"/>
      <c r="N38" s="82"/>
      <c r="O38" s="81"/>
      <c r="P38" s="80"/>
      <c r="Q38" s="94"/>
      <c r="R38" s="93"/>
      <c r="S38" s="92"/>
      <c r="T38" s="91"/>
      <c r="U38" s="90"/>
      <c r="V38" s="89"/>
      <c r="W38" s="88"/>
      <c r="X38" s="87"/>
      <c r="Y38" s="86"/>
      <c r="Z38" s="85"/>
      <c r="AA38" s="84"/>
      <c r="AB38" s="83"/>
      <c r="AC38" s="82"/>
      <c r="AD38" s="81"/>
      <c r="AE38" s="80"/>
    </row>
    <row r="39" spans="1:31" ht="15.75" x14ac:dyDescent="0.25">
      <c r="A39" s="66"/>
      <c r="B39" s="96"/>
      <c r="C39" s="95" t="s">
        <v>278</v>
      </c>
      <c r="D39" s="77"/>
      <c r="E39" s="91">
        <v>36402</v>
      </c>
      <c r="F39" s="90">
        <v>1435</v>
      </c>
      <c r="G39" s="89">
        <v>37837</v>
      </c>
      <c r="H39" s="88">
        <v>35320</v>
      </c>
      <c r="I39" s="87">
        <v>1317</v>
      </c>
      <c r="J39" s="86">
        <v>36637</v>
      </c>
      <c r="K39" s="85">
        <v>34349</v>
      </c>
      <c r="L39" s="84">
        <v>1189</v>
      </c>
      <c r="M39" s="83">
        <v>35538</v>
      </c>
      <c r="N39" s="82">
        <v>33755</v>
      </c>
      <c r="O39" s="81">
        <v>1127</v>
      </c>
      <c r="P39" s="80">
        <v>34882</v>
      </c>
      <c r="Q39" s="94">
        <v>33132</v>
      </c>
      <c r="R39" s="93">
        <v>1083</v>
      </c>
      <c r="S39" s="92">
        <f>Q39+R39</f>
        <v>34215</v>
      </c>
      <c r="T39" s="91">
        <v>31296</v>
      </c>
      <c r="U39" s="90">
        <v>1478</v>
      </c>
      <c r="V39" s="89">
        <f>U39+T39</f>
        <v>32774</v>
      </c>
      <c r="W39" s="88">
        <v>29118</v>
      </c>
      <c r="X39" s="87">
        <v>1476</v>
      </c>
      <c r="Y39" s="86">
        <f>SUM(W39:X39)</f>
        <v>30594</v>
      </c>
      <c r="Z39" s="85">
        <v>30024</v>
      </c>
      <c r="AA39" s="84">
        <v>1600</v>
      </c>
      <c r="AB39" s="83">
        <f>SUM(Z39:AA39)</f>
        <v>31624</v>
      </c>
      <c r="AC39" s="82">
        <v>28919</v>
      </c>
      <c r="AD39" s="81">
        <v>2791</v>
      </c>
      <c r="AE39" s="80">
        <f>SUM(AC39:AD39)</f>
        <v>31710</v>
      </c>
    </row>
    <row r="40" spans="1:31" ht="15.75" x14ac:dyDescent="0.25">
      <c r="A40" s="66"/>
      <c r="B40" s="96"/>
      <c r="C40" s="95" t="s">
        <v>277</v>
      </c>
      <c r="D40" s="79"/>
      <c r="E40" s="91">
        <v>2054</v>
      </c>
      <c r="F40" s="90">
        <v>81</v>
      </c>
      <c r="G40" s="89">
        <v>2135</v>
      </c>
      <c r="H40" s="88">
        <v>1634</v>
      </c>
      <c r="I40" s="87">
        <v>73</v>
      </c>
      <c r="J40" s="86">
        <v>1707</v>
      </c>
      <c r="K40" s="85">
        <v>1191</v>
      </c>
      <c r="L40" s="84">
        <v>95</v>
      </c>
      <c r="M40" s="83">
        <v>1286</v>
      </c>
      <c r="N40" s="82">
        <v>836</v>
      </c>
      <c r="O40" s="81">
        <v>121</v>
      </c>
      <c r="P40" s="80">
        <v>957</v>
      </c>
      <c r="Q40" s="94">
        <v>714</v>
      </c>
      <c r="R40" s="93">
        <v>141</v>
      </c>
      <c r="S40" s="92">
        <f>Q40+R40</f>
        <v>855</v>
      </c>
      <c r="T40" s="91">
        <v>448</v>
      </c>
      <c r="U40" s="90">
        <v>229</v>
      </c>
      <c r="V40" s="89">
        <f>U40+T40</f>
        <v>677</v>
      </c>
      <c r="W40" s="88">
        <v>299</v>
      </c>
      <c r="X40" s="87">
        <v>238</v>
      </c>
      <c r="Y40" s="86">
        <f>SUM(W40:X40)</f>
        <v>537</v>
      </c>
      <c r="Z40" s="85">
        <v>305</v>
      </c>
      <c r="AA40" s="84">
        <v>204</v>
      </c>
      <c r="AB40" s="83">
        <f>SUM(Z40:AA40)</f>
        <v>509</v>
      </c>
      <c r="AC40" s="82">
        <v>334</v>
      </c>
      <c r="AD40" s="81">
        <v>233</v>
      </c>
      <c r="AE40" s="80">
        <f>SUM(AC40:AD40)</f>
        <v>567</v>
      </c>
    </row>
    <row r="41" spans="1:31" ht="15.75" x14ac:dyDescent="0.25">
      <c r="A41" s="66"/>
      <c r="B41" s="96"/>
      <c r="C41" s="95" t="s">
        <v>276</v>
      </c>
      <c r="D41" s="79"/>
      <c r="E41" s="91">
        <v>-66</v>
      </c>
      <c r="F41" s="90">
        <v>-3</v>
      </c>
      <c r="G41" s="89">
        <v>-69</v>
      </c>
      <c r="H41" s="88">
        <v>-54</v>
      </c>
      <c r="I41" s="87">
        <v>-2</v>
      </c>
      <c r="J41" s="86">
        <v>-56</v>
      </c>
      <c r="K41" s="85">
        <v>-40</v>
      </c>
      <c r="L41" s="84">
        <v>-2</v>
      </c>
      <c r="M41" s="83">
        <v>-42</v>
      </c>
      <c r="N41" s="82">
        <v>-34</v>
      </c>
      <c r="O41" s="81">
        <v>-1</v>
      </c>
      <c r="P41" s="80">
        <v>-35</v>
      </c>
      <c r="Q41" s="94">
        <v>-24</v>
      </c>
      <c r="R41" s="93">
        <v>-3</v>
      </c>
      <c r="S41" s="92">
        <f>Q41+R41</f>
        <v>-27</v>
      </c>
      <c r="T41" s="91">
        <v>0</v>
      </c>
      <c r="U41" s="90">
        <v>0</v>
      </c>
      <c r="V41" s="89">
        <v>0</v>
      </c>
      <c r="W41" s="88">
        <v>0</v>
      </c>
      <c r="X41" s="87">
        <v>0</v>
      </c>
      <c r="Y41" s="86">
        <f>SUM(W41:X41)</f>
        <v>0</v>
      </c>
      <c r="Z41" s="85">
        <v>0</v>
      </c>
      <c r="AA41" s="84">
        <v>0</v>
      </c>
      <c r="AB41" s="83">
        <v>0</v>
      </c>
      <c r="AC41" s="82">
        <v>0</v>
      </c>
      <c r="AD41" s="81">
        <v>0</v>
      </c>
      <c r="AE41" s="80">
        <f>SUM(AC41:AD41)</f>
        <v>0</v>
      </c>
    </row>
    <row r="42" spans="1:31" ht="15.75" x14ac:dyDescent="0.25">
      <c r="A42" s="66"/>
      <c r="B42" s="79"/>
      <c r="C42" s="78"/>
      <c r="D42" s="77" t="s">
        <v>274</v>
      </c>
      <c r="E42" s="74">
        <f t="shared" ref="E42:X42" si="12">SUM(E39:E41)</f>
        <v>38390</v>
      </c>
      <c r="F42" s="73">
        <f t="shared" si="12"/>
        <v>1513</v>
      </c>
      <c r="G42" s="76">
        <f t="shared" si="12"/>
        <v>39903</v>
      </c>
      <c r="H42" s="74">
        <f t="shared" si="12"/>
        <v>36900</v>
      </c>
      <c r="I42" s="73">
        <f t="shared" si="12"/>
        <v>1388</v>
      </c>
      <c r="J42" s="76">
        <f t="shared" si="12"/>
        <v>38288</v>
      </c>
      <c r="K42" s="74">
        <f t="shared" si="12"/>
        <v>35500</v>
      </c>
      <c r="L42" s="73">
        <f t="shared" si="12"/>
        <v>1282</v>
      </c>
      <c r="M42" s="76">
        <f t="shared" si="12"/>
        <v>36782</v>
      </c>
      <c r="N42" s="74">
        <f t="shared" si="12"/>
        <v>34557</v>
      </c>
      <c r="O42" s="73">
        <f t="shared" si="12"/>
        <v>1247</v>
      </c>
      <c r="P42" s="72">
        <f t="shared" si="12"/>
        <v>35804</v>
      </c>
      <c r="Q42" s="74">
        <f t="shared" si="12"/>
        <v>33822</v>
      </c>
      <c r="R42" s="73">
        <f t="shared" si="12"/>
        <v>1221</v>
      </c>
      <c r="S42" s="72">
        <f t="shared" si="12"/>
        <v>35043</v>
      </c>
      <c r="T42" s="74">
        <f t="shared" si="12"/>
        <v>31744</v>
      </c>
      <c r="U42" s="73">
        <f t="shared" si="12"/>
        <v>1707</v>
      </c>
      <c r="V42" s="76">
        <f t="shared" si="12"/>
        <v>33451</v>
      </c>
      <c r="W42" s="74">
        <f t="shared" si="12"/>
        <v>29417</v>
      </c>
      <c r="X42" s="73">
        <f t="shared" si="12"/>
        <v>1714</v>
      </c>
      <c r="Y42" s="75">
        <f>SUM(W42:X42)</f>
        <v>31131</v>
      </c>
      <c r="Z42" s="74">
        <f t="shared" ref="Z42:AE42" si="13">SUM(Z39:Z41)</f>
        <v>30329</v>
      </c>
      <c r="AA42" s="73">
        <f t="shared" si="13"/>
        <v>1804</v>
      </c>
      <c r="AB42" s="75">
        <f t="shared" si="13"/>
        <v>32133</v>
      </c>
      <c r="AC42" s="74">
        <f t="shared" si="13"/>
        <v>29253</v>
      </c>
      <c r="AD42" s="73">
        <f t="shared" si="13"/>
        <v>3024</v>
      </c>
      <c r="AE42" s="72">
        <f t="shared" si="13"/>
        <v>32277</v>
      </c>
    </row>
    <row r="43" spans="1:31" ht="15.75" x14ac:dyDescent="0.25">
      <c r="A43" s="66"/>
      <c r="B43" s="68" t="s">
        <v>275</v>
      </c>
      <c r="C43" s="71"/>
      <c r="D43" s="70" t="s">
        <v>274</v>
      </c>
      <c r="E43" s="69">
        <f t="shared" ref="E43:AE43" si="14">+E42+E37+E35+E33+E28+E26+E24+E13</f>
        <v>156788</v>
      </c>
      <c r="F43" s="68">
        <f t="shared" si="14"/>
        <v>15810</v>
      </c>
      <c r="G43" s="68">
        <f t="shared" si="14"/>
        <v>172598</v>
      </c>
      <c r="H43" s="69">
        <f t="shared" si="14"/>
        <v>160906</v>
      </c>
      <c r="I43" s="68">
        <f t="shared" si="14"/>
        <v>15910</v>
      </c>
      <c r="J43" s="68">
        <f t="shared" si="14"/>
        <v>176816</v>
      </c>
      <c r="K43" s="69">
        <f t="shared" si="14"/>
        <v>163453</v>
      </c>
      <c r="L43" s="68">
        <f t="shared" si="14"/>
        <v>16512</v>
      </c>
      <c r="M43" s="68">
        <f t="shared" si="14"/>
        <v>179965</v>
      </c>
      <c r="N43" s="69">
        <f t="shared" si="14"/>
        <v>162577</v>
      </c>
      <c r="O43" s="68">
        <f t="shared" si="14"/>
        <v>17294</v>
      </c>
      <c r="P43" s="67">
        <f t="shared" si="14"/>
        <v>179871</v>
      </c>
      <c r="Q43" s="69">
        <f t="shared" si="14"/>
        <v>159787</v>
      </c>
      <c r="R43" s="68">
        <f t="shared" si="14"/>
        <v>17901</v>
      </c>
      <c r="S43" s="67">
        <f t="shared" si="14"/>
        <v>177688</v>
      </c>
      <c r="T43" s="69">
        <f t="shared" si="14"/>
        <v>152712</v>
      </c>
      <c r="U43" s="68">
        <f t="shared" si="14"/>
        <v>21298</v>
      </c>
      <c r="V43" s="68">
        <f t="shared" si="14"/>
        <v>174010</v>
      </c>
      <c r="W43" s="69">
        <f t="shared" si="14"/>
        <v>152551</v>
      </c>
      <c r="X43" s="68">
        <f t="shared" si="14"/>
        <v>22587</v>
      </c>
      <c r="Y43" s="67">
        <f t="shared" si="14"/>
        <v>175138</v>
      </c>
      <c r="Z43" s="69">
        <f t="shared" si="14"/>
        <v>156145</v>
      </c>
      <c r="AA43" s="68">
        <f t="shared" si="14"/>
        <v>23790</v>
      </c>
      <c r="AB43" s="67">
        <f t="shared" si="14"/>
        <v>179935</v>
      </c>
      <c r="AC43" s="69">
        <f t="shared" si="14"/>
        <v>161115</v>
      </c>
      <c r="AD43" s="68">
        <f t="shared" si="14"/>
        <v>25046</v>
      </c>
      <c r="AE43" s="67">
        <f t="shared" si="14"/>
        <v>186161</v>
      </c>
    </row>
    <row r="44" spans="1:31" ht="15.75" x14ac:dyDescent="0.25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</row>
    <row r="45" spans="1:31" x14ac:dyDescent="0.2">
      <c r="E45" s="60" t="s">
        <v>273</v>
      </c>
      <c r="F45" s="60" t="s">
        <v>273</v>
      </c>
      <c r="G45" s="60" t="s">
        <v>273</v>
      </c>
      <c r="H45" s="60" t="s">
        <v>273</v>
      </c>
      <c r="I45" s="60" t="s">
        <v>273</v>
      </c>
      <c r="J45" s="60" t="s">
        <v>273</v>
      </c>
      <c r="K45" s="60" t="s">
        <v>273</v>
      </c>
      <c r="L45" s="60" t="s">
        <v>273</v>
      </c>
      <c r="M45" s="60" t="s">
        <v>273</v>
      </c>
      <c r="N45" s="60" t="s">
        <v>272</v>
      </c>
      <c r="O45" s="60" t="s">
        <v>272</v>
      </c>
      <c r="P45" s="60" t="s">
        <v>272</v>
      </c>
      <c r="Q45" s="60" t="s">
        <v>272</v>
      </c>
      <c r="R45" s="60" t="s">
        <v>272</v>
      </c>
      <c r="S45" s="60" t="s">
        <v>272</v>
      </c>
      <c r="T45" s="60" t="s">
        <v>272</v>
      </c>
      <c r="U45" s="60" t="s">
        <v>272</v>
      </c>
      <c r="V45" s="60" t="s">
        <v>272</v>
      </c>
    </row>
    <row r="46" spans="1:31" x14ac:dyDescent="0.2">
      <c r="E46" s="60">
        <v>2009</v>
      </c>
      <c r="F46" s="60">
        <v>2010</v>
      </c>
      <c r="G46" s="60">
        <v>2011</v>
      </c>
      <c r="H46" s="60">
        <v>2012</v>
      </c>
      <c r="I46" s="60">
        <v>2013</v>
      </c>
      <c r="J46" s="60">
        <v>2014</v>
      </c>
      <c r="K46" s="60">
        <v>2015</v>
      </c>
      <c r="L46" s="60">
        <v>2016</v>
      </c>
      <c r="M46" s="60">
        <v>2017</v>
      </c>
      <c r="N46" s="60">
        <v>2018</v>
      </c>
      <c r="O46" s="60">
        <v>2019</v>
      </c>
      <c r="P46" s="60">
        <v>2020</v>
      </c>
      <c r="Q46" s="60">
        <v>2021</v>
      </c>
      <c r="R46" s="60">
        <v>2022</v>
      </c>
      <c r="S46" s="60">
        <v>2023</v>
      </c>
      <c r="T46" s="60">
        <v>2024</v>
      </c>
      <c r="U46" s="60">
        <v>2025</v>
      </c>
      <c r="V46" s="60">
        <v>2026</v>
      </c>
      <c r="W46" s="60">
        <v>2027</v>
      </c>
    </row>
    <row r="47" spans="1:31" ht="15.75" x14ac:dyDescent="0.25">
      <c r="D47" s="65" t="s">
        <v>85</v>
      </c>
      <c r="E47" s="64">
        <v>30110</v>
      </c>
      <c r="F47" s="64">
        <v>31643</v>
      </c>
      <c r="G47" s="64">
        <v>32722</v>
      </c>
      <c r="H47" s="64">
        <v>33291</v>
      </c>
      <c r="I47" s="64">
        <v>36226</v>
      </c>
      <c r="J47" s="64">
        <v>32003</v>
      </c>
      <c r="K47" s="64">
        <v>32155</v>
      </c>
      <c r="L47" s="64">
        <v>32451</v>
      </c>
      <c r="M47" s="64">
        <v>33153</v>
      </c>
      <c r="N47" s="64">
        <f t="shared" ref="N47:V54" si="15">I57</f>
        <v>34247</v>
      </c>
      <c r="O47" s="64">
        <f t="shared" si="15"/>
        <v>35246</v>
      </c>
      <c r="P47" s="64">
        <f t="shared" si="15"/>
        <v>36078</v>
      </c>
      <c r="Q47" s="64">
        <f t="shared" si="15"/>
        <v>36459</v>
      </c>
      <c r="R47" s="64">
        <f t="shared" si="15"/>
        <v>36749</v>
      </c>
      <c r="S47" s="64">
        <f t="shared" si="15"/>
        <v>37058</v>
      </c>
      <c r="T47" s="64">
        <f t="shared" si="15"/>
        <v>37512</v>
      </c>
      <c r="U47" s="64">
        <f t="shared" si="15"/>
        <v>38075</v>
      </c>
      <c r="V47" s="64">
        <f t="shared" si="15"/>
        <v>38635</v>
      </c>
    </row>
    <row r="48" spans="1:31" ht="15.75" x14ac:dyDescent="0.25">
      <c r="D48" s="65" t="s">
        <v>87</v>
      </c>
      <c r="E48" s="64">
        <v>28690</v>
      </c>
      <c r="F48" s="64">
        <v>29561</v>
      </c>
      <c r="G48" s="64">
        <v>29908</v>
      </c>
      <c r="H48" s="64">
        <v>29694</v>
      </c>
      <c r="I48" s="64">
        <v>28698</v>
      </c>
      <c r="J48" s="64">
        <v>28707</v>
      </c>
      <c r="K48" s="64">
        <v>29319</v>
      </c>
      <c r="L48" s="64">
        <v>28986</v>
      </c>
      <c r="M48" s="64">
        <v>29026</v>
      </c>
      <c r="N48" s="64">
        <f t="shared" si="15"/>
        <v>29565.72</v>
      </c>
      <c r="O48" s="64">
        <f t="shared" si="15"/>
        <v>30157.0344</v>
      </c>
      <c r="P48" s="64">
        <f t="shared" si="15"/>
        <v>30760.175088</v>
      </c>
      <c r="Q48" s="64">
        <f t="shared" si="15"/>
        <v>31375.378589759999</v>
      </c>
      <c r="R48" s="64">
        <f t="shared" si="15"/>
        <v>32002.886161555201</v>
      </c>
      <c r="S48" s="64">
        <f t="shared" si="15"/>
        <v>32642.943884786306</v>
      </c>
      <c r="T48" s="64">
        <f t="shared" si="15"/>
        <v>33295.802762482032</v>
      </c>
      <c r="U48" s="64">
        <f t="shared" si="15"/>
        <v>33961.718817731671</v>
      </c>
      <c r="V48" s="64">
        <f t="shared" si="15"/>
        <v>34640.953194086302</v>
      </c>
    </row>
    <row r="49" spans="4:22" ht="15.75" x14ac:dyDescent="0.25">
      <c r="D49" s="65" t="s">
        <v>88</v>
      </c>
      <c r="E49" s="64">
        <v>23777</v>
      </c>
      <c r="F49" s="64">
        <v>24496</v>
      </c>
      <c r="G49" s="64">
        <v>26256</v>
      </c>
      <c r="H49" s="64">
        <v>27381</v>
      </c>
      <c r="I49" s="64">
        <v>25886</v>
      </c>
      <c r="J49" s="64">
        <v>26913</v>
      </c>
      <c r="K49" s="64">
        <v>26252</v>
      </c>
      <c r="L49" s="64">
        <v>27236</v>
      </c>
      <c r="M49" s="64">
        <v>28379</v>
      </c>
      <c r="N49" s="64">
        <f t="shared" si="15"/>
        <v>30729.891041330084</v>
      </c>
      <c r="O49" s="64">
        <f t="shared" si="15"/>
        <v>32122.760957685678</v>
      </c>
      <c r="P49" s="64">
        <f t="shared" si="15"/>
        <v>33505.481251740115</v>
      </c>
      <c r="Q49" s="64">
        <f t="shared" si="15"/>
        <v>34851.913815525972</v>
      </c>
      <c r="R49" s="64">
        <f t="shared" si="15"/>
        <v>36148.882122054325</v>
      </c>
      <c r="S49" s="64">
        <f t="shared" si="15"/>
        <v>37392.939473318133</v>
      </c>
      <c r="T49" s="64">
        <f t="shared" si="15"/>
        <v>38587.24209903233</v>
      </c>
      <c r="U49" s="64">
        <f t="shared" si="15"/>
        <v>39738.684411120659</v>
      </c>
      <c r="V49" s="64">
        <f t="shared" si="15"/>
        <v>40752.948684234725</v>
      </c>
    </row>
    <row r="50" spans="4:22" ht="15.75" x14ac:dyDescent="0.25">
      <c r="D50" s="65" t="s">
        <v>89</v>
      </c>
      <c r="E50" s="64">
        <v>8427</v>
      </c>
      <c r="F50" s="64">
        <v>8329</v>
      </c>
      <c r="G50" s="64">
        <v>8264</v>
      </c>
      <c r="H50" s="64">
        <v>8706</v>
      </c>
      <c r="I50" s="64">
        <v>8227</v>
      </c>
      <c r="J50" s="64">
        <v>8200</v>
      </c>
      <c r="K50" s="64">
        <v>9145</v>
      </c>
      <c r="L50" s="64">
        <v>9598</v>
      </c>
      <c r="M50" s="64">
        <v>10245</v>
      </c>
      <c r="N50" s="64">
        <f t="shared" si="15"/>
        <v>10222.100352000001</v>
      </c>
      <c r="O50" s="64">
        <f t="shared" si="15"/>
        <v>10549.207563264001</v>
      </c>
      <c r="P50" s="64">
        <f t="shared" si="15"/>
        <v>10886.782205288449</v>
      </c>
      <c r="Q50" s="64">
        <f t="shared" si="15"/>
        <v>11235.15923585768</v>
      </c>
      <c r="R50" s="64">
        <f t="shared" si="15"/>
        <v>11538.508535225836</v>
      </c>
      <c r="S50" s="64">
        <f t="shared" si="15"/>
        <v>11850.048265676933</v>
      </c>
      <c r="T50" s="64">
        <f t="shared" si="15"/>
        <v>12181.849617115888</v>
      </c>
      <c r="U50" s="64">
        <f t="shared" si="15"/>
        <v>12522.941406395134</v>
      </c>
      <c r="V50" s="64">
        <f t="shared" si="15"/>
        <v>12873.583765774198</v>
      </c>
    </row>
    <row r="51" spans="4:22" ht="15.75" x14ac:dyDescent="0.25">
      <c r="D51" s="65" t="s">
        <v>90</v>
      </c>
      <c r="E51" s="64">
        <v>4394</v>
      </c>
      <c r="F51" s="64">
        <v>4411</v>
      </c>
      <c r="G51" s="64">
        <v>4459</v>
      </c>
      <c r="H51" s="64">
        <v>4598</v>
      </c>
      <c r="I51" s="64">
        <v>4581</v>
      </c>
      <c r="J51" s="64">
        <v>4805</v>
      </c>
      <c r="K51" s="64">
        <v>5107</v>
      </c>
      <c r="L51" s="64">
        <v>5414</v>
      </c>
      <c r="M51" s="64">
        <v>5589</v>
      </c>
      <c r="N51" s="64">
        <f t="shared" si="15"/>
        <v>5819</v>
      </c>
      <c r="O51" s="64">
        <f t="shared" si="15"/>
        <v>6063</v>
      </c>
      <c r="P51" s="64">
        <f t="shared" si="15"/>
        <v>6340</v>
      </c>
      <c r="Q51" s="64">
        <f t="shared" si="15"/>
        <v>6652</v>
      </c>
      <c r="R51" s="64">
        <f t="shared" si="15"/>
        <v>7004</v>
      </c>
      <c r="S51" s="64">
        <f t="shared" si="15"/>
        <v>7402</v>
      </c>
      <c r="T51" s="64">
        <f t="shared" si="15"/>
        <v>7849</v>
      </c>
      <c r="U51" s="64">
        <f t="shared" si="15"/>
        <v>8351</v>
      </c>
      <c r="V51" s="64">
        <f t="shared" si="15"/>
        <v>8917</v>
      </c>
    </row>
    <row r="52" spans="4:22" ht="15.75" x14ac:dyDescent="0.25">
      <c r="D52" s="65" t="s">
        <v>266</v>
      </c>
      <c r="E52" s="64">
        <v>8252</v>
      </c>
      <c r="F52" s="64">
        <v>8349</v>
      </c>
      <c r="G52" s="64">
        <v>8840</v>
      </c>
      <c r="H52" s="64">
        <v>8587</v>
      </c>
      <c r="I52" s="64">
        <v>8147</v>
      </c>
      <c r="J52" s="64">
        <v>8342</v>
      </c>
      <c r="K52" s="64">
        <v>8464</v>
      </c>
      <c r="L52" s="64">
        <v>8991</v>
      </c>
      <c r="M52" s="64">
        <v>9707</v>
      </c>
      <c r="N52" s="64">
        <f t="shared" si="15"/>
        <v>10665</v>
      </c>
      <c r="O52" s="64">
        <f t="shared" si="15"/>
        <v>11541</v>
      </c>
      <c r="P52" s="64">
        <f t="shared" si="15"/>
        <v>12530</v>
      </c>
      <c r="Q52" s="64">
        <f t="shared" si="15"/>
        <v>13229</v>
      </c>
      <c r="R52" s="64">
        <f t="shared" si="15"/>
        <v>13911</v>
      </c>
      <c r="S52" s="64">
        <f t="shared" si="15"/>
        <v>14629</v>
      </c>
      <c r="T52" s="64">
        <f t="shared" si="15"/>
        <v>15433</v>
      </c>
      <c r="U52" s="64">
        <f t="shared" si="15"/>
        <v>16246</v>
      </c>
      <c r="V52" s="64">
        <f t="shared" si="15"/>
        <v>17078</v>
      </c>
    </row>
    <row r="53" spans="4:22" ht="15.75" x14ac:dyDescent="0.25">
      <c r="D53" s="65" t="s">
        <v>92</v>
      </c>
      <c r="E53" s="64">
        <v>29045</v>
      </c>
      <c r="F53" s="64">
        <v>31739</v>
      </c>
      <c r="G53" s="64">
        <v>32734</v>
      </c>
      <c r="H53" s="64">
        <v>31810</v>
      </c>
      <c r="I53" s="64">
        <v>30880</v>
      </c>
      <c r="J53" s="64">
        <v>31589</v>
      </c>
      <c r="K53" s="64">
        <v>33565</v>
      </c>
      <c r="L53" s="64">
        <v>35126</v>
      </c>
      <c r="M53" s="64">
        <v>37785</v>
      </c>
      <c r="N53" s="64">
        <f t="shared" si="15"/>
        <v>37742.193392000001</v>
      </c>
      <c r="O53" s="64">
        <f t="shared" si="15"/>
        <v>39140.642820720001</v>
      </c>
      <c r="P53" s="64">
        <f t="shared" si="15"/>
        <v>40594.186209744134</v>
      </c>
      <c r="Q53" s="64">
        <f t="shared" si="15"/>
        <v>41879.820987142404</v>
      </c>
      <c r="R53" s="64">
        <f t="shared" si="15"/>
        <v>43347.166639471514</v>
      </c>
      <c r="S53" s="64">
        <f t="shared" si="15"/>
        <v>44869.775515979272</v>
      </c>
      <c r="T53" s="64">
        <f t="shared" si="15"/>
        <v>46450.837374546551</v>
      </c>
      <c r="U53" s="64">
        <f t="shared" si="15"/>
        <v>48091.631906653551</v>
      </c>
      <c r="V53" s="64">
        <f t="shared" si="15"/>
        <v>49795</v>
      </c>
    </row>
    <row r="54" spans="4:22" ht="15.75" x14ac:dyDescent="0.25">
      <c r="D54" s="65" t="s">
        <v>93</v>
      </c>
      <c r="E54" s="64">
        <v>39903</v>
      </c>
      <c r="F54" s="64">
        <v>38288</v>
      </c>
      <c r="G54" s="64">
        <v>36782</v>
      </c>
      <c r="H54" s="64">
        <v>35804</v>
      </c>
      <c r="I54" s="64">
        <v>35043</v>
      </c>
      <c r="J54" s="64">
        <v>33451</v>
      </c>
      <c r="K54" s="64">
        <v>31131</v>
      </c>
      <c r="L54" s="64">
        <v>32133</v>
      </c>
      <c r="M54" s="64">
        <v>32277</v>
      </c>
      <c r="N54" s="64">
        <f t="shared" si="15"/>
        <v>32985</v>
      </c>
      <c r="O54" s="64">
        <f t="shared" si="15"/>
        <v>33658</v>
      </c>
      <c r="P54" s="64">
        <f t="shared" si="15"/>
        <v>34348</v>
      </c>
      <c r="Q54" s="64">
        <f t="shared" si="15"/>
        <v>35052</v>
      </c>
      <c r="R54" s="64">
        <f t="shared" si="15"/>
        <v>35760</v>
      </c>
      <c r="S54" s="64">
        <f t="shared" si="15"/>
        <v>36468</v>
      </c>
      <c r="T54" s="64">
        <f t="shared" si="15"/>
        <v>37168</v>
      </c>
      <c r="U54" s="64">
        <f t="shared" si="15"/>
        <v>37869</v>
      </c>
      <c r="V54" s="64">
        <f t="shared" si="15"/>
        <v>38563</v>
      </c>
    </row>
    <row r="56" spans="4:22" x14ac:dyDescent="0.2">
      <c r="D56" s="60" t="s">
        <v>83</v>
      </c>
      <c r="E56" s="60" t="s">
        <v>271</v>
      </c>
      <c r="F56" s="60" t="s">
        <v>270</v>
      </c>
      <c r="G56" s="60" t="s">
        <v>269</v>
      </c>
      <c r="H56" s="60" t="s">
        <v>268</v>
      </c>
      <c r="I56" s="60">
        <v>2018</v>
      </c>
      <c r="J56" s="60">
        <v>2019</v>
      </c>
      <c r="K56" s="60">
        <v>2020</v>
      </c>
      <c r="L56" s="60">
        <v>2021</v>
      </c>
      <c r="M56" s="60">
        <v>2022</v>
      </c>
      <c r="N56" s="60">
        <v>2023</v>
      </c>
      <c r="O56" s="60">
        <v>2024</v>
      </c>
      <c r="P56" s="60">
        <v>2025</v>
      </c>
      <c r="Q56" s="60">
        <v>2026</v>
      </c>
    </row>
    <row r="57" spans="4:22" ht="15" x14ac:dyDescent="0.25">
      <c r="D57" s="60" t="s">
        <v>85</v>
      </c>
      <c r="E57" s="64">
        <v>32003</v>
      </c>
      <c r="F57" s="64">
        <v>32155</v>
      </c>
      <c r="G57" s="64">
        <v>32451</v>
      </c>
      <c r="H57" s="64">
        <v>33153</v>
      </c>
      <c r="I57" s="64">
        <v>34247</v>
      </c>
      <c r="J57" s="64">
        <v>35246</v>
      </c>
      <c r="K57" s="64">
        <v>36078</v>
      </c>
      <c r="L57" s="64">
        <v>36459</v>
      </c>
      <c r="M57" s="64">
        <v>36749</v>
      </c>
      <c r="N57" s="64">
        <v>37058</v>
      </c>
      <c r="O57" s="64">
        <v>37512</v>
      </c>
      <c r="P57" s="64">
        <v>38075</v>
      </c>
      <c r="Q57" s="64">
        <v>38635</v>
      </c>
    </row>
    <row r="58" spans="4:22" ht="15" x14ac:dyDescent="0.25">
      <c r="D58" s="60" t="s">
        <v>267</v>
      </c>
      <c r="E58" s="64">
        <v>28707</v>
      </c>
      <c r="F58" s="64">
        <v>29319</v>
      </c>
      <c r="G58" s="64">
        <v>28986</v>
      </c>
      <c r="H58" s="64">
        <v>29026</v>
      </c>
      <c r="I58" s="64">
        <v>29565.72</v>
      </c>
      <c r="J58" s="64">
        <v>30157.0344</v>
      </c>
      <c r="K58" s="64">
        <v>30760.175088</v>
      </c>
      <c r="L58" s="64">
        <v>31375.378589759999</v>
      </c>
      <c r="M58" s="64">
        <v>32002.886161555201</v>
      </c>
      <c r="N58" s="64">
        <v>32642.943884786306</v>
      </c>
      <c r="O58" s="64">
        <v>33295.802762482032</v>
      </c>
      <c r="P58" s="64">
        <v>33961.718817731671</v>
      </c>
      <c r="Q58" s="64">
        <v>34640.953194086302</v>
      </c>
    </row>
    <row r="59" spans="4:22" ht="15" x14ac:dyDescent="0.25">
      <c r="D59" s="60" t="s">
        <v>88</v>
      </c>
      <c r="E59" s="64">
        <v>26913</v>
      </c>
      <c r="F59" s="64">
        <v>26252</v>
      </c>
      <c r="G59" s="64">
        <v>27236</v>
      </c>
      <c r="H59" s="64">
        <v>28379</v>
      </c>
      <c r="I59" s="64">
        <v>30729.891041330084</v>
      </c>
      <c r="J59" s="64">
        <v>32122.760957685678</v>
      </c>
      <c r="K59" s="64">
        <v>33505.481251740115</v>
      </c>
      <c r="L59" s="64">
        <v>34851.913815525972</v>
      </c>
      <c r="M59" s="64">
        <v>36148.882122054325</v>
      </c>
      <c r="N59" s="64">
        <v>37392.939473318133</v>
      </c>
      <c r="O59" s="64">
        <v>38587.24209903233</v>
      </c>
      <c r="P59" s="64">
        <v>39738.684411120659</v>
      </c>
      <c r="Q59" s="64">
        <v>40752.948684234725</v>
      </c>
    </row>
    <row r="60" spans="4:22" ht="15" x14ac:dyDescent="0.25">
      <c r="D60" s="60" t="s">
        <v>89</v>
      </c>
      <c r="E60" s="64">
        <v>8200</v>
      </c>
      <c r="F60" s="64">
        <v>9145</v>
      </c>
      <c r="G60" s="64">
        <v>9598</v>
      </c>
      <c r="H60" s="64">
        <v>10245</v>
      </c>
      <c r="I60" s="64">
        <v>10222.100352000001</v>
      </c>
      <c r="J60" s="64">
        <v>10549.207563264001</v>
      </c>
      <c r="K60" s="64">
        <v>10886.782205288449</v>
      </c>
      <c r="L60" s="64">
        <v>11235.15923585768</v>
      </c>
      <c r="M60" s="64">
        <v>11538.508535225836</v>
      </c>
      <c r="N60" s="64">
        <v>11850.048265676933</v>
      </c>
      <c r="O60" s="64">
        <v>12181.849617115888</v>
      </c>
      <c r="P60" s="64">
        <v>12522.941406395134</v>
      </c>
      <c r="Q60" s="64">
        <v>12873.583765774198</v>
      </c>
    </row>
    <row r="61" spans="4:22" ht="15" x14ac:dyDescent="0.25">
      <c r="D61" s="60" t="s">
        <v>90</v>
      </c>
      <c r="E61" s="64">
        <v>4805</v>
      </c>
      <c r="F61" s="64">
        <v>5107</v>
      </c>
      <c r="G61" s="64">
        <v>5414</v>
      </c>
      <c r="H61" s="64">
        <v>5589</v>
      </c>
      <c r="I61" s="64">
        <v>5819</v>
      </c>
      <c r="J61" s="64">
        <v>6063</v>
      </c>
      <c r="K61" s="64">
        <v>6340</v>
      </c>
      <c r="L61" s="64">
        <v>6652</v>
      </c>
      <c r="M61" s="64">
        <v>7004</v>
      </c>
      <c r="N61" s="64">
        <v>7402</v>
      </c>
      <c r="O61" s="64">
        <v>7849</v>
      </c>
      <c r="P61" s="64">
        <v>8351</v>
      </c>
      <c r="Q61" s="64">
        <v>8917</v>
      </c>
    </row>
    <row r="62" spans="4:22" ht="15" x14ac:dyDescent="0.25">
      <c r="D62" s="60" t="s">
        <v>266</v>
      </c>
      <c r="E62" s="64">
        <v>8342</v>
      </c>
      <c r="F62" s="64">
        <v>8464</v>
      </c>
      <c r="G62" s="64">
        <v>8991</v>
      </c>
      <c r="H62" s="64">
        <v>9707</v>
      </c>
      <c r="I62" s="64">
        <v>10665</v>
      </c>
      <c r="J62" s="64">
        <v>11541</v>
      </c>
      <c r="K62" s="64">
        <v>12530</v>
      </c>
      <c r="L62" s="64">
        <v>13229</v>
      </c>
      <c r="M62" s="64">
        <v>13911</v>
      </c>
      <c r="N62" s="64">
        <v>14629</v>
      </c>
      <c r="O62" s="64">
        <v>15433</v>
      </c>
      <c r="P62" s="64">
        <v>16246</v>
      </c>
      <c r="Q62" s="64">
        <v>17078</v>
      </c>
    </row>
    <row r="63" spans="4:22" ht="15" x14ac:dyDescent="0.25">
      <c r="D63" s="60" t="s">
        <v>92</v>
      </c>
      <c r="E63" s="64">
        <v>31589</v>
      </c>
      <c r="F63" s="64">
        <v>33565</v>
      </c>
      <c r="G63" s="64">
        <v>35126</v>
      </c>
      <c r="H63" s="64">
        <v>37785</v>
      </c>
      <c r="I63" s="64">
        <v>37742.193392000001</v>
      </c>
      <c r="J63" s="64">
        <v>39140.642820720001</v>
      </c>
      <c r="K63" s="64">
        <v>40594.186209744134</v>
      </c>
      <c r="L63" s="64">
        <v>41879.820987142404</v>
      </c>
      <c r="M63" s="64">
        <v>43347.166639471514</v>
      </c>
      <c r="N63" s="64">
        <v>44869.775515979272</v>
      </c>
      <c r="O63" s="64">
        <v>46450.837374546551</v>
      </c>
      <c r="P63" s="64">
        <v>48091.631906653551</v>
      </c>
      <c r="Q63" s="64">
        <v>49795</v>
      </c>
    </row>
    <row r="64" spans="4:22" ht="15" x14ac:dyDescent="0.25">
      <c r="D64" s="60" t="s">
        <v>93</v>
      </c>
      <c r="E64" s="64">
        <v>33451</v>
      </c>
      <c r="F64" s="64">
        <v>31131</v>
      </c>
      <c r="G64" s="64">
        <v>32133</v>
      </c>
      <c r="H64" s="64">
        <v>32277</v>
      </c>
      <c r="I64" s="64">
        <v>32985</v>
      </c>
      <c r="J64" s="64">
        <v>33658</v>
      </c>
      <c r="K64" s="64">
        <v>34348</v>
      </c>
      <c r="L64" s="64">
        <v>35052</v>
      </c>
      <c r="M64" s="64">
        <v>35760</v>
      </c>
      <c r="N64" s="64">
        <v>36468</v>
      </c>
      <c r="O64" s="64">
        <v>37168</v>
      </c>
      <c r="P64" s="64">
        <v>37869</v>
      </c>
      <c r="Q64" s="64">
        <v>38563</v>
      </c>
    </row>
    <row r="66" spans="4:4" ht="13.5" thickBot="1" x14ac:dyDescent="0.25">
      <c r="D66" s="63"/>
    </row>
    <row r="67" spans="4:4" x14ac:dyDescent="0.2">
      <c r="D67" s="62"/>
    </row>
    <row r="68" spans="4:4" x14ac:dyDescent="0.2">
      <c r="D68" s="61"/>
    </row>
    <row r="69" spans="4:4" x14ac:dyDescent="0.2">
      <c r="D69" s="61"/>
    </row>
  </sheetData>
  <mergeCells count="11">
    <mergeCell ref="AC3:AE3"/>
    <mergeCell ref="B1:D1"/>
    <mergeCell ref="E2:AE2"/>
    <mergeCell ref="E3:G3"/>
    <mergeCell ref="H3:J3"/>
    <mergeCell ref="K3:M3"/>
    <mergeCell ref="N3:P3"/>
    <mergeCell ref="Q3:S3"/>
    <mergeCell ref="T3:V3"/>
    <mergeCell ref="W3:Y3"/>
    <mergeCell ref="Z3:AB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P64"/>
  <sheetViews>
    <sheetView workbookViewId="0">
      <selection activeCell="O9" sqref="O9:O10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8" bestFit="1" customWidth="1"/>
    <col min="4" max="4" width="11" bestFit="1" customWidth="1"/>
    <col min="5" max="5" width="10.5703125" bestFit="1" customWidth="1"/>
    <col min="6" max="6" width="8" bestFit="1" customWidth="1"/>
    <col min="7" max="7" width="13.7109375" bestFit="1" customWidth="1"/>
    <col min="8" max="8" width="14" bestFit="1" customWidth="1"/>
    <col min="9" max="9" width="8.85546875" bestFit="1" customWidth="1"/>
    <col min="11" max="11" width="23.140625" customWidth="1"/>
    <col min="12" max="12" width="13.7109375" customWidth="1"/>
    <col min="13" max="13" width="12.5703125" bestFit="1" customWidth="1"/>
    <col min="14" max="14" width="14.140625" bestFit="1" customWidth="1"/>
    <col min="15" max="15" width="9.5703125" customWidth="1"/>
  </cols>
  <sheetData>
    <row r="1" spans="1:16" s="2" customFormat="1" x14ac:dyDescent="0.25">
      <c r="A1" s="38" t="s">
        <v>152</v>
      </c>
      <c r="B1" s="39" t="s">
        <v>153</v>
      </c>
      <c r="C1" s="39" t="s">
        <v>1</v>
      </c>
      <c r="D1" s="39" t="s">
        <v>11</v>
      </c>
      <c r="E1" s="39" t="s">
        <v>154</v>
      </c>
      <c r="F1" s="39" t="s">
        <v>12</v>
      </c>
      <c r="G1" s="39" t="s">
        <v>214</v>
      </c>
      <c r="H1" s="39" t="s">
        <v>155</v>
      </c>
      <c r="I1" s="39" t="s">
        <v>163</v>
      </c>
    </row>
    <row r="2" spans="1:16" s="2" customFormat="1" x14ac:dyDescent="0.25">
      <c r="A2" s="40">
        <v>2012</v>
      </c>
      <c r="B2" s="39">
        <v>32388</v>
      </c>
      <c r="C2" s="39">
        <v>26532</v>
      </c>
      <c r="D2" s="39">
        <v>34085</v>
      </c>
      <c r="E2" s="39">
        <v>36871</v>
      </c>
      <c r="F2" s="39">
        <v>33336</v>
      </c>
      <c r="G2" s="39">
        <v>2200</v>
      </c>
      <c r="H2" s="39">
        <v>3183</v>
      </c>
      <c r="I2" s="39">
        <v>1500</v>
      </c>
      <c r="K2" s="2" t="s">
        <v>176</v>
      </c>
      <c r="L2" s="2" t="s">
        <v>169</v>
      </c>
    </row>
    <row r="3" spans="1:16" s="2" customFormat="1" x14ac:dyDescent="0.25">
      <c r="A3" s="38" t="s">
        <v>159</v>
      </c>
      <c r="B3" s="39">
        <f>U!B53</f>
        <v>37574</v>
      </c>
      <c r="C3" s="39">
        <f>WSU!C134</f>
        <v>37626.813999999998</v>
      </c>
      <c r="D3" s="39">
        <f>UVU!B35</f>
        <v>47870.5</v>
      </c>
      <c r="E3" s="39">
        <f>slcc!B35</f>
        <v>40541</v>
      </c>
      <c r="F3" s="39"/>
      <c r="G3" s="39"/>
      <c r="H3" s="39"/>
      <c r="I3" s="39"/>
      <c r="M3" s="2" t="s">
        <v>170</v>
      </c>
      <c r="N3" s="2" t="s">
        <v>171</v>
      </c>
      <c r="O3" s="2" t="s">
        <v>172</v>
      </c>
    </row>
    <row r="4" spans="1:16" x14ac:dyDescent="0.25">
      <c r="A4" s="38" t="s">
        <v>160</v>
      </c>
      <c r="B4" s="39"/>
      <c r="C4" s="39">
        <v>40000</v>
      </c>
      <c r="D4" s="39"/>
      <c r="E4" s="39">
        <v>65401</v>
      </c>
      <c r="F4" s="39"/>
      <c r="G4" s="39">
        <f>LDSBC!B31</f>
        <v>5221.0526315789475</v>
      </c>
      <c r="H4" s="39">
        <f>Westminstor!B54</f>
        <v>3425</v>
      </c>
      <c r="I4" s="39">
        <v>2000</v>
      </c>
      <c r="L4" t="s">
        <v>173</v>
      </c>
      <c r="M4">
        <v>0.79</v>
      </c>
    </row>
    <row r="5" spans="1:16" x14ac:dyDescent="0.25">
      <c r="A5" s="38" t="s">
        <v>156</v>
      </c>
      <c r="B5" s="39">
        <v>45861</v>
      </c>
      <c r="C5" s="39">
        <v>42149</v>
      </c>
      <c r="D5" s="39">
        <v>65447</v>
      </c>
      <c r="E5" s="39">
        <v>43756</v>
      </c>
      <c r="F5" s="39"/>
      <c r="G5" s="39"/>
      <c r="H5" s="39"/>
      <c r="I5" s="39"/>
      <c r="L5" t="s">
        <v>174</v>
      </c>
      <c r="M5">
        <v>0.18</v>
      </c>
    </row>
    <row r="6" spans="1:16" x14ac:dyDescent="0.25">
      <c r="A6" s="38" t="s">
        <v>157</v>
      </c>
      <c r="B6" s="39">
        <f>U!C72</f>
        <v>40397.568385554594</v>
      </c>
      <c r="C6" s="39">
        <f>WSU!C153</f>
        <v>51185.462001994252</v>
      </c>
      <c r="D6" s="39">
        <f>UVU!B55</f>
        <v>70184.333912047092</v>
      </c>
      <c r="E6" s="39">
        <f>slcc!B54</f>
        <v>60457.988388082711</v>
      </c>
      <c r="F6" s="39">
        <f>BYU!H96</f>
        <v>40456.556443047244</v>
      </c>
      <c r="G6" s="39"/>
      <c r="H6" s="39"/>
      <c r="I6" s="39"/>
      <c r="L6" t="s">
        <v>175</v>
      </c>
      <c r="M6">
        <v>0.03</v>
      </c>
    </row>
    <row r="7" spans="1:16" s="2" customFormat="1" x14ac:dyDescent="0.25">
      <c r="A7" s="38" t="s">
        <v>158</v>
      </c>
      <c r="B7" s="39">
        <v>52299</v>
      </c>
      <c r="C7" s="39">
        <v>29046</v>
      </c>
      <c r="D7" s="39">
        <v>40093</v>
      </c>
      <c r="E7" s="39">
        <v>40483</v>
      </c>
      <c r="F7" s="39">
        <v>34904</v>
      </c>
      <c r="G7" s="39">
        <v>3010</v>
      </c>
      <c r="H7" s="39">
        <v>4167</v>
      </c>
      <c r="I7" s="39"/>
    </row>
    <row r="8" spans="1:16" x14ac:dyDescent="0.25">
      <c r="A8" s="38" t="s">
        <v>161</v>
      </c>
      <c r="B8" s="41">
        <v>42000</v>
      </c>
      <c r="C8" s="42">
        <v>43000</v>
      </c>
      <c r="D8" s="41">
        <v>67000</v>
      </c>
      <c r="E8" s="42">
        <f t="shared" ref="E8" si="0">E4</f>
        <v>65401</v>
      </c>
      <c r="F8" s="41">
        <v>34000</v>
      </c>
      <c r="G8" s="39">
        <v>6300</v>
      </c>
      <c r="H8" s="39">
        <v>3500</v>
      </c>
      <c r="I8" s="39">
        <f>I4</f>
        <v>2000</v>
      </c>
      <c r="L8" s="31" t="s">
        <v>99</v>
      </c>
      <c r="M8" s="31"/>
      <c r="N8" s="2"/>
      <c r="O8" t="s">
        <v>11</v>
      </c>
    </row>
    <row r="9" spans="1:16" x14ac:dyDescent="0.25">
      <c r="A9" s="38" t="s">
        <v>162</v>
      </c>
      <c r="B9" s="38"/>
      <c r="C9" s="38" t="s">
        <v>213</v>
      </c>
      <c r="D9" s="38"/>
      <c r="E9" s="38" t="s">
        <v>213</v>
      </c>
      <c r="F9" s="38"/>
      <c r="G9" s="38"/>
      <c r="H9" s="38"/>
      <c r="I9" s="39"/>
      <c r="L9" s="31" t="s">
        <v>97</v>
      </c>
      <c r="M9" s="43">
        <v>0.187</v>
      </c>
      <c r="N9" s="2"/>
      <c r="O9" s="47" t="s">
        <v>207</v>
      </c>
    </row>
    <row r="10" spans="1:16" x14ac:dyDescent="0.25">
      <c r="L10" s="31" t="s">
        <v>100</v>
      </c>
      <c r="M10" s="43">
        <v>7.0999999999999994E-2</v>
      </c>
      <c r="N10" s="2"/>
      <c r="O10" s="47" t="s">
        <v>208</v>
      </c>
    </row>
    <row r="11" spans="1:16" x14ac:dyDescent="0.25">
      <c r="H11" s="7"/>
      <c r="L11" s="31" t="s">
        <v>101</v>
      </c>
      <c r="M11" s="43">
        <v>7.0000000000000001E-3</v>
      </c>
      <c r="O11" s="47" t="s">
        <v>209</v>
      </c>
      <c r="P11" t="s">
        <v>310</v>
      </c>
    </row>
    <row r="12" spans="1:16" x14ac:dyDescent="0.25">
      <c r="A12" t="s">
        <v>1</v>
      </c>
      <c r="B12" t="s">
        <v>165</v>
      </c>
      <c r="C12" t="s">
        <v>164</v>
      </c>
      <c r="D12" t="s">
        <v>166</v>
      </c>
      <c r="E12" t="s">
        <v>167</v>
      </c>
      <c r="F12">
        <v>2040</v>
      </c>
      <c r="H12" s="46"/>
      <c r="L12" s="31" t="s">
        <v>102</v>
      </c>
      <c r="M12" s="31">
        <v>4.0000000000000001E-3</v>
      </c>
      <c r="O12" s="47" t="s">
        <v>210</v>
      </c>
    </row>
    <row r="13" spans="1:16" x14ac:dyDescent="0.25">
      <c r="A13" t="s">
        <v>168</v>
      </c>
      <c r="C13">
        <v>0.79</v>
      </c>
      <c r="D13" s="8">
        <f>C13</f>
        <v>0.79</v>
      </c>
      <c r="E13" s="2">
        <f>C$8*D13</f>
        <v>33970</v>
      </c>
      <c r="F13">
        <v>0.45</v>
      </c>
      <c r="H13" s="46"/>
      <c r="L13" s="31" t="s">
        <v>103</v>
      </c>
      <c r="M13" s="43">
        <v>0.49399999999999999</v>
      </c>
      <c r="O13" s="47" t="s">
        <v>308</v>
      </c>
    </row>
    <row r="14" spans="1:16" x14ac:dyDescent="0.25">
      <c r="A14" t="s">
        <v>174</v>
      </c>
      <c r="C14">
        <v>0.18</v>
      </c>
      <c r="D14" s="8">
        <f t="shared" ref="D14:D15" si="1">C14</f>
        <v>0.18</v>
      </c>
      <c r="E14" s="2">
        <f t="shared" ref="E14:E15" si="2">C$8*D14</f>
        <v>7740</v>
      </c>
      <c r="F14">
        <v>0.45</v>
      </c>
      <c r="H14" s="46"/>
      <c r="L14" s="31" t="s">
        <v>104</v>
      </c>
      <c r="M14" s="43">
        <v>0.16700000000000001</v>
      </c>
      <c r="O14" s="47" t="s">
        <v>309</v>
      </c>
    </row>
    <row r="15" spans="1:16" x14ac:dyDescent="0.25">
      <c r="A15" t="s">
        <v>175</v>
      </c>
      <c r="C15">
        <v>0.03</v>
      </c>
      <c r="D15" s="8">
        <f t="shared" si="1"/>
        <v>0.03</v>
      </c>
      <c r="E15" s="2">
        <f t="shared" si="2"/>
        <v>1290</v>
      </c>
      <c r="F15">
        <v>0.1</v>
      </c>
      <c r="H15" s="46"/>
      <c r="L15" s="31" t="s">
        <v>105</v>
      </c>
      <c r="M15" s="31">
        <v>2.8000000000000001E-2</v>
      </c>
    </row>
    <row r="16" spans="1:16" x14ac:dyDescent="0.25">
      <c r="H16" s="46"/>
      <c r="L16" s="31" t="s">
        <v>106</v>
      </c>
      <c r="M16" s="43">
        <v>3.1E-2</v>
      </c>
    </row>
    <row r="17" spans="1:13" x14ac:dyDescent="0.25">
      <c r="A17" t="s">
        <v>11</v>
      </c>
      <c r="B17" t="s">
        <v>165</v>
      </c>
      <c r="C17" t="s">
        <v>211</v>
      </c>
      <c r="D17" t="s">
        <v>166</v>
      </c>
      <c r="E17" t="s">
        <v>167</v>
      </c>
      <c r="F17" t="s">
        <v>212</v>
      </c>
      <c r="H17" s="46"/>
      <c r="L17" s="31" t="s">
        <v>107</v>
      </c>
      <c r="M17" s="31">
        <v>1.0999999999999999E-2</v>
      </c>
    </row>
    <row r="18" spans="1:13" x14ac:dyDescent="0.25">
      <c r="A18" t="str">
        <f>O9</f>
        <v>10% Geneva Site</v>
      </c>
      <c r="D18">
        <v>0.1</v>
      </c>
      <c r="E18">
        <f>D$8*D18</f>
        <v>6700</v>
      </c>
      <c r="H18" s="46"/>
      <c r="L18" s="31" t="s">
        <v>108</v>
      </c>
      <c r="M18" s="31">
        <v>1</v>
      </c>
    </row>
    <row r="19" spans="1:13" x14ac:dyDescent="0.25">
      <c r="A19" t="str">
        <f t="shared" ref="A19:A20" si="3">O10</f>
        <v>10% Thanksgiving Point Site</v>
      </c>
      <c r="D19">
        <v>0.1</v>
      </c>
      <c r="E19">
        <f>D$8*D19</f>
        <v>6700</v>
      </c>
      <c r="H19" s="46"/>
    </row>
    <row r="20" spans="1:13" x14ac:dyDescent="0.25">
      <c r="A20" t="str">
        <f t="shared" si="3"/>
        <v>1% Heber Site</v>
      </c>
      <c r="D20">
        <v>0.01</v>
      </c>
      <c r="E20">
        <f t="shared" ref="E20:E21" si="4">D$8*D20</f>
        <v>670</v>
      </c>
      <c r="H20" s="46"/>
      <c r="K20" t="s">
        <v>177</v>
      </c>
    </row>
    <row r="21" spans="1:13" x14ac:dyDescent="0.25">
      <c r="A21" t="str">
        <f>O12</f>
        <v>79% Main Campus Site</v>
      </c>
      <c r="D21">
        <v>0.79</v>
      </c>
      <c r="E21">
        <f t="shared" si="4"/>
        <v>52930</v>
      </c>
      <c r="H21" s="46"/>
      <c r="K21" t="s">
        <v>178</v>
      </c>
      <c r="L21" t="s">
        <v>179</v>
      </c>
      <c r="M21" t="s">
        <v>180</v>
      </c>
    </row>
    <row r="22" spans="1:13" x14ac:dyDescent="0.25">
      <c r="H22" s="46"/>
      <c r="K22" t="s">
        <v>181</v>
      </c>
      <c r="L22">
        <v>14843</v>
      </c>
      <c r="M22" s="31">
        <f>L22/L$40</f>
        <v>0.4240978313666105</v>
      </c>
    </row>
    <row r="23" spans="1:13" x14ac:dyDescent="0.25">
      <c r="H23" s="46"/>
      <c r="K23" t="s">
        <v>182</v>
      </c>
      <c r="L23">
        <v>4214</v>
      </c>
      <c r="M23" s="31">
        <f t="shared" ref="M23:M40" si="5">L23/L$40</f>
        <v>0.12040344009828852</v>
      </c>
    </row>
    <row r="24" spans="1:13" x14ac:dyDescent="0.25">
      <c r="B24">
        <v>2009</v>
      </c>
      <c r="C24">
        <v>2013</v>
      </c>
      <c r="H24" s="46"/>
      <c r="K24" t="s">
        <v>183</v>
      </c>
      <c r="L24">
        <v>3608</v>
      </c>
      <c r="M24" s="31">
        <f t="shared" si="5"/>
        <v>0.10308865967599075</v>
      </c>
    </row>
    <row r="25" spans="1:13" x14ac:dyDescent="0.25">
      <c r="A25" t="s">
        <v>154</v>
      </c>
      <c r="B25" t="s">
        <v>165</v>
      </c>
      <c r="C25" t="s">
        <v>164</v>
      </c>
      <c r="D25" t="s">
        <v>166</v>
      </c>
      <c r="E25" t="s">
        <v>167</v>
      </c>
      <c r="H25" s="46"/>
      <c r="K25" t="s">
        <v>184</v>
      </c>
      <c r="L25">
        <v>1108</v>
      </c>
      <c r="M25" s="31">
        <f t="shared" si="5"/>
        <v>3.1658047372782078E-2</v>
      </c>
    </row>
    <row r="26" spans="1:13" x14ac:dyDescent="0.25">
      <c r="A26" t="s">
        <v>181</v>
      </c>
      <c r="B26">
        <v>0.42</v>
      </c>
      <c r="C26" s="44">
        <f>M13</f>
        <v>0.49399999999999999</v>
      </c>
      <c r="D26" s="49">
        <f>C26</f>
        <v>0.49399999999999999</v>
      </c>
      <c r="E26" s="7">
        <f t="shared" ref="E26:E34" si="6">D26*E$8</f>
        <v>32308.094000000001</v>
      </c>
      <c r="H26" s="46"/>
      <c r="K26" t="s">
        <v>185</v>
      </c>
      <c r="L26">
        <v>388</v>
      </c>
      <c r="M26" s="31">
        <f t="shared" si="5"/>
        <v>1.1086031029457984E-2</v>
      </c>
    </row>
    <row r="27" spans="1:13" x14ac:dyDescent="0.25">
      <c r="A27" t="s">
        <v>182</v>
      </c>
      <c r="B27">
        <v>0.12</v>
      </c>
      <c r="C27" s="44">
        <f>M14</f>
        <v>0.16700000000000001</v>
      </c>
      <c r="D27" s="49">
        <f t="shared" ref="D27:D34" si="7">C27</f>
        <v>0.16700000000000001</v>
      </c>
      <c r="E27" s="7">
        <f t="shared" si="6"/>
        <v>10921.967000000001</v>
      </c>
      <c r="H27" s="46"/>
      <c r="K27" t="s">
        <v>186</v>
      </c>
      <c r="L27">
        <v>2388</v>
      </c>
      <c r="M27" s="31">
        <f t="shared" si="5"/>
        <v>6.8230520872024913E-2</v>
      </c>
    </row>
    <row r="28" spans="1:13" x14ac:dyDescent="0.25">
      <c r="A28" t="s">
        <v>183</v>
      </c>
      <c r="B28">
        <v>0.1</v>
      </c>
      <c r="C28" s="44">
        <f>M9</f>
        <v>0.187</v>
      </c>
      <c r="D28" s="49">
        <f t="shared" si="7"/>
        <v>0.187</v>
      </c>
      <c r="E28" s="7">
        <f t="shared" si="6"/>
        <v>12229.986999999999</v>
      </c>
      <c r="H28" s="46"/>
      <c r="K28" t="s">
        <v>187</v>
      </c>
      <c r="L28">
        <v>826</v>
      </c>
      <c r="M28" s="31">
        <f t="shared" si="5"/>
        <v>2.3600674304980144E-2</v>
      </c>
    </row>
    <row r="29" spans="1:13" x14ac:dyDescent="0.25">
      <c r="A29" s="44" t="str">
        <f>L11</f>
        <v>Meadowbrook</v>
      </c>
      <c r="B29">
        <v>0.01</v>
      </c>
      <c r="C29" s="44">
        <f>M11</f>
        <v>7.0000000000000001E-3</v>
      </c>
      <c r="D29" s="49">
        <f t="shared" si="7"/>
        <v>7.0000000000000001E-3</v>
      </c>
      <c r="E29" s="7">
        <f t="shared" si="6"/>
        <v>457.80700000000002</v>
      </c>
      <c r="H29" s="46"/>
      <c r="K29" t="s">
        <v>188</v>
      </c>
      <c r="L29">
        <v>57</v>
      </c>
      <c r="M29" s="45">
        <f t="shared" si="5"/>
        <v>1.6286179605131575E-3</v>
      </c>
    </row>
    <row r="30" spans="1:13" x14ac:dyDescent="0.25">
      <c r="A30" t="s">
        <v>184</v>
      </c>
      <c r="B30">
        <v>0.03</v>
      </c>
      <c r="C30" s="44">
        <f>M10</f>
        <v>7.0999999999999994E-2</v>
      </c>
      <c r="D30" s="49">
        <f t="shared" si="7"/>
        <v>7.0999999999999994E-2</v>
      </c>
      <c r="E30" s="7">
        <f t="shared" si="6"/>
        <v>4643.4709999999995</v>
      </c>
      <c r="H30" s="46"/>
      <c r="K30" t="s">
        <v>189</v>
      </c>
      <c r="L30">
        <v>222</v>
      </c>
      <c r="M30" s="31">
        <f t="shared" si="5"/>
        <v>6.3430383725249289E-3</v>
      </c>
    </row>
    <row r="31" spans="1:13" x14ac:dyDescent="0.25">
      <c r="A31" t="s">
        <v>187</v>
      </c>
      <c r="B31">
        <v>0.02</v>
      </c>
      <c r="C31" s="44">
        <f>M16</f>
        <v>3.1E-2</v>
      </c>
      <c r="D31" s="49">
        <f t="shared" si="7"/>
        <v>3.1E-2</v>
      </c>
      <c r="E31" s="7">
        <f t="shared" si="6"/>
        <v>2027.431</v>
      </c>
      <c r="H31" s="46"/>
      <c r="K31" t="s">
        <v>190</v>
      </c>
      <c r="L31">
        <v>221</v>
      </c>
      <c r="M31" s="31">
        <f t="shared" si="5"/>
        <v>6.3144661276036459E-3</v>
      </c>
    </row>
    <row r="32" spans="1:13" x14ac:dyDescent="0.25">
      <c r="A32" t="s">
        <v>206</v>
      </c>
      <c r="C32" s="44">
        <f>M15</f>
        <v>2.8000000000000001E-2</v>
      </c>
      <c r="D32" s="49">
        <f t="shared" si="7"/>
        <v>2.8000000000000001E-2</v>
      </c>
      <c r="E32" s="7">
        <f t="shared" si="6"/>
        <v>1831.2280000000001</v>
      </c>
      <c r="H32" s="46"/>
      <c r="K32" t="s">
        <v>191</v>
      </c>
      <c r="L32">
        <v>46</v>
      </c>
      <c r="M32" s="31">
        <f t="shared" si="5"/>
        <v>1.3143232663790393E-3</v>
      </c>
    </row>
    <row r="33" spans="1:13" x14ac:dyDescent="0.25">
      <c r="A33" s="44" t="str">
        <f>L12</f>
        <v>Ariport</v>
      </c>
      <c r="B33">
        <v>1.6E-2</v>
      </c>
      <c r="C33" s="44">
        <f>M12</f>
        <v>4.0000000000000001E-3</v>
      </c>
      <c r="D33" s="49">
        <f t="shared" si="7"/>
        <v>4.0000000000000001E-3</v>
      </c>
      <c r="E33" s="7">
        <f t="shared" si="6"/>
        <v>261.60399999999998</v>
      </c>
      <c r="H33" s="46"/>
      <c r="K33" t="s">
        <v>192</v>
      </c>
      <c r="L33">
        <v>197</v>
      </c>
      <c r="M33" s="31">
        <f t="shared" si="5"/>
        <v>5.6287322494928431E-3</v>
      </c>
    </row>
    <row r="34" spans="1:13" x14ac:dyDescent="0.25">
      <c r="A34" s="44" t="str">
        <f>L17</f>
        <v>Westpointe</v>
      </c>
      <c r="C34" s="44">
        <f>M17</f>
        <v>1.0999999999999999E-2</v>
      </c>
      <c r="D34" s="49">
        <f t="shared" si="7"/>
        <v>1.0999999999999999E-2</v>
      </c>
      <c r="E34" s="7">
        <f t="shared" si="6"/>
        <v>719.41099999999994</v>
      </c>
      <c r="H34" s="46"/>
      <c r="K34" t="s">
        <v>193</v>
      </c>
      <c r="L34">
        <v>74</v>
      </c>
      <c r="M34" s="31">
        <f t="shared" si="5"/>
        <v>2.1143461241749763E-3</v>
      </c>
    </row>
    <row r="35" spans="1:13" x14ac:dyDescent="0.25">
      <c r="A35" s="48" t="s">
        <v>186</v>
      </c>
      <c r="B35">
        <v>7.0000000000000007E-2</v>
      </c>
      <c r="H35" s="46"/>
      <c r="K35" t="s">
        <v>194</v>
      </c>
      <c r="L35">
        <v>3</v>
      </c>
      <c r="M35" s="31">
        <f t="shared" si="5"/>
        <v>8.5716734763850394E-5</v>
      </c>
    </row>
    <row r="36" spans="1:13" x14ac:dyDescent="0.25">
      <c r="H36" s="46"/>
      <c r="K36" t="s">
        <v>195</v>
      </c>
      <c r="L36">
        <v>55</v>
      </c>
      <c r="M36" s="31">
        <f t="shared" si="5"/>
        <v>1.5714734706705905E-3</v>
      </c>
    </row>
    <row r="37" spans="1:13" x14ac:dyDescent="0.25">
      <c r="B37" t="s">
        <v>203</v>
      </c>
      <c r="H37" s="46"/>
      <c r="K37" t="s">
        <v>196</v>
      </c>
      <c r="L37">
        <v>1</v>
      </c>
      <c r="M37" s="31">
        <f t="shared" si="5"/>
        <v>2.8572244921283467E-5</v>
      </c>
    </row>
    <row r="38" spans="1:13" x14ac:dyDescent="0.25">
      <c r="B38" t="s">
        <v>204</v>
      </c>
      <c r="H38" s="46"/>
      <c r="K38" t="s">
        <v>197</v>
      </c>
      <c r="L38">
        <v>5165</v>
      </c>
      <c r="M38" s="31">
        <f t="shared" si="5"/>
        <v>0.1475756450184291</v>
      </c>
    </row>
    <row r="39" spans="1:13" x14ac:dyDescent="0.25">
      <c r="B39" t="s">
        <v>205</v>
      </c>
      <c r="H39" s="46"/>
      <c r="K39" t="s">
        <v>198</v>
      </c>
      <c r="L39">
        <v>1583</v>
      </c>
      <c r="M39" s="31">
        <f t="shared" si="5"/>
        <v>4.5229863710391727E-2</v>
      </c>
    </row>
    <row r="40" spans="1:13" x14ac:dyDescent="0.25">
      <c r="L40">
        <f>SUM(L22:L39)</f>
        <v>34999</v>
      </c>
      <c r="M40" s="31">
        <f t="shared" si="5"/>
        <v>1</v>
      </c>
    </row>
    <row r="41" spans="1:13" x14ac:dyDescent="0.25">
      <c r="K41" t="s">
        <v>199</v>
      </c>
    </row>
    <row r="42" spans="1:13" x14ac:dyDescent="0.25">
      <c r="K42" t="s">
        <v>178</v>
      </c>
      <c r="L42" t="s">
        <v>179</v>
      </c>
    </row>
    <row r="43" spans="1:13" x14ac:dyDescent="0.25">
      <c r="K43" t="s">
        <v>181</v>
      </c>
      <c r="L43">
        <v>15865</v>
      </c>
      <c r="M43" s="31">
        <f>L43/L$61</f>
        <v>0.44324309222473668</v>
      </c>
    </row>
    <row r="44" spans="1:13" x14ac:dyDescent="0.25">
      <c r="K44" t="s">
        <v>182</v>
      </c>
      <c r="L44">
        <v>4168</v>
      </c>
      <c r="M44" s="31">
        <f t="shared" ref="M44:M61" si="8">L44/L$61</f>
        <v>0.11644735004051071</v>
      </c>
    </row>
    <row r="45" spans="1:13" x14ac:dyDescent="0.25">
      <c r="K45" t="s">
        <v>183</v>
      </c>
      <c r="L45">
        <v>3451</v>
      </c>
      <c r="M45" s="31">
        <f t="shared" si="8"/>
        <v>9.6415500237476595E-2</v>
      </c>
    </row>
    <row r="46" spans="1:13" x14ac:dyDescent="0.25">
      <c r="K46" t="s">
        <v>184</v>
      </c>
      <c r="L46">
        <v>1384</v>
      </c>
      <c r="M46" s="31">
        <f t="shared" si="8"/>
        <v>3.8666778420361522E-2</v>
      </c>
    </row>
    <row r="47" spans="1:13" x14ac:dyDescent="0.25">
      <c r="K47" t="s">
        <v>185</v>
      </c>
      <c r="L47">
        <v>426</v>
      </c>
      <c r="M47" s="31">
        <f t="shared" si="8"/>
        <v>1.1901768502221105E-2</v>
      </c>
    </row>
    <row r="48" spans="1:13" x14ac:dyDescent="0.25">
      <c r="K48" t="s">
        <v>186</v>
      </c>
      <c r="L48">
        <v>2499</v>
      </c>
      <c r="M48" s="31">
        <f t="shared" si="8"/>
        <v>6.9818120861620994E-2</v>
      </c>
    </row>
    <row r="49" spans="11:13" x14ac:dyDescent="0.25">
      <c r="K49" t="s">
        <v>187</v>
      </c>
      <c r="L49">
        <v>791</v>
      </c>
      <c r="M49" s="31">
        <f t="shared" si="8"/>
        <v>2.2099293157880031E-2</v>
      </c>
    </row>
    <row r="50" spans="11:13" x14ac:dyDescent="0.25">
      <c r="K50" t="s">
        <v>188</v>
      </c>
      <c r="L50">
        <v>68</v>
      </c>
      <c r="M50" s="31">
        <f t="shared" si="8"/>
        <v>1.8998128125611153E-3</v>
      </c>
    </row>
    <row r="51" spans="11:13" x14ac:dyDescent="0.25">
      <c r="K51" t="s">
        <v>189</v>
      </c>
      <c r="L51">
        <v>249</v>
      </c>
      <c r="M51" s="31">
        <f t="shared" si="8"/>
        <v>6.9566675048193779E-3</v>
      </c>
    </row>
    <row r="52" spans="11:13" x14ac:dyDescent="0.25">
      <c r="K52" t="s">
        <v>190</v>
      </c>
      <c r="L52">
        <v>153</v>
      </c>
      <c r="M52" s="31">
        <f t="shared" si="8"/>
        <v>4.2745788282625092E-3</v>
      </c>
    </row>
    <row r="53" spans="11:13" x14ac:dyDescent="0.25">
      <c r="K53" t="s">
        <v>191</v>
      </c>
      <c r="L53">
        <v>135</v>
      </c>
      <c r="M53" s="31">
        <f t="shared" si="8"/>
        <v>3.7716872014080965E-3</v>
      </c>
    </row>
    <row r="54" spans="11:13" x14ac:dyDescent="0.25">
      <c r="K54" t="s">
        <v>192</v>
      </c>
      <c r="L54">
        <v>301</v>
      </c>
      <c r="M54" s="31">
        <f t="shared" si="8"/>
        <v>8.4094655379543491E-3</v>
      </c>
    </row>
    <row r="55" spans="11:13" x14ac:dyDescent="0.25">
      <c r="K55" t="s">
        <v>193</v>
      </c>
      <c r="L55">
        <v>23</v>
      </c>
      <c r="M55" s="31">
        <f t="shared" si="8"/>
        <v>6.4258374542508316E-4</v>
      </c>
    </row>
    <row r="56" spans="11:13" x14ac:dyDescent="0.25">
      <c r="K56" t="s">
        <v>194</v>
      </c>
      <c r="M56" s="31">
        <f t="shared" si="8"/>
        <v>0</v>
      </c>
    </row>
    <row r="57" spans="11:13" x14ac:dyDescent="0.25">
      <c r="K57" t="s">
        <v>195</v>
      </c>
      <c r="L57">
        <v>49</v>
      </c>
      <c r="M57" s="31">
        <f t="shared" si="8"/>
        <v>1.3689827619925684E-3</v>
      </c>
    </row>
    <row r="58" spans="11:13" x14ac:dyDescent="0.25">
      <c r="K58" t="s">
        <v>196</v>
      </c>
      <c r="M58" s="31">
        <f t="shared" si="8"/>
        <v>0</v>
      </c>
    </row>
    <row r="59" spans="11:13" x14ac:dyDescent="0.25">
      <c r="K59" t="s">
        <v>197</v>
      </c>
      <c r="L59">
        <v>4632</v>
      </c>
      <c r="M59" s="31">
        <f t="shared" si="8"/>
        <v>0.12941077864386891</v>
      </c>
    </row>
    <row r="60" spans="11:13" x14ac:dyDescent="0.25">
      <c r="K60" t="s">
        <v>198</v>
      </c>
      <c r="L60">
        <v>1599</v>
      </c>
      <c r="M60" s="31">
        <f t="shared" si="8"/>
        <v>4.4673539518900345E-2</v>
      </c>
    </row>
    <row r="61" spans="11:13" x14ac:dyDescent="0.25">
      <c r="L61">
        <f>SUM(L43:L60)</f>
        <v>35793</v>
      </c>
      <c r="M61" s="31">
        <f t="shared" si="8"/>
        <v>1</v>
      </c>
    </row>
    <row r="62" spans="11:13" x14ac:dyDescent="0.25">
      <c r="K62" t="s">
        <v>200</v>
      </c>
    </row>
    <row r="63" spans="11:13" x14ac:dyDescent="0.25">
      <c r="K63" t="s">
        <v>201</v>
      </c>
    </row>
    <row r="64" spans="11:13" x14ac:dyDescent="0.25">
      <c r="K64" t="s">
        <v>202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  <pageSetUpPr fitToPage="1"/>
  </sheetPr>
  <dimension ref="A1"/>
  <sheetViews>
    <sheetView topLeftCell="A7" workbookViewId="0">
      <selection activeCell="M37" sqref="M37"/>
    </sheetView>
  </sheetViews>
  <sheetFormatPr defaultRowHeight="15" x14ac:dyDescent="0.25"/>
  <sheetData/>
  <pageMargins left="0.7" right="0.7" top="0.75" bottom="0.75" header="0.3" footer="0.3"/>
  <pageSetup scale="6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90C8-6A5E-42F0-828C-C28E453394D9}">
  <dimension ref="A1:Q57"/>
  <sheetViews>
    <sheetView topLeftCell="A10" workbookViewId="0">
      <selection activeCell="S39" sqref="S39"/>
    </sheetView>
  </sheetViews>
  <sheetFormatPr defaultRowHeight="15" x14ac:dyDescent="0.25"/>
  <cols>
    <col min="1" max="1" width="9.140625" style="183"/>
    <col min="2" max="2" width="10.42578125" style="183" customWidth="1"/>
    <col min="3" max="3" width="10.7109375" style="163" customWidth="1"/>
    <col min="4" max="4" width="10.7109375" style="164" customWidth="1"/>
    <col min="5" max="5" width="12.7109375" customWidth="1"/>
    <col min="6" max="6" width="12.7109375" bestFit="1" customWidth="1"/>
    <col min="258" max="258" width="10.42578125" customWidth="1"/>
    <col min="259" max="260" width="10.7109375" customWidth="1"/>
    <col min="261" max="261" width="12.7109375" customWidth="1"/>
    <col min="514" max="514" width="10.42578125" customWidth="1"/>
    <col min="515" max="516" width="10.7109375" customWidth="1"/>
    <col min="517" max="517" width="12.7109375" customWidth="1"/>
    <col min="770" max="770" width="10.42578125" customWidth="1"/>
    <col min="771" max="772" width="10.7109375" customWidth="1"/>
    <col min="773" max="773" width="12.7109375" customWidth="1"/>
    <col min="1026" max="1026" width="10.42578125" customWidth="1"/>
    <col min="1027" max="1028" width="10.7109375" customWidth="1"/>
    <col min="1029" max="1029" width="12.7109375" customWidth="1"/>
    <col min="1282" max="1282" width="10.42578125" customWidth="1"/>
    <col min="1283" max="1284" width="10.7109375" customWidth="1"/>
    <col min="1285" max="1285" width="12.7109375" customWidth="1"/>
    <col min="1538" max="1538" width="10.42578125" customWidth="1"/>
    <col min="1539" max="1540" width="10.7109375" customWidth="1"/>
    <col min="1541" max="1541" width="12.7109375" customWidth="1"/>
    <col min="1794" max="1794" width="10.42578125" customWidth="1"/>
    <col min="1795" max="1796" width="10.7109375" customWidth="1"/>
    <col min="1797" max="1797" width="12.7109375" customWidth="1"/>
    <col min="2050" max="2050" width="10.42578125" customWidth="1"/>
    <col min="2051" max="2052" width="10.7109375" customWidth="1"/>
    <col min="2053" max="2053" width="12.7109375" customWidth="1"/>
    <col min="2306" max="2306" width="10.42578125" customWidth="1"/>
    <col min="2307" max="2308" width="10.7109375" customWidth="1"/>
    <col min="2309" max="2309" width="12.7109375" customWidth="1"/>
    <col min="2562" max="2562" width="10.42578125" customWidth="1"/>
    <col min="2563" max="2564" width="10.7109375" customWidth="1"/>
    <col min="2565" max="2565" width="12.7109375" customWidth="1"/>
    <col min="2818" max="2818" width="10.42578125" customWidth="1"/>
    <col min="2819" max="2820" width="10.7109375" customWidth="1"/>
    <col min="2821" max="2821" width="12.7109375" customWidth="1"/>
    <col min="3074" max="3074" width="10.42578125" customWidth="1"/>
    <col min="3075" max="3076" width="10.7109375" customWidth="1"/>
    <col min="3077" max="3077" width="12.7109375" customWidth="1"/>
    <col min="3330" max="3330" width="10.42578125" customWidth="1"/>
    <col min="3331" max="3332" width="10.7109375" customWidth="1"/>
    <col min="3333" max="3333" width="12.7109375" customWidth="1"/>
    <col min="3586" max="3586" width="10.42578125" customWidth="1"/>
    <col min="3587" max="3588" width="10.7109375" customWidth="1"/>
    <col min="3589" max="3589" width="12.7109375" customWidth="1"/>
    <col min="3842" max="3842" width="10.42578125" customWidth="1"/>
    <col min="3843" max="3844" width="10.7109375" customWidth="1"/>
    <col min="3845" max="3845" width="12.7109375" customWidth="1"/>
    <col min="4098" max="4098" width="10.42578125" customWidth="1"/>
    <col min="4099" max="4100" width="10.7109375" customWidth="1"/>
    <col min="4101" max="4101" width="12.7109375" customWidth="1"/>
    <col min="4354" max="4354" width="10.42578125" customWidth="1"/>
    <col min="4355" max="4356" width="10.7109375" customWidth="1"/>
    <col min="4357" max="4357" width="12.7109375" customWidth="1"/>
    <col min="4610" max="4610" width="10.42578125" customWidth="1"/>
    <col min="4611" max="4612" width="10.7109375" customWidth="1"/>
    <col min="4613" max="4613" width="12.7109375" customWidth="1"/>
    <col min="4866" max="4866" width="10.42578125" customWidth="1"/>
    <col min="4867" max="4868" width="10.7109375" customWidth="1"/>
    <col min="4869" max="4869" width="12.7109375" customWidth="1"/>
    <col min="5122" max="5122" width="10.42578125" customWidth="1"/>
    <col min="5123" max="5124" width="10.7109375" customWidth="1"/>
    <col min="5125" max="5125" width="12.7109375" customWidth="1"/>
    <col min="5378" max="5378" width="10.42578125" customWidth="1"/>
    <col min="5379" max="5380" width="10.7109375" customWidth="1"/>
    <col min="5381" max="5381" width="12.7109375" customWidth="1"/>
    <col min="5634" max="5634" width="10.42578125" customWidth="1"/>
    <col min="5635" max="5636" width="10.7109375" customWidth="1"/>
    <col min="5637" max="5637" width="12.7109375" customWidth="1"/>
    <col min="5890" max="5890" width="10.42578125" customWidth="1"/>
    <col min="5891" max="5892" width="10.7109375" customWidth="1"/>
    <col min="5893" max="5893" width="12.7109375" customWidth="1"/>
    <col min="6146" max="6146" width="10.42578125" customWidth="1"/>
    <col min="6147" max="6148" width="10.7109375" customWidth="1"/>
    <col min="6149" max="6149" width="12.7109375" customWidth="1"/>
    <col min="6402" max="6402" width="10.42578125" customWidth="1"/>
    <col min="6403" max="6404" width="10.7109375" customWidth="1"/>
    <col min="6405" max="6405" width="12.7109375" customWidth="1"/>
    <col min="6658" max="6658" width="10.42578125" customWidth="1"/>
    <col min="6659" max="6660" width="10.7109375" customWidth="1"/>
    <col min="6661" max="6661" width="12.7109375" customWidth="1"/>
    <col min="6914" max="6914" width="10.42578125" customWidth="1"/>
    <col min="6915" max="6916" width="10.7109375" customWidth="1"/>
    <col min="6917" max="6917" width="12.7109375" customWidth="1"/>
    <col min="7170" max="7170" width="10.42578125" customWidth="1"/>
    <col min="7171" max="7172" width="10.7109375" customWidth="1"/>
    <col min="7173" max="7173" width="12.7109375" customWidth="1"/>
    <col min="7426" max="7426" width="10.42578125" customWidth="1"/>
    <col min="7427" max="7428" width="10.7109375" customWidth="1"/>
    <col min="7429" max="7429" width="12.7109375" customWidth="1"/>
    <col min="7682" max="7682" width="10.42578125" customWidth="1"/>
    <col min="7683" max="7684" width="10.7109375" customWidth="1"/>
    <col min="7685" max="7685" width="12.7109375" customWidth="1"/>
    <col min="7938" max="7938" width="10.42578125" customWidth="1"/>
    <col min="7939" max="7940" width="10.7109375" customWidth="1"/>
    <col min="7941" max="7941" width="12.7109375" customWidth="1"/>
    <col min="8194" max="8194" width="10.42578125" customWidth="1"/>
    <col min="8195" max="8196" width="10.7109375" customWidth="1"/>
    <col min="8197" max="8197" width="12.7109375" customWidth="1"/>
    <col min="8450" max="8450" width="10.42578125" customWidth="1"/>
    <col min="8451" max="8452" width="10.7109375" customWidth="1"/>
    <col min="8453" max="8453" width="12.7109375" customWidth="1"/>
    <col min="8706" max="8706" width="10.42578125" customWidth="1"/>
    <col min="8707" max="8708" width="10.7109375" customWidth="1"/>
    <col min="8709" max="8709" width="12.7109375" customWidth="1"/>
    <col min="8962" max="8962" width="10.42578125" customWidth="1"/>
    <col min="8963" max="8964" width="10.7109375" customWidth="1"/>
    <col min="8965" max="8965" width="12.7109375" customWidth="1"/>
    <col min="9218" max="9218" width="10.42578125" customWidth="1"/>
    <col min="9219" max="9220" width="10.7109375" customWidth="1"/>
    <col min="9221" max="9221" width="12.7109375" customWidth="1"/>
    <col min="9474" max="9474" width="10.42578125" customWidth="1"/>
    <col min="9475" max="9476" width="10.7109375" customWidth="1"/>
    <col min="9477" max="9477" width="12.7109375" customWidth="1"/>
    <col min="9730" max="9730" width="10.42578125" customWidth="1"/>
    <col min="9731" max="9732" width="10.7109375" customWidth="1"/>
    <col min="9733" max="9733" width="12.7109375" customWidth="1"/>
    <col min="9986" max="9986" width="10.42578125" customWidth="1"/>
    <col min="9987" max="9988" width="10.7109375" customWidth="1"/>
    <col min="9989" max="9989" width="12.7109375" customWidth="1"/>
    <col min="10242" max="10242" width="10.42578125" customWidth="1"/>
    <col min="10243" max="10244" width="10.7109375" customWidth="1"/>
    <col min="10245" max="10245" width="12.7109375" customWidth="1"/>
    <col min="10498" max="10498" width="10.42578125" customWidth="1"/>
    <col min="10499" max="10500" width="10.7109375" customWidth="1"/>
    <col min="10501" max="10501" width="12.7109375" customWidth="1"/>
    <col min="10754" max="10754" width="10.42578125" customWidth="1"/>
    <col min="10755" max="10756" width="10.7109375" customWidth="1"/>
    <col min="10757" max="10757" width="12.7109375" customWidth="1"/>
    <col min="11010" max="11010" width="10.42578125" customWidth="1"/>
    <col min="11011" max="11012" width="10.7109375" customWidth="1"/>
    <col min="11013" max="11013" width="12.7109375" customWidth="1"/>
    <col min="11266" max="11266" width="10.42578125" customWidth="1"/>
    <col min="11267" max="11268" width="10.7109375" customWidth="1"/>
    <col min="11269" max="11269" width="12.7109375" customWidth="1"/>
    <col min="11522" max="11522" width="10.42578125" customWidth="1"/>
    <col min="11523" max="11524" width="10.7109375" customWidth="1"/>
    <col min="11525" max="11525" width="12.7109375" customWidth="1"/>
    <col min="11778" max="11778" width="10.42578125" customWidth="1"/>
    <col min="11779" max="11780" width="10.7109375" customWidth="1"/>
    <col min="11781" max="11781" width="12.7109375" customWidth="1"/>
    <col min="12034" max="12034" width="10.42578125" customWidth="1"/>
    <col min="12035" max="12036" width="10.7109375" customWidth="1"/>
    <col min="12037" max="12037" width="12.7109375" customWidth="1"/>
    <col min="12290" max="12290" width="10.42578125" customWidth="1"/>
    <col min="12291" max="12292" width="10.7109375" customWidth="1"/>
    <col min="12293" max="12293" width="12.7109375" customWidth="1"/>
    <col min="12546" max="12546" width="10.42578125" customWidth="1"/>
    <col min="12547" max="12548" width="10.7109375" customWidth="1"/>
    <col min="12549" max="12549" width="12.7109375" customWidth="1"/>
    <col min="12802" max="12802" width="10.42578125" customWidth="1"/>
    <col min="12803" max="12804" width="10.7109375" customWidth="1"/>
    <col min="12805" max="12805" width="12.7109375" customWidth="1"/>
    <col min="13058" max="13058" width="10.42578125" customWidth="1"/>
    <col min="13059" max="13060" width="10.7109375" customWidth="1"/>
    <col min="13061" max="13061" width="12.7109375" customWidth="1"/>
    <col min="13314" max="13314" width="10.42578125" customWidth="1"/>
    <col min="13315" max="13316" width="10.7109375" customWidth="1"/>
    <col min="13317" max="13317" width="12.7109375" customWidth="1"/>
    <col min="13570" max="13570" width="10.42578125" customWidth="1"/>
    <col min="13571" max="13572" width="10.7109375" customWidth="1"/>
    <col min="13573" max="13573" width="12.7109375" customWidth="1"/>
    <col min="13826" max="13826" width="10.42578125" customWidth="1"/>
    <col min="13827" max="13828" width="10.7109375" customWidth="1"/>
    <col min="13829" max="13829" width="12.7109375" customWidth="1"/>
    <col min="14082" max="14082" width="10.42578125" customWidth="1"/>
    <col min="14083" max="14084" width="10.7109375" customWidth="1"/>
    <col min="14085" max="14085" width="12.7109375" customWidth="1"/>
    <col min="14338" max="14338" width="10.42578125" customWidth="1"/>
    <col min="14339" max="14340" width="10.7109375" customWidth="1"/>
    <col min="14341" max="14341" width="12.7109375" customWidth="1"/>
    <col min="14594" max="14594" width="10.42578125" customWidth="1"/>
    <col min="14595" max="14596" width="10.7109375" customWidth="1"/>
    <col min="14597" max="14597" width="12.7109375" customWidth="1"/>
    <col min="14850" max="14850" width="10.42578125" customWidth="1"/>
    <col min="14851" max="14852" width="10.7109375" customWidth="1"/>
    <col min="14853" max="14853" width="12.7109375" customWidth="1"/>
    <col min="15106" max="15106" width="10.42578125" customWidth="1"/>
    <col min="15107" max="15108" width="10.7109375" customWidth="1"/>
    <col min="15109" max="15109" width="12.7109375" customWidth="1"/>
    <col min="15362" max="15362" width="10.42578125" customWidth="1"/>
    <col min="15363" max="15364" width="10.7109375" customWidth="1"/>
    <col min="15365" max="15365" width="12.7109375" customWidth="1"/>
    <col min="15618" max="15618" width="10.42578125" customWidth="1"/>
    <col min="15619" max="15620" width="10.7109375" customWidth="1"/>
    <col min="15621" max="15621" width="12.7109375" customWidth="1"/>
    <col min="15874" max="15874" width="10.42578125" customWidth="1"/>
    <col min="15875" max="15876" width="10.7109375" customWidth="1"/>
    <col min="15877" max="15877" width="12.7109375" customWidth="1"/>
    <col min="16130" max="16130" width="10.42578125" customWidth="1"/>
    <col min="16131" max="16132" width="10.7109375" customWidth="1"/>
    <col min="16133" max="16133" width="12.7109375" customWidth="1"/>
  </cols>
  <sheetData>
    <row r="1" spans="1:17" ht="26.25" x14ac:dyDescent="0.4">
      <c r="A1" s="162" t="s">
        <v>317</v>
      </c>
      <c r="B1" s="162"/>
      <c r="F1" s="10"/>
      <c r="H1" s="10"/>
      <c r="J1" s="10" t="s">
        <v>344</v>
      </c>
      <c r="Q1" s="235" t="s">
        <v>344</v>
      </c>
    </row>
    <row r="2" spans="1:17" ht="27" thickBot="1" x14ac:dyDescent="0.3">
      <c r="A2" s="3" t="s">
        <v>13</v>
      </c>
      <c r="B2" s="4" t="s">
        <v>318</v>
      </c>
      <c r="C2" s="4" t="s">
        <v>319</v>
      </c>
      <c r="D2" s="52" t="s">
        <v>346</v>
      </c>
      <c r="E2" s="52" t="s">
        <v>245</v>
      </c>
      <c r="F2" s="10"/>
      <c r="J2" s="235" t="s">
        <v>342</v>
      </c>
      <c r="Q2" s="235" t="s">
        <v>343</v>
      </c>
    </row>
    <row r="3" spans="1:17" ht="15.75" thickBot="1" x14ac:dyDescent="0.3">
      <c r="A3" s="166">
        <v>2000</v>
      </c>
      <c r="B3" s="188"/>
      <c r="C3" s="167">
        <v>6379</v>
      </c>
      <c r="D3" s="168">
        <f>lagoonbefore2019!E3</f>
        <v>6379.3103448275861</v>
      </c>
      <c r="E3" s="169">
        <f t="shared" ref="E3:E43" si="0">C3</f>
        <v>6379</v>
      </c>
      <c r="F3" s="170"/>
      <c r="H3">
        <f>Q3</f>
        <v>2.23</v>
      </c>
      <c r="I3" s="232"/>
      <c r="J3" s="8">
        <v>2.2330000000000001</v>
      </c>
      <c r="Q3" s="8">
        <v>2.23</v>
      </c>
    </row>
    <row r="4" spans="1:17" ht="15.75" thickBot="1" x14ac:dyDescent="0.3">
      <c r="A4" s="171">
        <v>2001</v>
      </c>
      <c r="B4" s="189">
        <v>1300000</v>
      </c>
      <c r="C4" s="172">
        <f>B4/200</f>
        <v>6500</v>
      </c>
      <c r="D4" s="168">
        <f>lagoonbefore2019!E4</f>
        <v>6500</v>
      </c>
      <c r="E4" s="174">
        <f t="shared" si="0"/>
        <v>6500</v>
      </c>
      <c r="F4" s="170"/>
      <c r="H4">
        <f t="shared" ref="H4:H13" si="1">Q4</f>
        <v>2.29</v>
      </c>
      <c r="I4" s="236">
        <f>H4/H3-1</f>
        <v>2.6905829596412634E-2</v>
      </c>
      <c r="J4" s="8"/>
      <c r="Q4" s="8">
        <v>2.29</v>
      </c>
    </row>
    <row r="5" spans="1:17" ht="15.75" thickBot="1" x14ac:dyDescent="0.3">
      <c r="A5" s="16">
        <v>2002</v>
      </c>
      <c r="C5" s="175">
        <v>6000</v>
      </c>
      <c r="D5" s="168">
        <f>lagoonbefore2019!E5</f>
        <v>6620.6896551724139</v>
      </c>
      <c r="E5" s="58"/>
      <c r="F5" s="170"/>
      <c r="H5">
        <f t="shared" si="1"/>
        <v>2.33</v>
      </c>
      <c r="I5" s="236">
        <f t="shared" ref="I5:I13" si="2">H5/H4-1</f>
        <v>1.7467248908296984E-2</v>
      </c>
      <c r="J5" s="8"/>
      <c r="Q5" s="8">
        <v>2.33</v>
      </c>
    </row>
    <row r="6" spans="1:17" ht="16.5" thickBot="1" x14ac:dyDescent="0.3">
      <c r="A6" s="16">
        <v>2003</v>
      </c>
      <c r="B6" s="189">
        <v>1100000</v>
      </c>
      <c r="C6" s="238">
        <f>B6/200</f>
        <v>5500</v>
      </c>
      <c r="D6" s="168">
        <f>lagoonbefore2019!E6</f>
        <v>6741.3793103448279</v>
      </c>
      <c r="E6" s="58">
        <f t="shared" si="0"/>
        <v>5500</v>
      </c>
      <c r="F6" s="170"/>
      <c r="H6">
        <f t="shared" si="1"/>
        <v>2.38</v>
      </c>
      <c r="I6" s="236">
        <f t="shared" si="2"/>
        <v>2.1459227467811148E-2</v>
      </c>
      <c r="J6" s="8"/>
      <c r="Q6" s="8">
        <v>2.38</v>
      </c>
    </row>
    <row r="7" spans="1:17" ht="15.75" thickBot="1" x14ac:dyDescent="0.3">
      <c r="A7" s="16">
        <v>2004</v>
      </c>
      <c r="C7" s="234">
        <f>C6*(1+I7)</f>
        <v>5638.6554621848745</v>
      </c>
      <c r="D7" s="168">
        <f>lagoonbefore2019!E7</f>
        <v>6862.0689655172418</v>
      </c>
      <c r="E7" s="58">
        <f t="shared" si="0"/>
        <v>5638.6554621848745</v>
      </c>
      <c r="F7" s="170"/>
      <c r="H7">
        <f t="shared" si="1"/>
        <v>2.44</v>
      </c>
      <c r="I7" s="236">
        <f t="shared" si="2"/>
        <v>2.5210084033613578E-2</v>
      </c>
      <c r="J7" s="8"/>
      <c r="Q7" s="8">
        <v>2.44</v>
      </c>
    </row>
    <row r="8" spans="1:17" ht="15.75" thickBot="1" x14ac:dyDescent="0.3">
      <c r="A8" s="16">
        <v>2005</v>
      </c>
      <c r="C8" s="234">
        <f t="shared" ref="C8:C13" si="3">C7*(1+I8)</f>
        <v>5777.3109243697481</v>
      </c>
      <c r="D8" s="168">
        <f>lagoonbefore2019!E8</f>
        <v>6982.7586206896558</v>
      </c>
      <c r="E8" s="58">
        <f t="shared" si="0"/>
        <v>5777.3109243697481</v>
      </c>
      <c r="F8" s="170"/>
      <c r="H8">
        <f t="shared" si="1"/>
        <v>2.5</v>
      </c>
      <c r="I8" s="236">
        <f t="shared" si="2"/>
        <v>2.4590163934426146E-2</v>
      </c>
      <c r="J8" s="8"/>
      <c r="Q8" s="8">
        <v>2.5</v>
      </c>
    </row>
    <row r="9" spans="1:17" ht="15.75" thickBot="1" x14ac:dyDescent="0.3">
      <c r="A9" s="16">
        <v>2006</v>
      </c>
      <c r="C9" s="234">
        <f t="shared" si="3"/>
        <v>5962.1848739495799</v>
      </c>
      <c r="D9" s="168">
        <f>lagoonbefore2019!E9</f>
        <v>7103.4482758620697</v>
      </c>
      <c r="E9" s="58">
        <f t="shared" si="0"/>
        <v>5962.1848739495799</v>
      </c>
      <c r="F9" s="170"/>
      <c r="H9">
        <f t="shared" si="1"/>
        <v>2.58</v>
      </c>
      <c r="I9" s="236">
        <f t="shared" si="2"/>
        <v>3.2000000000000028E-2</v>
      </c>
      <c r="J9" s="8"/>
      <c r="Q9" s="8">
        <v>2.58</v>
      </c>
    </row>
    <row r="10" spans="1:17" ht="15.75" thickBot="1" x14ac:dyDescent="0.3">
      <c r="A10" s="53">
        <v>2007</v>
      </c>
      <c r="B10" s="190"/>
      <c r="C10" s="234">
        <f t="shared" si="3"/>
        <v>6147.0588235294126</v>
      </c>
      <c r="D10" s="168">
        <f>lagoonbefore2019!E10</f>
        <v>7224.1379310344837</v>
      </c>
      <c r="E10" s="58">
        <f t="shared" si="0"/>
        <v>6147.0588235294126</v>
      </c>
      <c r="F10" s="170"/>
      <c r="H10">
        <f t="shared" si="1"/>
        <v>2.66</v>
      </c>
      <c r="I10" s="236">
        <f t="shared" si="2"/>
        <v>3.1007751937984551E-2</v>
      </c>
      <c r="J10" s="8"/>
      <c r="Q10" s="8">
        <v>2.66</v>
      </c>
    </row>
    <row r="11" spans="1:17" ht="15.75" thickBot="1" x14ac:dyDescent="0.3">
      <c r="A11" s="166">
        <v>2008</v>
      </c>
      <c r="B11" s="188"/>
      <c r="C11" s="234">
        <f t="shared" si="3"/>
        <v>6308.8235294117649</v>
      </c>
      <c r="D11" s="168">
        <f>lagoonbefore2019!E11</f>
        <v>7344.8275862068976</v>
      </c>
      <c r="E11" s="58">
        <f t="shared" si="0"/>
        <v>6308.8235294117649</v>
      </c>
      <c r="F11" s="170"/>
      <c r="H11">
        <f t="shared" si="1"/>
        <v>2.73</v>
      </c>
      <c r="I11" s="236">
        <f t="shared" si="2"/>
        <v>2.631578947368407E-2</v>
      </c>
      <c r="J11" s="8"/>
      <c r="Q11" s="8">
        <v>2.73</v>
      </c>
    </row>
    <row r="12" spans="1:17" ht="15.75" thickBot="1" x14ac:dyDescent="0.3">
      <c r="A12" s="16">
        <v>2009</v>
      </c>
      <c r="C12" s="234">
        <f t="shared" si="3"/>
        <v>6447.4789915966385</v>
      </c>
      <c r="D12" s="168">
        <f>lagoonbefore2019!E12</f>
        <v>7465.5172413793116</v>
      </c>
      <c r="E12" s="58">
        <f t="shared" si="0"/>
        <v>6447.4789915966385</v>
      </c>
      <c r="F12" s="170"/>
      <c r="H12">
        <f t="shared" si="1"/>
        <v>2.79</v>
      </c>
      <c r="I12" s="236">
        <f t="shared" si="2"/>
        <v>2.19780219780219E-2</v>
      </c>
      <c r="J12" s="8"/>
      <c r="Q12" s="8">
        <v>2.79</v>
      </c>
    </row>
    <row r="13" spans="1:17" ht="15.75" thickBot="1" x14ac:dyDescent="0.3">
      <c r="A13" s="16">
        <v>2010</v>
      </c>
      <c r="C13" s="234">
        <f t="shared" si="3"/>
        <v>6424.3697478991589</v>
      </c>
      <c r="D13" s="168">
        <f>lagoonbefore2019!E13</f>
        <v>7586.2068965517255</v>
      </c>
      <c r="E13" s="58">
        <f t="shared" si="0"/>
        <v>6424.3697478991589</v>
      </c>
      <c r="F13" s="170"/>
      <c r="G13">
        <f>J13</f>
        <v>2.7749999999999999</v>
      </c>
      <c r="H13">
        <f t="shared" si="1"/>
        <v>2.78</v>
      </c>
      <c r="I13" s="236">
        <f t="shared" si="2"/>
        <v>-3.5842293906810374E-3</v>
      </c>
      <c r="J13" s="8">
        <v>2.7749999999999999</v>
      </c>
      <c r="Q13" s="8">
        <v>2.78</v>
      </c>
    </row>
    <row r="14" spans="1:17" ht="15.75" thickBot="1" x14ac:dyDescent="0.3">
      <c r="A14" s="16">
        <v>2011</v>
      </c>
      <c r="C14" s="234">
        <f>C6*J14/Q6</f>
        <v>6505.2521008403364</v>
      </c>
      <c r="D14" s="168">
        <f>lagoonbefore2019!E14</f>
        <v>7706.8965517241395</v>
      </c>
      <c r="E14" s="58">
        <f t="shared" si="0"/>
        <v>6505.2521008403364</v>
      </c>
      <c r="F14" s="170"/>
      <c r="G14">
        <f t="shared" ref="G14:G23" si="4">J14</f>
        <v>2.8149999999999999</v>
      </c>
      <c r="H14" s="236">
        <f>G14/G13-1</f>
        <v>1.4414414414414489E-2</v>
      </c>
      <c r="I14" s="237"/>
      <c r="J14" s="8">
        <v>2.8149999999999999</v>
      </c>
    </row>
    <row r="15" spans="1:17" ht="15.75" thickBot="1" x14ac:dyDescent="0.3">
      <c r="A15" s="16">
        <v>2012</v>
      </c>
      <c r="C15" s="234">
        <f t="shared" ref="C15:C23" si="5">C$6*J15/Q$6</f>
        <v>6595.3781512605046</v>
      </c>
      <c r="D15" s="168">
        <f>lagoonbefore2019!E15</f>
        <v>7827.5862068965534</v>
      </c>
      <c r="E15" s="58">
        <f t="shared" si="0"/>
        <v>6595.3781512605046</v>
      </c>
      <c r="F15" s="170"/>
      <c r="G15">
        <f t="shared" si="4"/>
        <v>2.8540000000000001</v>
      </c>
      <c r="H15" s="236">
        <f t="shared" ref="H15:H23" si="6">G15/G14-1</f>
        <v>1.3854351687389022E-2</v>
      </c>
      <c r="I15" s="237"/>
      <c r="J15" s="8">
        <v>2.8540000000000001</v>
      </c>
    </row>
    <row r="16" spans="1:17" ht="15.75" thickBot="1" x14ac:dyDescent="0.3">
      <c r="A16" s="16">
        <v>2013</v>
      </c>
      <c r="C16" s="234">
        <f t="shared" si="5"/>
        <v>6701.680672268908</v>
      </c>
      <c r="D16" s="168">
        <f>lagoonbefore2019!E16</f>
        <v>7948.2758620689674</v>
      </c>
      <c r="E16" s="58">
        <f t="shared" si="0"/>
        <v>6701.680672268908</v>
      </c>
      <c r="F16" s="170"/>
      <c r="G16">
        <f t="shared" si="4"/>
        <v>2.9</v>
      </c>
      <c r="H16" s="236">
        <f t="shared" si="6"/>
        <v>1.6117729502452605E-2</v>
      </c>
      <c r="I16" s="237"/>
      <c r="J16" s="8">
        <v>2.9</v>
      </c>
    </row>
    <row r="17" spans="1:11" ht="15.75" thickBot="1" x14ac:dyDescent="0.3">
      <c r="A17" s="16">
        <v>2014</v>
      </c>
      <c r="C17" s="234">
        <f t="shared" si="5"/>
        <v>6791.8067226890762</v>
      </c>
      <c r="D17" s="168">
        <f>lagoonbefore2019!E17</f>
        <v>8068.9655172413813</v>
      </c>
      <c r="E17" s="58">
        <f t="shared" si="0"/>
        <v>6791.8067226890762</v>
      </c>
      <c r="F17" s="170"/>
      <c r="G17">
        <f t="shared" si="4"/>
        <v>2.9390000000000001</v>
      </c>
      <c r="H17" s="236">
        <f t="shared" si="6"/>
        <v>1.3448275862069092E-2</v>
      </c>
      <c r="I17" s="237"/>
      <c r="J17" s="8">
        <v>2.9390000000000001</v>
      </c>
    </row>
    <row r="18" spans="1:11" ht="15.75" thickBot="1" x14ac:dyDescent="0.3">
      <c r="A18" s="16">
        <v>2015</v>
      </c>
      <c r="C18" s="234">
        <f t="shared" si="5"/>
        <v>6898.1092436974795</v>
      </c>
      <c r="D18" s="168">
        <f>lagoonbefore2019!E18</f>
        <v>8189.6551724137953</v>
      </c>
      <c r="E18" s="58">
        <f t="shared" si="0"/>
        <v>6898.1092436974795</v>
      </c>
      <c r="F18" s="58">
        <f>J34</f>
        <v>2997404</v>
      </c>
      <c r="G18">
        <f t="shared" si="4"/>
        <v>2.9849999999999999</v>
      </c>
      <c r="H18" s="236">
        <f t="shared" si="6"/>
        <v>1.5651582170806311E-2</v>
      </c>
      <c r="I18" s="237"/>
      <c r="J18" s="8">
        <v>2.9849999999999999</v>
      </c>
    </row>
    <row r="19" spans="1:11" ht="15.75" thickBot="1" x14ac:dyDescent="0.3">
      <c r="A19" s="16">
        <v>2016</v>
      </c>
      <c r="C19" s="234">
        <f t="shared" si="5"/>
        <v>7034.453781512605</v>
      </c>
      <c r="D19" s="168">
        <f>lagoonbefore2019!E19</f>
        <v>8310.3448275862083</v>
      </c>
      <c r="E19" s="58">
        <f t="shared" si="0"/>
        <v>7034.453781512605</v>
      </c>
      <c r="F19" s="170"/>
      <c r="G19">
        <f t="shared" si="4"/>
        <v>3.044</v>
      </c>
      <c r="H19" s="236">
        <f t="shared" si="6"/>
        <v>1.9765494137353512E-2</v>
      </c>
      <c r="I19" s="237"/>
      <c r="J19" s="8">
        <v>3.044</v>
      </c>
    </row>
    <row r="20" spans="1:11" ht="15.75" thickBot="1" x14ac:dyDescent="0.3">
      <c r="A20" s="16">
        <v>2017</v>
      </c>
      <c r="C20" s="234">
        <f t="shared" si="5"/>
        <v>7168.4873949579833</v>
      </c>
      <c r="D20" s="168">
        <f>lagoonbefore2019!E20</f>
        <v>8431.0344827586214</v>
      </c>
      <c r="E20" s="58">
        <f t="shared" si="0"/>
        <v>7168.4873949579833</v>
      </c>
      <c r="F20" s="170"/>
      <c r="G20">
        <f t="shared" si="4"/>
        <v>3.1019999999999999</v>
      </c>
      <c r="H20" s="236">
        <f t="shared" si="6"/>
        <v>1.905387647831791E-2</v>
      </c>
      <c r="I20" s="237"/>
      <c r="J20" s="8">
        <v>3.1019999999999999</v>
      </c>
    </row>
    <row r="21" spans="1:11" ht="15.75" thickBot="1" x14ac:dyDescent="0.3">
      <c r="A21" s="16">
        <v>2018</v>
      </c>
      <c r="C21" s="234">
        <f t="shared" si="5"/>
        <v>7300.2100840336134</v>
      </c>
      <c r="D21" s="168">
        <f>lagoonbefore2019!E21</f>
        <v>8551.7241379310344</v>
      </c>
      <c r="E21" s="58">
        <f t="shared" si="0"/>
        <v>7300.2100840336134</v>
      </c>
      <c r="F21" s="170"/>
      <c r="G21">
        <f t="shared" si="4"/>
        <v>3.1589999999999998</v>
      </c>
      <c r="H21" s="236">
        <f t="shared" si="6"/>
        <v>1.837524177949712E-2</v>
      </c>
      <c r="I21" s="237"/>
      <c r="J21" s="8">
        <v>3.1589999999999998</v>
      </c>
    </row>
    <row r="22" spans="1:11" ht="15.75" thickBot="1" x14ac:dyDescent="0.3">
      <c r="A22" s="16">
        <v>2019</v>
      </c>
      <c r="C22" s="234">
        <f t="shared" si="5"/>
        <v>7434.2436974789916</v>
      </c>
      <c r="D22" s="168">
        <f>lagoonbefore2019!E22</f>
        <v>8672.4137931034475</v>
      </c>
      <c r="E22" s="58">
        <f t="shared" si="0"/>
        <v>7434.2436974789916</v>
      </c>
      <c r="F22" s="170"/>
      <c r="G22">
        <f t="shared" si="4"/>
        <v>3.2170000000000001</v>
      </c>
      <c r="H22" s="236">
        <f t="shared" si="6"/>
        <v>1.8360240582462994E-2</v>
      </c>
      <c r="I22" s="237"/>
      <c r="J22" s="8">
        <v>3.2170000000000001</v>
      </c>
    </row>
    <row r="23" spans="1:11" ht="15.75" thickBot="1" x14ac:dyDescent="0.3">
      <c r="A23" s="16">
        <v>2020</v>
      </c>
      <c r="C23" s="234">
        <f t="shared" si="5"/>
        <v>7565.9663865546217</v>
      </c>
      <c r="D23" s="168">
        <f>lagoonbefore2019!E23</f>
        <v>8793.1034482758605</v>
      </c>
      <c r="E23" s="58">
        <f t="shared" si="0"/>
        <v>7565.9663865546217</v>
      </c>
      <c r="F23" s="170"/>
      <c r="G23">
        <f t="shared" si="4"/>
        <v>3.274</v>
      </c>
      <c r="H23" s="236">
        <f t="shared" si="6"/>
        <v>1.7718371153248258E-2</v>
      </c>
      <c r="I23" s="237"/>
      <c r="J23" s="8">
        <v>3.274</v>
      </c>
    </row>
    <row r="24" spans="1:11" ht="15.75" thickBot="1" x14ac:dyDescent="0.3">
      <c r="A24" s="16">
        <v>2021</v>
      </c>
      <c r="C24" s="175">
        <f>C23*(1+F$24)</f>
        <v>7717.4033245132496</v>
      </c>
      <c r="D24" s="168">
        <f>lagoonbefore2019!E24</f>
        <v>8913.7931034482735</v>
      </c>
      <c r="E24" s="58">
        <f t="shared" si="0"/>
        <v>7717.4033245132496</v>
      </c>
      <c r="F24" s="170">
        <f>POWER(F28/G23/1000000,1/5)-1</f>
        <v>2.0015544640502814E-2</v>
      </c>
      <c r="H24" s="237"/>
      <c r="I24" s="237"/>
    </row>
    <row r="25" spans="1:11" ht="15.75" thickBot="1" x14ac:dyDescent="0.3">
      <c r="A25" s="16">
        <v>2022</v>
      </c>
      <c r="C25" s="175">
        <f t="shared" ref="C25:C27" si="7">C24*(1+F$24)</f>
        <v>7871.8713552638092</v>
      </c>
      <c r="D25" s="168">
        <f>lagoonbefore2019!E25</f>
        <v>9034.4827586206866</v>
      </c>
      <c r="E25" s="58">
        <f t="shared" si="0"/>
        <v>7871.8713552638092</v>
      </c>
      <c r="F25" s="170"/>
      <c r="H25" s="266"/>
      <c r="I25" s="266"/>
    </row>
    <row r="26" spans="1:11" ht="15.75" thickBot="1" x14ac:dyDescent="0.3">
      <c r="A26" s="16">
        <v>2023</v>
      </c>
      <c r="C26" s="175">
        <f t="shared" si="7"/>
        <v>8029.4311477793872</v>
      </c>
      <c r="D26" s="168">
        <f>lagoonbefore2019!E26</f>
        <v>9155.1724137930996</v>
      </c>
      <c r="E26" s="58">
        <f t="shared" si="0"/>
        <v>8029.4311477793872</v>
      </c>
      <c r="F26" s="170"/>
      <c r="H26" s="267"/>
      <c r="I26" s="267"/>
    </row>
    <row r="27" spans="1:11" ht="15.75" thickBot="1" x14ac:dyDescent="0.3">
      <c r="A27" s="16">
        <v>2024</v>
      </c>
      <c r="C27" s="175">
        <f t="shared" si="7"/>
        <v>8190.1445853556088</v>
      </c>
      <c r="D27" s="168">
        <f>lagoonbefore2019!E27</f>
        <v>9275.8620689655127</v>
      </c>
      <c r="E27" s="58">
        <f t="shared" si="0"/>
        <v>8190.1445853556088</v>
      </c>
      <c r="F27" s="170"/>
    </row>
    <row r="28" spans="1:11" ht="15.75" thickBot="1" x14ac:dyDescent="0.3">
      <c r="A28" s="16">
        <v>2025</v>
      </c>
      <c r="C28" s="175">
        <f>C27*(1+F$24)</f>
        <v>8354.0747899159669</v>
      </c>
      <c r="D28" s="168">
        <f>lagoonbefore2019!E28</f>
        <v>9396.5517241379257</v>
      </c>
      <c r="E28" s="58">
        <f>C28</f>
        <v>8354.0747899159669</v>
      </c>
      <c r="F28" s="58">
        <f>K34</f>
        <v>3615036</v>
      </c>
    </row>
    <row r="29" spans="1:11" ht="15.75" thickBot="1" x14ac:dyDescent="0.3">
      <c r="A29" s="16">
        <v>2026</v>
      </c>
      <c r="C29" s="175">
        <f>C28*(1+F$29)</f>
        <v>8475.9275321846944</v>
      </c>
      <c r="D29" s="168">
        <f>lagoonbefore2019!E29</f>
        <v>9517.2413793103387</v>
      </c>
      <c r="E29" s="58">
        <f t="shared" si="0"/>
        <v>8475.9275321846944</v>
      </c>
      <c r="F29" s="170">
        <f>POWER(F38/F28,1/10)-1</f>
        <v>1.4586024824174926E-2</v>
      </c>
    </row>
    <row r="30" spans="1:11" ht="15.75" thickBot="1" x14ac:dyDescent="0.3">
      <c r="A30" s="16">
        <v>2027</v>
      </c>
      <c r="C30" s="175">
        <f t="shared" ref="C30:C37" si="8">C29*(1+F$29)</f>
        <v>8599.5576215770488</v>
      </c>
      <c r="D30" s="168">
        <f>lagoonbefore2019!E30</f>
        <v>9637.9310344827518</v>
      </c>
      <c r="E30" s="58">
        <f t="shared" si="0"/>
        <v>8599.5576215770488</v>
      </c>
      <c r="F30" s="170"/>
    </row>
    <row r="31" spans="1:11" ht="15.75" thickBot="1" x14ac:dyDescent="0.3">
      <c r="A31" s="180">
        <v>2028</v>
      </c>
      <c r="B31" s="191"/>
      <c r="C31" s="175">
        <f t="shared" si="8"/>
        <v>8724.9909825222949</v>
      </c>
      <c r="D31" s="168">
        <f>lagoonbefore2019!E31</f>
        <v>9758.6206896551648</v>
      </c>
      <c r="E31" s="58">
        <f t="shared" si="0"/>
        <v>8724.9909825222949</v>
      </c>
      <c r="F31" s="170"/>
    </row>
    <row r="32" spans="1:11" ht="15.75" thickBot="1" x14ac:dyDescent="0.3">
      <c r="A32" s="180">
        <v>2029</v>
      </c>
      <c r="B32" s="191"/>
      <c r="C32" s="175">
        <f t="shared" si="8"/>
        <v>8852.2539175840666</v>
      </c>
      <c r="D32" s="168">
        <f>lagoonbefore2019!E32</f>
        <v>9879.3103448275779</v>
      </c>
      <c r="E32" s="58">
        <f t="shared" si="0"/>
        <v>8852.2539175840666</v>
      </c>
      <c r="F32" s="170"/>
      <c r="K32" t="s">
        <v>345</v>
      </c>
    </row>
    <row r="33" spans="1:16" ht="15.75" thickBot="1" x14ac:dyDescent="0.3">
      <c r="A33" s="192">
        <v>2030</v>
      </c>
      <c r="B33" s="193"/>
      <c r="C33" s="175">
        <f t="shared" si="8"/>
        <v>8981.3731129758471</v>
      </c>
      <c r="D33" s="168">
        <f>lagoonbefore2019!E33</f>
        <v>10000</v>
      </c>
      <c r="E33" s="58">
        <f t="shared" si="0"/>
        <v>8981.3731129758471</v>
      </c>
      <c r="F33" s="170"/>
      <c r="J33">
        <v>2015</v>
      </c>
      <c r="K33">
        <v>2025</v>
      </c>
      <c r="L33">
        <v>2035</v>
      </c>
      <c r="M33">
        <v>2045</v>
      </c>
      <c r="N33">
        <v>2055</v>
      </c>
      <c r="O33">
        <v>2065</v>
      </c>
    </row>
    <row r="34" spans="1:16" ht="15.75" thickBot="1" x14ac:dyDescent="0.3">
      <c r="A34" s="180">
        <v>2031</v>
      </c>
      <c r="B34" s="191"/>
      <c r="C34" s="175">
        <f t="shared" si="8"/>
        <v>9112.3756441568894</v>
      </c>
      <c r="D34" s="168">
        <f>lagoonbefore2019!E34</f>
        <v>10120.689655172413</v>
      </c>
      <c r="E34" s="58">
        <f t="shared" si="0"/>
        <v>9112.3756441568894</v>
      </c>
      <c r="F34" s="170"/>
      <c r="J34" s="6">
        <v>2997404</v>
      </c>
      <c r="K34" s="6">
        <v>3615036</v>
      </c>
      <c r="L34" s="6">
        <v>4178317</v>
      </c>
      <c r="M34" s="6">
        <v>4745057</v>
      </c>
      <c r="N34" s="6">
        <v>5285767</v>
      </c>
      <c r="O34" s="6">
        <v>5827810</v>
      </c>
      <c r="P34" s="6"/>
    </row>
    <row r="35" spans="1:16" ht="15.75" thickBot="1" x14ac:dyDescent="0.3">
      <c r="A35" s="180">
        <v>2032</v>
      </c>
      <c r="B35" s="191"/>
      <c r="C35" s="175">
        <f t="shared" si="8"/>
        <v>9245.2889815097697</v>
      </c>
      <c r="D35" s="168">
        <f>lagoonbefore2019!E35</f>
        <v>10241.379310344826</v>
      </c>
      <c r="E35" s="58">
        <f t="shared" si="0"/>
        <v>9245.2889815097697</v>
      </c>
      <c r="F35" s="170"/>
    </row>
    <row r="36" spans="1:16" ht="15.75" thickBot="1" x14ac:dyDescent="0.3">
      <c r="A36" s="180">
        <v>2033</v>
      </c>
      <c r="B36" s="191"/>
      <c r="C36" s="175">
        <f t="shared" si="8"/>
        <v>9380.1409961007412</v>
      </c>
      <c r="D36" s="168">
        <f>lagoonbefore2019!E36</f>
        <v>10362.068965517239</v>
      </c>
      <c r="E36" s="58">
        <f t="shared" si="0"/>
        <v>9380.1409961007412</v>
      </c>
      <c r="F36" s="170"/>
    </row>
    <row r="37" spans="1:16" ht="15.75" thickBot="1" x14ac:dyDescent="0.3">
      <c r="A37" s="180">
        <v>2034</v>
      </c>
      <c r="B37" s="191"/>
      <c r="C37" s="175">
        <f t="shared" si="8"/>
        <v>9516.9599655241273</v>
      </c>
      <c r="D37" s="168">
        <f>lagoonbefore2019!E37</f>
        <v>10482.758620689652</v>
      </c>
      <c r="E37" s="58">
        <f t="shared" si="0"/>
        <v>9516.9599655241273</v>
      </c>
      <c r="F37" s="170"/>
    </row>
    <row r="38" spans="1:16" ht="15.75" thickBot="1" x14ac:dyDescent="0.3">
      <c r="A38" s="180">
        <v>2035</v>
      </c>
      <c r="B38" s="191"/>
      <c r="C38" s="175">
        <f>C37*(1+F$29)</f>
        <v>9655.7745798319411</v>
      </c>
      <c r="D38" s="168">
        <f>lagoonbefore2019!E38</f>
        <v>10603.448275862065</v>
      </c>
      <c r="E38" s="58">
        <f t="shared" si="0"/>
        <v>9655.7745798319411</v>
      </c>
      <c r="F38" s="58">
        <f>L34</f>
        <v>4178317</v>
      </c>
    </row>
    <row r="39" spans="1:16" ht="15.75" thickBot="1" x14ac:dyDescent="0.3">
      <c r="A39" s="180">
        <v>2036</v>
      </c>
      <c r="B39" s="191"/>
      <c r="C39" s="175">
        <f>C38*(1+F$39)</f>
        <v>9779.3755225726018</v>
      </c>
      <c r="D39" s="168">
        <f>lagoonbefore2019!E39</f>
        <v>10724.137931034478</v>
      </c>
      <c r="E39" s="58">
        <f t="shared" si="0"/>
        <v>9779.3755225726018</v>
      </c>
      <c r="F39" s="170">
        <f>POWER(F48/F38,1/10)-1</f>
        <v>1.2800727866910444E-2</v>
      </c>
    </row>
    <row r="40" spans="1:16" ht="15.75" thickBot="1" x14ac:dyDescent="0.3">
      <c r="A40" s="180">
        <v>2037</v>
      </c>
      <c r="B40" s="191"/>
      <c r="C40" s="175">
        <f t="shared" ref="C40:C48" si="9">C39*(1+F$39)</f>
        <v>9904.5586473453786</v>
      </c>
      <c r="D40" s="168">
        <f>lagoonbefore2019!E40</f>
        <v>10844.827586206891</v>
      </c>
      <c r="E40" s="58">
        <f t="shared" si="0"/>
        <v>9904.5586473453786</v>
      </c>
      <c r="F40" s="170"/>
    </row>
    <row r="41" spans="1:16" ht="15.75" thickBot="1" x14ac:dyDescent="0.3">
      <c r="A41" s="191">
        <v>2038</v>
      </c>
      <c r="B41" s="175"/>
      <c r="C41" s="175">
        <f t="shared" si="9"/>
        <v>10031.344207231901</v>
      </c>
      <c r="D41" s="168">
        <f>lagoonbefore2019!E41</f>
        <v>10965.517241379304</v>
      </c>
      <c r="E41" s="58">
        <f t="shared" si="0"/>
        <v>10031.344207231901</v>
      </c>
      <c r="F41" s="170"/>
    </row>
    <row r="42" spans="1:16" ht="15.75" thickBot="1" x14ac:dyDescent="0.3">
      <c r="A42" s="191">
        <v>2039</v>
      </c>
      <c r="B42" s="175"/>
      <c r="C42" s="175">
        <f t="shared" si="9"/>
        <v>10159.752714567985</v>
      </c>
      <c r="D42" s="168">
        <f>lagoonbefore2019!E42</f>
        <v>11086.206896551717</v>
      </c>
      <c r="E42" s="58">
        <f t="shared" si="0"/>
        <v>10159.752714567985</v>
      </c>
      <c r="F42" s="170"/>
    </row>
    <row r="43" spans="1:16" ht="15.75" thickBot="1" x14ac:dyDescent="0.3">
      <c r="A43" s="191">
        <v>2040</v>
      </c>
      <c r="B43" s="175"/>
      <c r="C43" s="175">
        <f t="shared" si="9"/>
        <v>10289.804944262274</v>
      </c>
      <c r="D43" s="168">
        <f>lagoonbefore2019!E43</f>
        <v>11206.89655172413</v>
      </c>
      <c r="E43" s="58">
        <f t="shared" si="0"/>
        <v>10289.804944262274</v>
      </c>
      <c r="F43" s="170"/>
      <c r="G43" s="170"/>
      <c r="H43" s="170"/>
    </row>
    <row r="44" spans="1:16" ht="15.75" thickBot="1" x14ac:dyDescent="0.3">
      <c r="A44" s="191">
        <f>A43+1</f>
        <v>2041</v>
      </c>
      <c r="B44" s="175"/>
      <c r="C44" s="175">
        <f t="shared" si="9"/>
        <v>10421.521937157366</v>
      </c>
      <c r="D44" s="168"/>
      <c r="E44" s="58">
        <f t="shared" ref="E44:E53" si="10">C44</f>
        <v>10421.521937157366</v>
      </c>
      <c r="F44" s="170"/>
      <c r="G44" s="170"/>
      <c r="H44" s="170"/>
    </row>
    <row r="45" spans="1:16" ht="15.75" thickBot="1" x14ac:dyDescent="0.3">
      <c r="A45" s="191">
        <f t="shared" ref="A45:A52" si="11">A44+1</f>
        <v>2042</v>
      </c>
      <c r="B45" s="175"/>
      <c r="C45" s="175">
        <f t="shared" si="9"/>
        <v>10554.925003433955</v>
      </c>
      <c r="D45" s="168"/>
      <c r="E45" s="58">
        <f t="shared" si="10"/>
        <v>10554.925003433955</v>
      </c>
      <c r="F45" s="170"/>
      <c r="G45" s="170"/>
      <c r="H45" s="170"/>
    </row>
    <row r="46" spans="1:16" ht="15.75" thickBot="1" x14ac:dyDescent="0.3">
      <c r="A46" s="191">
        <f t="shared" si="11"/>
        <v>2043</v>
      </c>
      <c r="B46" s="175"/>
      <c r="C46" s="175">
        <f t="shared" si="9"/>
        <v>10690.035726058562</v>
      </c>
      <c r="D46" s="168"/>
      <c r="E46" s="58">
        <f t="shared" si="10"/>
        <v>10690.035726058562</v>
      </c>
      <c r="F46" s="170"/>
      <c r="G46" s="170"/>
      <c r="H46" s="170"/>
    </row>
    <row r="47" spans="1:16" ht="12.75" customHeight="1" thickBot="1" x14ac:dyDescent="0.3">
      <c r="A47" s="191">
        <f t="shared" si="11"/>
        <v>2044</v>
      </c>
      <c r="B47" s="175"/>
      <c r="C47" s="175">
        <f t="shared" si="9"/>
        <v>10826.875964275388</v>
      </c>
      <c r="D47" s="168"/>
      <c r="E47" s="58">
        <f t="shared" si="10"/>
        <v>10826.875964275388</v>
      </c>
      <c r="F47" s="170"/>
      <c r="G47" s="170"/>
      <c r="H47" s="170"/>
    </row>
    <row r="48" spans="1:16" ht="15.75" thickBot="1" x14ac:dyDescent="0.3">
      <c r="A48" s="191">
        <f t="shared" si="11"/>
        <v>2045</v>
      </c>
      <c r="B48" s="175"/>
      <c r="C48" s="175">
        <f t="shared" si="9"/>
        <v>10965.467857142872</v>
      </c>
      <c r="D48" s="168"/>
      <c r="E48" s="58">
        <f t="shared" si="10"/>
        <v>10965.467857142872</v>
      </c>
      <c r="F48" s="58">
        <f>M34</f>
        <v>4745057</v>
      </c>
      <c r="G48" s="170"/>
      <c r="H48" s="170"/>
    </row>
    <row r="49" spans="1:8" ht="15.75" thickBot="1" x14ac:dyDescent="0.3">
      <c r="A49" s="191">
        <f t="shared" si="11"/>
        <v>2046</v>
      </c>
      <c r="B49" s="175"/>
      <c r="C49" s="58">
        <f>C48*(1+F$49)</f>
        <v>11087.667721247086</v>
      </c>
      <c r="D49" s="168"/>
      <c r="E49" s="58">
        <f t="shared" si="10"/>
        <v>11087.667721247086</v>
      </c>
      <c r="F49" s="170">
        <f>POWER(F53/F48,1/5)-1</f>
        <v>1.1144062952554545E-2</v>
      </c>
      <c r="G49" s="170"/>
      <c r="H49" s="170"/>
    </row>
    <row r="50" spans="1:8" ht="15.75" thickBot="1" x14ac:dyDescent="0.3">
      <c r="A50" s="191">
        <f t="shared" si="11"/>
        <v>2047</v>
      </c>
      <c r="B50" s="175"/>
      <c r="C50" s="58">
        <f t="shared" ref="C50:C53" si="12">C49*(1+F$49)</f>
        <v>11211.22938832967</v>
      </c>
      <c r="D50" s="168"/>
      <c r="E50" s="58">
        <f t="shared" si="10"/>
        <v>11211.22938832967</v>
      </c>
      <c r="F50" s="170"/>
      <c r="G50" s="170"/>
      <c r="H50" s="170"/>
    </row>
    <row r="51" spans="1:8" ht="15.75" thickBot="1" x14ac:dyDescent="0.3">
      <c r="A51" s="191">
        <f t="shared" si="11"/>
        <v>2048</v>
      </c>
      <c r="B51" s="175"/>
      <c r="C51" s="58">
        <f t="shared" si="12"/>
        <v>11336.168034408745</v>
      </c>
      <c r="D51" s="168"/>
      <c r="E51" s="58">
        <f t="shared" si="10"/>
        <v>11336.168034408745</v>
      </c>
      <c r="F51" s="170"/>
      <c r="G51" s="170"/>
      <c r="H51" s="170"/>
    </row>
    <row r="52" spans="1:8" ht="15.75" thickBot="1" x14ac:dyDescent="0.3">
      <c r="A52" s="191">
        <f t="shared" si="11"/>
        <v>2049</v>
      </c>
      <c r="B52" s="175"/>
      <c r="C52" s="58">
        <f t="shared" si="12"/>
        <v>11462.499004624933</v>
      </c>
      <c r="D52" s="168"/>
      <c r="E52" s="58">
        <f t="shared" si="10"/>
        <v>11462.499004624933</v>
      </c>
      <c r="F52" s="170"/>
      <c r="G52" s="170"/>
      <c r="H52" s="170"/>
    </row>
    <row r="53" spans="1:8" ht="15.75" thickBot="1" x14ac:dyDescent="0.3">
      <c r="A53" s="181">
        <f>A52+1</f>
        <v>2050</v>
      </c>
      <c r="B53" s="195"/>
      <c r="C53" s="58">
        <f t="shared" si="12"/>
        <v>11590.237815126067</v>
      </c>
      <c r="D53" s="168"/>
      <c r="E53" s="58">
        <f t="shared" si="10"/>
        <v>11590.237815126067</v>
      </c>
      <c r="F53" s="58">
        <f>AVERAGE(M34:N34)</f>
        <v>5015412</v>
      </c>
      <c r="G53" s="170"/>
      <c r="H53" s="170"/>
    </row>
    <row r="54" spans="1:8" x14ac:dyDescent="0.25">
      <c r="G54" s="170"/>
      <c r="H54" s="170"/>
    </row>
    <row r="55" spans="1:8" x14ac:dyDescent="0.25">
      <c r="G55" s="170"/>
      <c r="H55" s="170"/>
    </row>
    <row r="57" spans="1:8" ht="26.25" customHeight="1" x14ac:dyDescent="0.25">
      <c r="G57" s="185"/>
      <c r="H57" s="185"/>
    </row>
  </sheetData>
  <mergeCells count="2">
    <mergeCell ref="H25:I25"/>
    <mergeCell ref="H26:I26"/>
  </mergeCells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5529-EC1D-4AD0-AE58-22AC15C5697E}">
  <dimension ref="A1:J57"/>
  <sheetViews>
    <sheetView workbookViewId="0">
      <selection activeCell="F43" sqref="F4:F43"/>
    </sheetView>
  </sheetViews>
  <sheetFormatPr defaultRowHeight="15" x14ac:dyDescent="0.25"/>
  <cols>
    <col min="1" max="1" width="9.140625" style="183"/>
    <col min="2" max="2" width="10.42578125" style="183" customWidth="1"/>
    <col min="3" max="3" width="10.7109375" style="163" customWidth="1"/>
    <col min="4" max="4" width="10.7109375" style="164" customWidth="1"/>
    <col min="5" max="5" width="12.7109375" customWidth="1"/>
    <col min="258" max="258" width="10.42578125" customWidth="1"/>
    <col min="259" max="260" width="10.7109375" customWidth="1"/>
    <col min="261" max="261" width="12.7109375" customWidth="1"/>
    <col min="514" max="514" width="10.42578125" customWidth="1"/>
    <col min="515" max="516" width="10.7109375" customWidth="1"/>
    <col min="517" max="517" width="12.7109375" customWidth="1"/>
    <col min="770" max="770" width="10.42578125" customWidth="1"/>
    <col min="771" max="772" width="10.7109375" customWidth="1"/>
    <col min="773" max="773" width="12.7109375" customWidth="1"/>
    <col min="1026" max="1026" width="10.42578125" customWidth="1"/>
    <col min="1027" max="1028" width="10.7109375" customWidth="1"/>
    <col min="1029" max="1029" width="12.7109375" customWidth="1"/>
    <col min="1282" max="1282" width="10.42578125" customWidth="1"/>
    <col min="1283" max="1284" width="10.7109375" customWidth="1"/>
    <col min="1285" max="1285" width="12.7109375" customWidth="1"/>
    <col min="1538" max="1538" width="10.42578125" customWidth="1"/>
    <col min="1539" max="1540" width="10.7109375" customWidth="1"/>
    <col min="1541" max="1541" width="12.7109375" customWidth="1"/>
    <col min="1794" max="1794" width="10.42578125" customWidth="1"/>
    <col min="1795" max="1796" width="10.7109375" customWidth="1"/>
    <col min="1797" max="1797" width="12.7109375" customWidth="1"/>
    <col min="2050" max="2050" width="10.42578125" customWidth="1"/>
    <col min="2051" max="2052" width="10.7109375" customWidth="1"/>
    <col min="2053" max="2053" width="12.7109375" customWidth="1"/>
    <col min="2306" max="2306" width="10.42578125" customWidth="1"/>
    <col min="2307" max="2308" width="10.7109375" customWidth="1"/>
    <col min="2309" max="2309" width="12.7109375" customWidth="1"/>
    <col min="2562" max="2562" width="10.42578125" customWidth="1"/>
    <col min="2563" max="2564" width="10.7109375" customWidth="1"/>
    <col min="2565" max="2565" width="12.7109375" customWidth="1"/>
    <col min="2818" max="2818" width="10.42578125" customWidth="1"/>
    <col min="2819" max="2820" width="10.7109375" customWidth="1"/>
    <col min="2821" max="2821" width="12.7109375" customWidth="1"/>
    <col min="3074" max="3074" width="10.42578125" customWidth="1"/>
    <col min="3075" max="3076" width="10.7109375" customWidth="1"/>
    <col min="3077" max="3077" width="12.7109375" customWidth="1"/>
    <col min="3330" max="3330" width="10.42578125" customWidth="1"/>
    <col min="3331" max="3332" width="10.7109375" customWidth="1"/>
    <col min="3333" max="3333" width="12.7109375" customWidth="1"/>
    <col min="3586" max="3586" width="10.42578125" customWidth="1"/>
    <col min="3587" max="3588" width="10.7109375" customWidth="1"/>
    <col min="3589" max="3589" width="12.7109375" customWidth="1"/>
    <col min="3842" max="3842" width="10.42578125" customWidth="1"/>
    <col min="3843" max="3844" width="10.7109375" customWidth="1"/>
    <col min="3845" max="3845" width="12.7109375" customWidth="1"/>
    <col min="4098" max="4098" width="10.42578125" customWidth="1"/>
    <col min="4099" max="4100" width="10.7109375" customWidth="1"/>
    <col min="4101" max="4101" width="12.7109375" customWidth="1"/>
    <col min="4354" max="4354" width="10.42578125" customWidth="1"/>
    <col min="4355" max="4356" width="10.7109375" customWidth="1"/>
    <col min="4357" max="4357" width="12.7109375" customWidth="1"/>
    <col min="4610" max="4610" width="10.42578125" customWidth="1"/>
    <col min="4611" max="4612" width="10.7109375" customWidth="1"/>
    <col min="4613" max="4613" width="12.7109375" customWidth="1"/>
    <col min="4866" max="4866" width="10.42578125" customWidth="1"/>
    <col min="4867" max="4868" width="10.7109375" customWidth="1"/>
    <col min="4869" max="4869" width="12.7109375" customWidth="1"/>
    <col min="5122" max="5122" width="10.42578125" customWidth="1"/>
    <col min="5123" max="5124" width="10.7109375" customWidth="1"/>
    <col min="5125" max="5125" width="12.7109375" customWidth="1"/>
    <col min="5378" max="5378" width="10.42578125" customWidth="1"/>
    <col min="5379" max="5380" width="10.7109375" customWidth="1"/>
    <col min="5381" max="5381" width="12.7109375" customWidth="1"/>
    <col min="5634" max="5634" width="10.42578125" customWidth="1"/>
    <col min="5635" max="5636" width="10.7109375" customWidth="1"/>
    <col min="5637" max="5637" width="12.7109375" customWidth="1"/>
    <col min="5890" max="5890" width="10.42578125" customWidth="1"/>
    <col min="5891" max="5892" width="10.7109375" customWidth="1"/>
    <col min="5893" max="5893" width="12.7109375" customWidth="1"/>
    <col min="6146" max="6146" width="10.42578125" customWidth="1"/>
    <col min="6147" max="6148" width="10.7109375" customWidth="1"/>
    <col min="6149" max="6149" width="12.7109375" customWidth="1"/>
    <col min="6402" max="6402" width="10.42578125" customWidth="1"/>
    <col min="6403" max="6404" width="10.7109375" customWidth="1"/>
    <col min="6405" max="6405" width="12.7109375" customWidth="1"/>
    <col min="6658" max="6658" width="10.42578125" customWidth="1"/>
    <col min="6659" max="6660" width="10.7109375" customWidth="1"/>
    <col min="6661" max="6661" width="12.7109375" customWidth="1"/>
    <col min="6914" max="6914" width="10.42578125" customWidth="1"/>
    <col min="6915" max="6916" width="10.7109375" customWidth="1"/>
    <col min="6917" max="6917" width="12.7109375" customWidth="1"/>
    <col min="7170" max="7170" width="10.42578125" customWidth="1"/>
    <col min="7171" max="7172" width="10.7109375" customWidth="1"/>
    <col min="7173" max="7173" width="12.7109375" customWidth="1"/>
    <col min="7426" max="7426" width="10.42578125" customWidth="1"/>
    <col min="7427" max="7428" width="10.7109375" customWidth="1"/>
    <col min="7429" max="7429" width="12.7109375" customWidth="1"/>
    <col min="7682" max="7682" width="10.42578125" customWidth="1"/>
    <col min="7683" max="7684" width="10.7109375" customWidth="1"/>
    <col min="7685" max="7685" width="12.7109375" customWidth="1"/>
    <col min="7938" max="7938" width="10.42578125" customWidth="1"/>
    <col min="7939" max="7940" width="10.7109375" customWidth="1"/>
    <col min="7941" max="7941" width="12.7109375" customWidth="1"/>
    <col min="8194" max="8194" width="10.42578125" customWidth="1"/>
    <col min="8195" max="8196" width="10.7109375" customWidth="1"/>
    <col min="8197" max="8197" width="12.7109375" customWidth="1"/>
    <col min="8450" max="8450" width="10.42578125" customWidth="1"/>
    <col min="8451" max="8452" width="10.7109375" customWidth="1"/>
    <col min="8453" max="8453" width="12.7109375" customWidth="1"/>
    <col min="8706" max="8706" width="10.42578125" customWidth="1"/>
    <col min="8707" max="8708" width="10.7109375" customWidth="1"/>
    <col min="8709" max="8709" width="12.7109375" customWidth="1"/>
    <col min="8962" max="8962" width="10.42578125" customWidth="1"/>
    <col min="8963" max="8964" width="10.7109375" customWidth="1"/>
    <col min="8965" max="8965" width="12.7109375" customWidth="1"/>
    <col min="9218" max="9218" width="10.42578125" customWidth="1"/>
    <col min="9219" max="9220" width="10.7109375" customWidth="1"/>
    <col min="9221" max="9221" width="12.7109375" customWidth="1"/>
    <col min="9474" max="9474" width="10.42578125" customWidth="1"/>
    <col min="9475" max="9476" width="10.7109375" customWidth="1"/>
    <col min="9477" max="9477" width="12.7109375" customWidth="1"/>
    <col min="9730" max="9730" width="10.42578125" customWidth="1"/>
    <col min="9731" max="9732" width="10.7109375" customWidth="1"/>
    <col min="9733" max="9733" width="12.7109375" customWidth="1"/>
    <col min="9986" max="9986" width="10.42578125" customWidth="1"/>
    <col min="9987" max="9988" width="10.7109375" customWidth="1"/>
    <col min="9989" max="9989" width="12.7109375" customWidth="1"/>
    <col min="10242" max="10242" width="10.42578125" customWidth="1"/>
    <col min="10243" max="10244" width="10.7109375" customWidth="1"/>
    <col min="10245" max="10245" width="12.7109375" customWidth="1"/>
    <col min="10498" max="10498" width="10.42578125" customWidth="1"/>
    <col min="10499" max="10500" width="10.7109375" customWidth="1"/>
    <col min="10501" max="10501" width="12.7109375" customWidth="1"/>
    <col min="10754" max="10754" width="10.42578125" customWidth="1"/>
    <col min="10755" max="10756" width="10.7109375" customWidth="1"/>
    <col min="10757" max="10757" width="12.7109375" customWidth="1"/>
    <col min="11010" max="11010" width="10.42578125" customWidth="1"/>
    <col min="11011" max="11012" width="10.7109375" customWidth="1"/>
    <col min="11013" max="11013" width="12.7109375" customWidth="1"/>
    <col min="11266" max="11266" width="10.42578125" customWidth="1"/>
    <col min="11267" max="11268" width="10.7109375" customWidth="1"/>
    <col min="11269" max="11269" width="12.7109375" customWidth="1"/>
    <col min="11522" max="11522" width="10.42578125" customWidth="1"/>
    <col min="11523" max="11524" width="10.7109375" customWidth="1"/>
    <col min="11525" max="11525" width="12.7109375" customWidth="1"/>
    <col min="11778" max="11778" width="10.42578125" customWidth="1"/>
    <col min="11779" max="11780" width="10.7109375" customWidth="1"/>
    <col min="11781" max="11781" width="12.7109375" customWidth="1"/>
    <col min="12034" max="12034" width="10.42578125" customWidth="1"/>
    <col min="12035" max="12036" width="10.7109375" customWidth="1"/>
    <col min="12037" max="12037" width="12.7109375" customWidth="1"/>
    <col min="12290" max="12290" width="10.42578125" customWidth="1"/>
    <col min="12291" max="12292" width="10.7109375" customWidth="1"/>
    <col min="12293" max="12293" width="12.7109375" customWidth="1"/>
    <col min="12546" max="12546" width="10.42578125" customWidth="1"/>
    <col min="12547" max="12548" width="10.7109375" customWidth="1"/>
    <col min="12549" max="12549" width="12.7109375" customWidth="1"/>
    <col min="12802" max="12802" width="10.42578125" customWidth="1"/>
    <col min="12803" max="12804" width="10.7109375" customWidth="1"/>
    <col min="12805" max="12805" width="12.7109375" customWidth="1"/>
    <col min="13058" max="13058" width="10.42578125" customWidth="1"/>
    <col min="13059" max="13060" width="10.7109375" customWidth="1"/>
    <col min="13061" max="13061" width="12.7109375" customWidth="1"/>
    <col min="13314" max="13314" width="10.42578125" customWidth="1"/>
    <col min="13315" max="13316" width="10.7109375" customWidth="1"/>
    <col min="13317" max="13317" width="12.7109375" customWidth="1"/>
    <col min="13570" max="13570" width="10.42578125" customWidth="1"/>
    <col min="13571" max="13572" width="10.7109375" customWidth="1"/>
    <col min="13573" max="13573" width="12.7109375" customWidth="1"/>
    <col min="13826" max="13826" width="10.42578125" customWidth="1"/>
    <col min="13827" max="13828" width="10.7109375" customWidth="1"/>
    <col min="13829" max="13829" width="12.7109375" customWidth="1"/>
    <col min="14082" max="14082" width="10.42578125" customWidth="1"/>
    <col min="14083" max="14084" width="10.7109375" customWidth="1"/>
    <col min="14085" max="14085" width="12.7109375" customWidth="1"/>
    <col min="14338" max="14338" width="10.42578125" customWidth="1"/>
    <col min="14339" max="14340" width="10.7109375" customWidth="1"/>
    <col min="14341" max="14341" width="12.7109375" customWidth="1"/>
    <col min="14594" max="14594" width="10.42578125" customWidth="1"/>
    <col min="14595" max="14596" width="10.7109375" customWidth="1"/>
    <col min="14597" max="14597" width="12.7109375" customWidth="1"/>
    <col min="14850" max="14850" width="10.42578125" customWidth="1"/>
    <col min="14851" max="14852" width="10.7109375" customWidth="1"/>
    <col min="14853" max="14853" width="12.7109375" customWidth="1"/>
    <col min="15106" max="15106" width="10.42578125" customWidth="1"/>
    <col min="15107" max="15108" width="10.7109375" customWidth="1"/>
    <col min="15109" max="15109" width="12.7109375" customWidth="1"/>
    <col min="15362" max="15362" width="10.42578125" customWidth="1"/>
    <col min="15363" max="15364" width="10.7109375" customWidth="1"/>
    <col min="15365" max="15365" width="12.7109375" customWidth="1"/>
    <col min="15618" max="15618" width="10.42578125" customWidth="1"/>
    <col min="15619" max="15620" width="10.7109375" customWidth="1"/>
    <col min="15621" max="15621" width="12.7109375" customWidth="1"/>
    <col min="15874" max="15874" width="10.42578125" customWidth="1"/>
    <col min="15875" max="15876" width="10.7109375" customWidth="1"/>
    <col min="15877" max="15877" width="12.7109375" customWidth="1"/>
    <col min="16130" max="16130" width="10.42578125" customWidth="1"/>
    <col min="16131" max="16132" width="10.7109375" customWidth="1"/>
    <col min="16133" max="16133" width="12.7109375" customWidth="1"/>
  </cols>
  <sheetData>
    <row r="1" spans="1:10" ht="26.25" x14ac:dyDescent="0.4">
      <c r="A1" s="162" t="s">
        <v>317</v>
      </c>
      <c r="B1" s="162"/>
      <c r="F1" s="10"/>
      <c r="G1" s="10"/>
      <c r="H1" s="10"/>
      <c r="J1" s="165"/>
    </row>
    <row r="2" spans="1:10" ht="27" thickBot="1" x14ac:dyDescent="0.3">
      <c r="A2" s="3" t="s">
        <v>13</v>
      </c>
      <c r="B2" s="4" t="s">
        <v>318</v>
      </c>
      <c r="C2" s="4" t="s">
        <v>319</v>
      </c>
      <c r="D2" s="52" t="s">
        <v>244</v>
      </c>
      <c r="E2" s="52" t="s">
        <v>245</v>
      </c>
      <c r="F2" s="10"/>
      <c r="G2" s="10"/>
      <c r="H2" s="10"/>
    </row>
    <row r="3" spans="1:10" x14ac:dyDescent="0.25">
      <c r="A3" s="166">
        <v>2000</v>
      </c>
      <c r="B3" s="188"/>
      <c r="C3" s="167">
        <f>C4-$C$45</f>
        <v>6379.3103448275861</v>
      </c>
      <c r="D3" s="168">
        <v>6373</v>
      </c>
      <c r="E3" s="169">
        <f t="shared" ref="E3:E43" si="0">C3</f>
        <v>6379.3103448275861</v>
      </c>
      <c r="F3" s="170"/>
    </row>
    <row r="4" spans="1:10" x14ac:dyDescent="0.25">
      <c r="A4" s="171">
        <v>2001</v>
      </c>
      <c r="B4" s="189">
        <v>1300000</v>
      </c>
      <c r="C4" s="172">
        <f>B4/200</f>
        <v>6500</v>
      </c>
      <c r="D4" s="173">
        <v>6500</v>
      </c>
      <c r="E4" s="174">
        <f t="shared" si="0"/>
        <v>6500</v>
      </c>
      <c r="F4" s="170">
        <f t="shared" ref="F4:F43" si="1">(E4-E3)/E3</f>
        <v>1.8918918918918944E-2</v>
      </c>
    </row>
    <row r="5" spans="1:10" x14ac:dyDescent="0.25">
      <c r="A5" s="16">
        <v>2002</v>
      </c>
      <c r="C5" s="175">
        <f>C4+$C$45</f>
        <v>6620.6896551724139</v>
      </c>
      <c r="D5" s="176">
        <v>6630.4692000000005</v>
      </c>
      <c r="E5" s="58">
        <f t="shared" si="0"/>
        <v>6620.6896551724139</v>
      </c>
      <c r="F5" s="170">
        <f t="shared" si="1"/>
        <v>1.8567639257294453E-2</v>
      </c>
    </row>
    <row r="6" spans="1:10" x14ac:dyDescent="0.25">
      <c r="A6" s="16">
        <v>2003</v>
      </c>
      <c r="C6" s="175">
        <f t="shared" ref="C6:C32" si="2">C5+$C$45</f>
        <v>6741.3793103448279</v>
      </c>
      <c r="D6" s="176">
        <v>6763.0785840000008</v>
      </c>
      <c r="E6" s="58">
        <f t="shared" si="0"/>
        <v>6741.3793103448279</v>
      </c>
      <c r="F6" s="170">
        <f t="shared" si="1"/>
        <v>1.8229166666666689E-2</v>
      </c>
    </row>
    <row r="7" spans="1:10" x14ac:dyDescent="0.25">
      <c r="A7" s="16">
        <v>2004</v>
      </c>
      <c r="C7" s="175">
        <f t="shared" si="2"/>
        <v>6862.0689655172418</v>
      </c>
      <c r="D7" s="176">
        <v>6898.3401556800009</v>
      </c>
      <c r="E7" s="58">
        <f t="shared" si="0"/>
        <v>6862.0689655172418</v>
      </c>
      <c r="F7" s="170">
        <f t="shared" si="1"/>
        <v>1.790281329923276E-2</v>
      </c>
    </row>
    <row r="8" spans="1:10" x14ac:dyDescent="0.25">
      <c r="A8" s="16">
        <v>2005</v>
      </c>
      <c r="C8" s="175">
        <f t="shared" si="2"/>
        <v>6982.7586206896558</v>
      </c>
      <c r="D8" s="176">
        <v>7036.3069587936006</v>
      </c>
      <c r="E8" s="58">
        <f t="shared" si="0"/>
        <v>6982.7586206896558</v>
      </c>
      <c r="F8" s="170">
        <f t="shared" si="1"/>
        <v>1.7587939698492483E-2</v>
      </c>
    </row>
    <row r="9" spans="1:10" x14ac:dyDescent="0.25">
      <c r="A9" s="16">
        <v>2006</v>
      </c>
      <c r="C9" s="175">
        <f t="shared" si="2"/>
        <v>7103.4482758620697</v>
      </c>
      <c r="D9" s="176">
        <v>7177.0330979694727</v>
      </c>
      <c r="E9" s="58">
        <f t="shared" si="0"/>
        <v>7103.4482758620697</v>
      </c>
      <c r="F9" s="170">
        <f t="shared" si="1"/>
        <v>1.7283950617283973E-2</v>
      </c>
    </row>
    <row r="10" spans="1:10" ht="15.75" thickBot="1" x14ac:dyDescent="0.3">
      <c r="A10" s="53">
        <v>2007</v>
      </c>
      <c r="B10" s="190"/>
      <c r="C10" s="177">
        <f t="shared" si="2"/>
        <v>7224.1379310344837</v>
      </c>
      <c r="D10" s="178">
        <v>7320.5737599288623</v>
      </c>
      <c r="E10" s="55">
        <f t="shared" si="0"/>
        <v>7224.1379310344837</v>
      </c>
      <c r="F10" s="170">
        <f t="shared" si="1"/>
        <v>1.6990291262135943E-2</v>
      </c>
    </row>
    <row r="11" spans="1:10" x14ac:dyDescent="0.25">
      <c r="A11" s="166">
        <v>2008</v>
      </c>
      <c r="B11" s="188"/>
      <c r="C11" s="167">
        <f t="shared" si="2"/>
        <v>7344.8275862068976</v>
      </c>
      <c r="D11" s="179">
        <v>7466.9852351274394</v>
      </c>
      <c r="E11" s="169">
        <f t="shared" si="0"/>
        <v>7344.8275862068976</v>
      </c>
      <c r="F11" s="170">
        <f t="shared" si="1"/>
        <v>1.6706443914081166E-2</v>
      </c>
    </row>
    <row r="12" spans="1:10" x14ac:dyDescent="0.25">
      <c r="A12" s="16">
        <v>2009</v>
      </c>
      <c r="C12" s="175">
        <f t="shared" si="2"/>
        <v>7465.5172413793116</v>
      </c>
      <c r="D12" s="176">
        <v>7616.3249398299886</v>
      </c>
      <c r="E12" s="58">
        <f t="shared" si="0"/>
        <v>7465.5172413793116</v>
      </c>
      <c r="F12" s="170">
        <f t="shared" si="1"/>
        <v>1.6431924882629127E-2</v>
      </c>
    </row>
    <row r="13" spans="1:10" x14ac:dyDescent="0.25">
      <c r="A13" s="16">
        <v>2010</v>
      </c>
      <c r="C13" s="175">
        <f t="shared" si="2"/>
        <v>7586.2068965517255</v>
      </c>
      <c r="D13" s="176">
        <v>7768.6514386265881</v>
      </c>
      <c r="E13" s="58">
        <f t="shared" si="0"/>
        <v>7586.2068965517255</v>
      </c>
      <c r="F13" s="170">
        <f t="shared" si="1"/>
        <v>1.6166281755196323E-2</v>
      </c>
    </row>
    <row r="14" spans="1:10" x14ac:dyDescent="0.25">
      <c r="A14" s="16">
        <v>2011</v>
      </c>
      <c r="C14" s="175">
        <f t="shared" si="2"/>
        <v>7706.8965517241395</v>
      </c>
      <c r="D14" s="176">
        <v>7924.0244673991201</v>
      </c>
      <c r="E14" s="58">
        <f t="shared" si="0"/>
        <v>7706.8965517241395</v>
      </c>
      <c r="F14" s="170">
        <f t="shared" si="1"/>
        <v>1.5909090909090928E-2</v>
      </c>
    </row>
    <row r="15" spans="1:10" x14ac:dyDescent="0.25">
      <c r="A15" s="16">
        <v>2012</v>
      </c>
      <c r="C15" s="175">
        <f t="shared" si="2"/>
        <v>7827.5862068965534</v>
      </c>
      <c r="D15" s="176">
        <v>8082.5049567471024</v>
      </c>
      <c r="E15" s="58">
        <f t="shared" si="0"/>
        <v>7827.5862068965534</v>
      </c>
      <c r="F15" s="170">
        <f t="shared" si="1"/>
        <v>1.5659955257270711E-2</v>
      </c>
    </row>
    <row r="16" spans="1:10" x14ac:dyDescent="0.25">
      <c r="A16" s="16">
        <v>2013</v>
      </c>
      <c r="C16" s="175">
        <f t="shared" si="2"/>
        <v>7948.2758620689674</v>
      </c>
      <c r="D16" s="176">
        <v>8244.1550558820454</v>
      </c>
      <c r="E16" s="58">
        <f t="shared" si="0"/>
        <v>7948.2758620689674</v>
      </c>
      <c r="F16" s="170">
        <f t="shared" si="1"/>
        <v>1.5418502202643189E-2</v>
      </c>
    </row>
    <row r="17" spans="1:6" x14ac:dyDescent="0.25">
      <c r="A17" s="16">
        <v>2014</v>
      </c>
      <c r="C17" s="175">
        <f t="shared" si="2"/>
        <v>8068.9655172413813</v>
      </c>
      <c r="D17" s="176">
        <v>8409.0381569996862</v>
      </c>
      <c r="E17" s="58">
        <f t="shared" si="0"/>
        <v>8068.9655172413813</v>
      </c>
      <c r="F17" s="170">
        <f t="shared" si="1"/>
        <v>1.5184381778741882E-2</v>
      </c>
    </row>
    <row r="18" spans="1:6" x14ac:dyDescent="0.25">
      <c r="A18" s="16">
        <v>2015</v>
      </c>
      <c r="C18" s="175">
        <f t="shared" si="2"/>
        <v>8189.6551724137953</v>
      </c>
      <c r="D18" s="176">
        <v>8577.2189201396795</v>
      </c>
      <c r="E18" s="58">
        <f t="shared" si="0"/>
        <v>8189.6551724137953</v>
      </c>
      <c r="F18" s="170">
        <f t="shared" si="1"/>
        <v>1.4957264957264974E-2</v>
      </c>
    </row>
    <row r="19" spans="1:6" x14ac:dyDescent="0.25">
      <c r="A19" s="16">
        <v>2016</v>
      </c>
      <c r="C19" s="175">
        <f t="shared" si="2"/>
        <v>8310.3448275862083</v>
      </c>
      <c r="D19" s="176">
        <v>8748.7632985424734</v>
      </c>
      <c r="E19" s="58">
        <f t="shared" si="0"/>
        <v>8310.3448275862083</v>
      </c>
      <c r="F19" s="170">
        <f t="shared" si="1"/>
        <v>1.4736842105263062E-2</v>
      </c>
    </row>
    <row r="20" spans="1:6" x14ac:dyDescent="0.25">
      <c r="A20" s="16">
        <v>2017</v>
      </c>
      <c r="C20" s="175">
        <f t="shared" si="2"/>
        <v>8431.0344827586214</v>
      </c>
      <c r="D20" s="176">
        <v>8923.7385645133236</v>
      </c>
      <c r="E20" s="58">
        <f t="shared" si="0"/>
        <v>8431.0344827586214</v>
      </c>
      <c r="F20" s="170">
        <f t="shared" si="1"/>
        <v>1.4522821576763392E-2</v>
      </c>
    </row>
    <row r="21" spans="1:6" x14ac:dyDescent="0.25">
      <c r="A21" s="16">
        <v>2018</v>
      </c>
      <c r="C21" s="175">
        <f t="shared" si="2"/>
        <v>8551.7241379310344</v>
      </c>
      <c r="D21" s="176">
        <v>9102.2133358035899</v>
      </c>
      <c r="E21" s="58">
        <f t="shared" si="0"/>
        <v>8551.7241379310344</v>
      </c>
      <c r="F21" s="170">
        <f t="shared" si="1"/>
        <v>1.4314928425357783E-2</v>
      </c>
    </row>
    <row r="22" spans="1:6" x14ac:dyDescent="0.25">
      <c r="A22" s="16">
        <v>2019</v>
      </c>
      <c r="C22" s="175">
        <f t="shared" si="2"/>
        <v>8672.4137931034475</v>
      </c>
      <c r="D22" s="176">
        <v>9284.2576025196613</v>
      </c>
      <c r="E22" s="58">
        <f t="shared" si="0"/>
        <v>8672.4137931034475</v>
      </c>
      <c r="F22" s="170">
        <f t="shared" si="1"/>
        <v>1.4112903225806364E-2</v>
      </c>
    </row>
    <row r="23" spans="1:6" x14ac:dyDescent="0.25">
      <c r="A23" s="16">
        <v>2020</v>
      </c>
      <c r="C23" s="175">
        <f t="shared" si="2"/>
        <v>8793.1034482758605</v>
      </c>
      <c r="D23" s="176">
        <v>9469.9427545700546</v>
      </c>
      <c r="E23" s="58">
        <f t="shared" si="0"/>
        <v>8793.1034482758605</v>
      </c>
      <c r="F23" s="170">
        <f t="shared" si="1"/>
        <v>1.3916500994035699E-2</v>
      </c>
    </row>
    <row r="24" spans="1:6" x14ac:dyDescent="0.25">
      <c r="A24" s="16">
        <v>2021</v>
      </c>
      <c r="C24" s="175">
        <f t="shared" si="2"/>
        <v>8913.7931034482735</v>
      </c>
      <c r="D24" s="176">
        <v>9659.3416096614565</v>
      </c>
      <c r="E24" s="58">
        <f t="shared" si="0"/>
        <v>8913.7931034482735</v>
      </c>
      <c r="F24" s="170">
        <f t="shared" si="1"/>
        <v>1.3725490196078348E-2</v>
      </c>
    </row>
    <row r="25" spans="1:6" x14ac:dyDescent="0.25">
      <c r="A25" s="16">
        <v>2022</v>
      </c>
      <c r="C25" s="175">
        <f t="shared" si="2"/>
        <v>9034.4827586206866</v>
      </c>
      <c r="D25" s="176">
        <v>9852.5284418546853</v>
      </c>
      <c r="E25" s="58">
        <f t="shared" si="0"/>
        <v>9034.4827586206866</v>
      </c>
      <c r="F25" s="170">
        <f t="shared" si="1"/>
        <v>1.3539651837524097E-2</v>
      </c>
    </row>
    <row r="26" spans="1:6" x14ac:dyDescent="0.25">
      <c r="A26" s="16">
        <v>2023</v>
      </c>
      <c r="C26" s="175">
        <f t="shared" si="2"/>
        <v>9155.1724137930996</v>
      </c>
      <c r="D26" s="176">
        <v>10049.579010691779</v>
      </c>
      <c r="E26" s="58">
        <f t="shared" si="0"/>
        <v>9155.1724137930996</v>
      </c>
      <c r="F26" s="170">
        <f t="shared" si="1"/>
        <v>1.335877862595412E-2</v>
      </c>
    </row>
    <row r="27" spans="1:6" x14ac:dyDescent="0.25">
      <c r="A27" s="16">
        <v>2024</v>
      </c>
      <c r="C27" s="175">
        <f t="shared" si="2"/>
        <v>9275.8620689655127</v>
      </c>
      <c r="D27" s="176">
        <v>10250.570590905616</v>
      </c>
      <c r="E27" s="58">
        <f t="shared" si="0"/>
        <v>9275.8620689655127</v>
      </c>
      <c r="F27" s="170">
        <f t="shared" si="1"/>
        <v>1.3182674199623275E-2</v>
      </c>
    </row>
    <row r="28" spans="1:6" x14ac:dyDescent="0.25">
      <c r="A28" s="16">
        <v>2025</v>
      </c>
      <c r="C28" s="175">
        <f t="shared" si="2"/>
        <v>9396.5517241379257</v>
      </c>
      <c r="D28" s="176">
        <v>10455.582002723728</v>
      </c>
      <c r="E28" s="58">
        <f t="shared" si="0"/>
        <v>9396.5517241379257</v>
      </c>
      <c r="F28" s="170">
        <f t="shared" si="1"/>
        <v>1.3011152416356803E-2</v>
      </c>
    </row>
    <row r="29" spans="1:6" x14ac:dyDescent="0.25">
      <c r="A29" s="16">
        <v>2026</v>
      </c>
      <c r="C29" s="175">
        <f t="shared" si="2"/>
        <v>9517.2413793103387</v>
      </c>
      <c r="D29" s="176">
        <v>10664.693642778202</v>
      </c>
      <c r="E29" s="58">
        <f t="shared" si="0"/>
        <v>9517.2413793103387</v>
      </c>
      <c r="F29" s="170">
        <f t="shared" si="1"/>
        <v>1.2844036697247634E-2</v>
      </c>
    </row>
    <row r="30" spans="1:6" x14ac:dyDescent="0.25">
      <c r="A30" s="16">
        <v>2027</v>
      </c>
      <c r="C30" s="175">
        <f t="shared" si="2"/>
        <v>9637.9310344827518</v>
      </c>
      <c r="D30" s="176">
        <v>10877.987515633766</v>
      </c>
      <c r="E30" s="58">
        <f t="shared" si="0"/>
        <v>9637.9310344827518</v>
      </c>
      <c r="F30" s="170">
        <f t="shared" si="1"/>
        <v>1.2681159420289785E-2</v>
      </c>
    </row>
    <row r="31" spans="1:6" x14ac:dyDescent="0.25">
      <c r="A31" s="180">
        <v>2028</v>
      </c>
      <c r="B31" s="191"/>
      <c r="C31" s="175">
        <f t="shared" si="2"/>
        <v>9758.6206896551648</v>
      </c>
      <c r="D31" s="56">
        <v>11095.547265946441</v>
      </c>
      <c r="E31" s="58">
        <f t="shared" si="0"/>
        <v>9758.6206896551648</v>
      </c>
      <c r="F31" s="170">
        <f t="shared" si="1"/>
        <v>1.2522361359570593E-2</v>
      </c>
    </row>
    <row r="32" spans="1:6" x14ac:dyDescent="0.25">
      <c r="A32" s="180">
        <v>2029</v>
      </c>
      <c r="B32" s="191"/>
      <c r="C32" s="175">
        <f t="shared" si="2"/>
        <v>9879.3103448275779</v>
      </c>
      <c r="D32" s="56">
        <v>11317.45821126537</v>
      </c>
      <c r="E32" s="58">
        <f t="shared" si="0"/>
        <v>9879.3103448275779</v>
      </c>
      <c r="F32" s="170">
        <f t="shared" si="1"/>
        <v>1.236749116607767E-2</v>
      </c>
    </row>
    <row r="33" spans="1:8" x14ac:dyDescent="0.25">
      <c r="A33" s="192">
        <v>2030</v>
      </c>
      <c r="B33" s="193"/>
      <c r="C33" s="172">
        <v>10000</v>
      </c>
      <c r="D33" s="194">
        <v>11543.807375490678</v>
      </c>
      <c r="E33" s="174">
        <f t="shared" si="0"/>
        <v>10000</v>
      </c>
      <c r="F33" s="170">
        <f t="shared" si="1"/>
        <v>1.2216404886562809E-2</v>
      </c>
    </row>
    <row r="34" spans="1:8" x14ac:dyDescent="0.25">
      <c r="A34" s="180">
        <v>2031</v>
      </c>
      <c r="B34" s="191"/>
      <c r="C34" s="175">
        <f t="shared" ref="C34:C43" si="3">C33+$C$45</f>
        <v>10120.689655172413</v>
      </c>
      <c r="D34" s="56">
        <v>11774.683523000493</v>
      </c>
      <c r="E34" s="58">
        <f t="shared" si="0"/>
        <v>10120.689655172413</v>
      </c>
      <c r="F34" s="170">
        <f t="shared" si="1"/>
        <v>1.2068965517241305E-2</v>
      </c>
    </row>
    <row r="35" spans="1:8" x14ac:dyDescent="0.25">
      <c r="A35" s="180">
        <v>2032</v>
      </c>
      <c r="B35" s="191"/>
      <c r="C35" s="175">
        <f t="shared" si="3"/>
        <v>10241.379310344826</v>
      </c>
      <c r="D35" s="56">
        <v>12010.177193460502</v>
      </c>
      <c r="E35" s="58">
        <f t="shared" si="0"/>
        <v>10241.379310344826</v>
      </c>
      <c r="F35" s="170">
        <f t="shared" si="1"/>
        <v>1.1925042589437745E-2</v>
      </c>
    </row>
    <row r="36" spans="1:8" x14ac:dyDescent="0.25">
      <c r="A36" s="180">
        <v>2033</v>
      </c>
      <c r="B36" s="191"/>
      <c r="C36" s="175">
        <f t="shared" si="3"/>
        <v>10362.068965517239</v>
      </c>
      <c r="D36" s="56">
        <v>12250.380737329713</v>
      </c>
      <c r="E36" s="58">
        <f t="shared" si="0"/>
        <v>10362.068965517239</v>
      </c>
      <c r="F36" s="170">
        <f t="shared" si="1"/>
        <v>1.1784511784511714E-2</v>
      </c>
    </row>
    <row r="37" spans="1:8" x14ac:dyDescent="0.25">
      <c r="A37" s="180">
        <v>2034</v>
      </c>
      <c r="B37" s="191"/>
      <c r="C37" s="175">
        <f t="shared" si="3"/>
        <v>10482.758620689652</v>
      </c>
      <c r="D37" s="56">
        <v>12495.388352076308</v>
      </c>
      <c r="E37" s="58">
        <f t="shared" si="0"/>
        <v>10482.758620689652</v>
      </c>
      <c r="F37" s="170">
        <f t="shared" si="1"/>
        <v>1.1647254575707085E-2</v>
      </c>
    </row>
    <row r="38" spans="1:8" x14ac:dyDescent="0.25">
      <c r="A38" s="180">
        <v>2035</v>
      </c>
      <c r="B38" s="191"/>
      <c r="C38" s="175">
        <f t="shared" si="3"/>
        <v>10603.448275862065</v>
      </c>
      <c r="D38" s="56">
        <v>12745.296119117835</v>
      </c>
      <c r="E38" s="58">
        <f t="shared" si="0"/>
        <v>10603.448275862065</v>
      </c>
      <c r="F38" s="170">
        <f t="shared" si="1"/>
        <v>1.1513157894736774E-2</v>
      </c>
    </row>
    <row r="39" spans="1:8" x14ac:dyDescent="0.25">
      <c r="A39" s="180">
        <v>2036</v>
      </c>
      <c r="B39" s="191"/>
      <c r="C39" s="175">
        <f t="shared" si="3"/>
        <v>10724.137931034478</v>
      </c>
      <c r="D39" s="56">
        <v>13000.202041500192</v>
      </c>
      <c r="E39" s="58">
        <f t="shared" si="0"/>
        <v>10724.137931034478</v>
      </c>
      <c r="F39" s="170">
        <f t="shared" si="1"/>
        <v>1.1382113821138145E-2</v>
      </c>
    </row>
    <row r="40" spans="1:8" x14ac:dyDescent="0.25">
      <c r="A40" s="180">
        <v>2037</v>
      </c>
      <c r="B40" s="191"/>
      <c r="C40" s="175">
        <f t="shared" si="3"/>
        <v>10844.827586206891</v>
      </c>
      <c r="D40" s="56">
        <v>13260.206082330196</v>
      </c>
      <c r="E40" s="58">
        <f t="shared" si="0"/>
        <v>10844.827586206891</v>
      </c>
      <c r="F40" s="170">
        <f t="shared" si="1"/>
        <v>1.1254019292604436E-2</v>
      </c>
    </row>
    <row r="41" spans="1:8" x14ac:dyDescent="0.25">
      <c r="A41" s="180">
        <v>2038</v>
      </c>
      <c r="B41" s="191"/>
      <c r="C41" s="175">
        <f t="shared" si="3"/>
        <v>10965.517241379304</v>
      </c>
      <c r="D41" s="56">
        <v>13525.4102039768</v>
      </c>
      <c r="E41" s="58">
        <f t="shared" si="0"/>
        <v>10965.517241379304</v>
      </c>
      <c r="F41" s="170">
        <f t="shared" si="1"/>
        <v>1.1128775834658124E-2</v>
      </c>
    </row>
    <row r="42" spans="1:8" x14ac:dyDescent="0.25">
      <c r="A42" s="180">
        <v>2039</v>
      </c>
      <c r="B42" s="191"/>
      <c r="C42" s="175">
        <f t="shared" si="3"/>
        <v>11086.206896551717</v>
      </c>
      <c r="D42" s="56">
        <v>13795.918408056337</v>
      </c>
      <c r="E42" s="58">
        <f t="shared" si="0"/>
        <v>11086.206896551717</v>
      </c>
      <c r="F42" s="170">
        <f t="shared" si="1"/>
        <v>1.1006289308176037E-2</v>
      </c>
    </row>
    <row r="43" spans="1:8" ht="15.75" thickBot="1" x14ac:dyDescent="0.3">
      <c r="A43" s="181">
        <v>2040</v>
      </c>
      <c r="B43" s="195"/>
      <c r="C43" s="177">
        <f t="shared" si="3"/>
        <v>11206.89655172413</v>
      </c>
      <c r="D43" s="182">
        <v>14071.836776217464</v>
      </c>
      <c r="E43" s="55">
        <f t="shared" si="0"/>
        <v>11206.89655172413</v>
      </c>
      <c r="F43" s="170">
        <f t="shared" si="1"/>
        <v>1.0886469673405848E-2</v>
      </c>
      <c r="G43" s="170"/>
      <c r="H43" s="170"/>
    </row>
    <row r="44" spans="1:8" x14ac:dyDescent="0.25">
      <c r="C44" s="175"/>
      <c r="G44" s="170"/>
      <c r="H44" s="170"/>
    </row>
    <row r="45" spans="1:8" ht="26.25" customHeight="1" x14ac:dyDescent="0.25">
      <c r="A45" s="268" t="s">
        <v>320</v>
      </c>
      <c r="B45" s="268"/>
      <c r="C45" s="196">
        <f>(C33-C4)/(A33-A4)</f>
        <v>120.68965517241379</v>
      </c>
      <c r="E45" s="184" t="s">
        <v>316</v>
      </c>
      <c r="F45" s="185">
        <f>(E43/E4)^(1/(A43-A4))-1</f>
        <v>1.4065362826692018E-2</v>
      </c>
      <c r="G45" s="170"/>
      <c r="H45" s="170"/>
    </row>
    <row r="46" spans="1:8" x14ac:dyDescent="0.25">
      <c r="G46" s="170"/>
      <c r="H46" s="170"/>
    </row>
    <row r="47" spans="1:8" ht="12.75" customHeight="1" x14ac:dyDescent="0.25">
      <c r="A47" s="187"/>
      <c r="B47" s="187"/>
      <c r="G47" s="170"/>
      <c r="H47" s="170"/>
    </row>
    <row r="48" spans="1:8" x14ac:dyDescent="0.25">
      <c r="A48" s="187"/>
      <c r="B48" s="187"/>
      <c r="G48" s="170"/>
      <c r="H48" s="170"/>
    </row>
    <row r="49" spans="1:8" x14ac:dyDescent="0.25">
      <c r="A49" s="187"/>
      <c r="B49" s="187"/>
      <c r="G49" s="170"/>
      <c r="H49" s="170"/>
    </row>
    <row r="50" spans="1:8" x14ac:dyDescent="0.25">
      <c r="G50" s="170"/>
      <c r="H50" s="170"/>
    </row>
    <row r="51" spans="1:8" x14ac:dyDescent="0.25">
      <c r="G51" s="170"/>
      <c r="H51" s="170"/>
    </row>
    <row r="52" spans="1:8" x14ac:dyDescent="0.25">
      <c r="G52" s="170"/>
      <c r="H52" s="170"/>
    </row>
    <row r="53" spans="1:8" x14ac:dyDescent="0.25">
      <c r="G53" s="170"/>
      <c r="H53" s="170"/>
    </row>
    <row r="54" spans="1:8" x14ac:dyDescent="0.25">
      <c r="G54" s="170"/>
      <c r="H54" s="170"/>
    </row>
    <row r="55" spans="1:8" x14ac:dyDescent="0.25">
      <c r="G55" s="170"/>
      <c r="H55" s="170"/>
    </row>
    <row r="57" spans="1:8" ht="26.25" customHeight="1" x14ac:dyDescent="0.25">
      <c r="G57" s="185"/>
      <c r="H57" s="185"/>
    </row>
  </sheetData>
  <mergeCells count="1">
    <mergeCell ref="A45:B45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0D15-F46F-4527-A911-27CEEE9560DF}">
  <dimension ref="A1:H47"/>
  <sheetViews>
    <sheetView workbookViewId="0">
      <selection activeCell="K6" sqref="K6"/>
    </sheetView>
  </sheetViews>
  <sheetFormatPr defaultRowHeight="15" x14ac:dyDescent="0.25"/>
  <cols>
    <col min="1" max="1" width="6.5703125" customWidth="1"/>
    <col min="2" max="3" width="16" bestFit="1" customWidth="1"/>
    <col min="7" max="7" width="26.5703125" bestFit="1" customWidth="1"/>
  </cols>
  <sheetData>
    <row r="1" spans="1:8" x14ac:dyDescent="0.25">
      <c r="A1" t="s">
        <v>321</v>
      </c>
    </row>
    <row r="3" spans="1:8" x14ac:dyDescent="0.25">
      <c r="A3" t="s">
        <v>322</v>
      </c>
      <c r="B3" t="s">
        <v>323</v>
      </c>
      <c r="C3" t="s">
        <v>324</v>
      </c>
      <c r="D3" t="s">
        <v>108</v>
      </c>
      <c r="F3" t="str">
        <f>airportbefore2019!A2</f>
        <v>Year</v>
      </c>
      <c r="G3" t="str">
        <f>airportbefore2019!B2</f>
        <v>Estimated Daily Person Trips</v>
      </c>
      <c r="H3" t="s">
        <v>340</v>
      </c>
    </row>
    <row r="4" spans="1:8" x14ac:dyDescent="0.25">
      <c r="A4">
        <v>2007</v>
      </c>
      <c r="B4" s="6">
        <v>11008701</v>
      </c>
      <c r="C4" s="6">
        <v>11036532</v>
      </c>
      <c r="D4" s="6">
        <f>(B4+C4)/365</f>
        <v>60397.898630136988</v>
      </c>
      <c r="F4">
        <f>A4</f>
        <v>2007</v>
      </c>
      <c r="G4" s="6">
        <f>airportbefore2019!B10</f>
        <v>27833.076922141187</v>
      </c>
      <c r="H4" s="233">
        <f>1-G4/D4</f>
        <v>0.53917143553975899</v>
      </c>
    </row>
    <row r="5" spans="1:8" x14ac:dyDescent="0.25">
      <c r="A5">
        <v>2008</v>
      </c>
      <c r="B5" s="6">
        <v>10392819</v>
      </c>
      <c r="C5" s="6">
        <v>10397581</v>
      </c>
      <c r="D5" s="6">
        <f t="shared" ref="D5:D15" si="0">(B5+C5)/365</f>
        <v>56960</v>
      </c>
      <c r="E5" s="31">
        <f>D5/D4-1</f>
        <v>-5.6920831818833562E-2</v>
      </c>
      <c r="F5">
        <f t="shared" ref="F5:F15" si="1">A5</f>
        <v>2008</v>
      </c>
      <c r="G5" s="6">
        <f>D5*G$4/D$4</f>
        <v>26248.795031655329</v>
      </c>
    </row>
    <row r="6" spans="1:8" x14ac:dyDescent="0.25">
      <c r="A6">
        <v>2009</v>
      </c>
      <c r="B6" s="6">
        <v>10203289</v>
      </c>
      <c r="C6" s="6">
        <v>10228929</v>
      </c>
      <c r="D6" s="6">
        <f t="shared" si="0"/>
        <v>55978.679452054792</v>
      </c>
      <c r="E6" s="31">
        <f t="shared" ref="E6:E15" si="2">D6/D5-1</f>
        <v>-1.7228239956903257E-2</v>
      </c>
      <c r="F6">
        <f t="shared" si="1"/>
        <v>2009</v>
      </c>
      <c r="G6" s="6">
        <f t="shared" ref="G6:G15" si="3">D6*G$4/D$4</f>
        <v>25796.574492270403</v>
      </c>
    </row>
    <row r="7" spans="1:8" x14ac:dyDescent="0.25">
      <c r="A7">
        <v>2010</v>
      </c>
      <c r="B7" s="6">
        <v>10438166</v>
      </c>
      <c r="C7" s="6">
        <v>10463367</v>
      </c>
      <c r="D7" s="6">
        <f t="shared" si="0"/>
        <v>57264.47397260274</v>
      </c>
      <c r="E7" s="31">
        <f t="shared" si="2"/>
        <v>2.296936142713446E-2</v>
      </c>
      <c r="F7">
        <f t="shared" si="1"/>
        <v>2010</v>
      </c>
      <c r="G7" s="6">
        <f t="shared" si="3"/>
        <v>26389.105335365359</v>
      </c>
    </row>
    <row r="8" spans="1:8" x14ac:dyDescent="0.25">
      <c r="A8">
        <v>2011</v>
      </c>
      <c r="B8" s="6">
        <v>10192863</v>
      </c>
      <c r="C8" s="6">
        <v>10196611</v>
      </c>
      <c r="D8" s="6">
        <f t="shared" si="0"/>
        <v>55861.572602739725</v>
      </c>
      <c r="E8" s="31">
        <f t="shared" si="2"/>
        <v>-2.4498633664813085E-2</v>
      </c>
      <c r="F8">
        <f t="shared" si="1"/>
        <v>2011</v>
      </c>
      <c r="G8" s="6">
        <f t="shared" si="3"/>
        <v>25742.608311012078</v>
      </c>
    </row>
    <row r="9" spans="1:8" x14ac:dyDescent="0.25">
      <c r="A9">
        <v>2012</v>
      </c>
      <c r="B9" s="6">
        <v>10037622</v>
      </c>
      <c r="C9" s="6">
        <v>10064456</v>
      </c>
      <c r="D9" s="6">
        <f t="shared" si="0"/>
        <v>55074.18630136986</v>
      </c>
      <c r="E9" s="31">
        <f t="shared" si="2"/>
        <v>-1.4095312120361747E-2</v>
      </c>
      <c r="F9">
        <f t="shared" si="1"/>
        <v>2012</v>
      </c>
      <c r="G9" s="6">
        <f t="shared" si="3"/>
        <v>25379.758212076144</v>
      </c>
    </row>
    <row r="10" spans="1:8" x14ac:dyDescent="0.25">
      <c r="A10">
        <v>2013</v>
      </c>
      <c r="B10" s="6">
        <v>10102643</v>
      </c>
      <c r="C10" s="6">
        <v>10083831</v>
      </c>
      <c r="D10" s="6">
        <f t="shared" si="0"/>
        <v>55305.408219178084</v>
      </c>
      <c r="E10" s="31">
        <f t="shared" si="2"/>
        <v>4.1983719295091149E-3</v>
      </c>
      <c r="F10">
        <f t="shared" si="1"/>
        <v>2013</v>
      </c>
      <c r="G10" s="6">
        <f t="shared" si="3"/>
        <v>25486.31187653145</v>
      </c>
    </row>
    <row r="11" spans="1:8" x14ac:dyDescent="0.25">
      <c r="A11">
        <v>2014</v>
      </c>
      <c r="B11" s="6">
        <v>10571935</v>
      </c>
      <c r="C11" s="6">
        <v>10569675</v>
      </c>
      <c r="D11" s="6">
        <f t="shared" si="0"/>
        <v>57922.219178082189</v>
      </c>
      <c r="E11" s="31">
        <f t="shared" si="2"/>
        <v>4.731564313807346E-2</v>
      </c>
      <c r="F11">
        <f t="shared" si="1"/>
        <v>2014</v>
      </c>
      <c r="G11" s="6">
        <f t="shared" si="3"/>
        <v>26692.213114187056</v>
      </c>
    </row>
    <row r="12" spans="1:8" x14ac:dyDescent="0.25">
      <c r="A12">
        <v>2015</v>
      </c>
      <c r="B12" s="6">
        <v>11067326</v>
      </c>
      <c r="C12" s="6">
        <v>11073700</v>
      </c>
      <c r="D12" s="6">
        <f t="shared" si="0"/>
        <v>60660.345205479454</v>
      </c>
      <c r="E12" s="31">
        <f t="shared" si="2"/>
        <v>4.7272464112241286E-2</v>
      </c>
      <c r="F12">
        <f t="shared" si="1"/>
        <v>2015</v>
      </c>
      <c r="G12" s="6">
        <f t="shared" si="3"/>
        <v>27954.019800703762</v>
      </c>
    </row>
    <row r="13" spans="1:8" x14ac:dyDescent="0.25">
      <c r="A13">
        <v>2016</v>
      </c>
      <c r="B13" s="6">
        <v>11582517</v>
      </c>
      <c r="C13" s="6">
        <v>11573010</v>
      </c>
      <c r="D13" s="6">
        <f t="shared" si="0"/>
        <v>63439.8</v>
      </c>
      <c r="E13" s="31">
        <f t="shared" si="2"/>
        <v>4.5819963356711568E-2</v>
      </c>
      <c r="F13">
        <f t="shared" si="1"/>
        <v>2016</v>
      </c>
      <c r="G13" s="6">
        <f t="shared" si="3"/>
        <v>29234.8719636448</v>
      </c>
    </row>
    <row r="14" spans="1:8" x14ac:dyDescent="0.25">
      <c r="A14">
        <v>2017</v>
      </c>
      <c r="B14" s="6">
        <v>12099086</v>
      </c>
      <c r="C14" s="6">
        <v>12100265</v>
      </c>
      <c r="D14" s="6">
        <f t="shared" si="0"/>
        <v>66299.591780821924</v>
      </c>
      <c r="E14" s="31">
        <f t="shared" si="2"/>
        <v>4.5078827184542147E-2</v>
      </c>
      <c r="F14">
        <f t="shared" si="1"/>
        <v>2017</v>
      </c>
      <c r="G14" s="6">
        <f t="shared" si="3"/>
        <v>30552.745704656161</v>
      </c>
    </row>
    <row r="15" spans="1:8" x14ac:dyDescent="0.25">
      <c r="A15">
        <v>2018</v>
      </c>
      <c r="B15" s="6">
        <v>12776496</v>
      </c>
      <c r="C15" s="6">
        <v>12777748</v>
      </c>
      <c r="D15" s="6">
        <f t="shared" si="0"/>
        <v>70011.627397260279</v>
      </c>
      <c r="E15" s="31">
        <f t="shared" si="2"/>
        <v>5.5988815567822536E-2</v>
      </c>
      <c r="F15">
        <f t="shared" si="1"/>
        <v>2018</v>
      </c>
      <c r="G15" s="6">
        <f t="shared" si="3"/>
        <v>32263.357749004736</v>
      </c>
    </row>
    <row r="16" spans="1:8" x14ac:dyDescent="0.25">
      <c r="D16" t="s">
        <v>341</v>
      </c>
      <c r="E16" s="233">
        <f>POWER(D15/D4,1/(A15-A4))-1</f>
        <v>1.3518470236306035E-2</v>
      </c>
      <c r="F16">
        <f>F15+1</f>
        <v>2019</v>
      </c>
      <c r="G16" s="6">
        <f>G15*(1+E$16)</f>
        <v>32699.508990457951</v>
      </c>
    </row>
    <row r="17" spans="6:7" x14ac:dyDescent="0.25">
      <c r="F17">
        <f t="shared" ref="F17:F47" si="4">F16+1</f>
        <v>2020</v>
      </c>
      <c r="G17" s="6">
        <f t="shared" ref="G17:G47" si="5">G16*(1+E$16)</f>
        <v>33141.556329487277</v>
      </c>
    </row>
    <row r="18" spans="6:7" x14ac:dyDescent="0.25">
      <c r="F18">
        <f t="shared" si="4"/>
        <v>2021</v>
      </c>
      <c r="G18" s="6">
        <f t="shared" si="5"/>
        <v>33589.579472312311</v>
      </c>
    </row>
    <row r="19" spans="6:7" x14ac:dyDescent="0.25">
      <c r="F19">
        <f t="shared" si="4"/>
        <v>2022</v>
      </c>
      <c r="G19" s="6">
        <f t="shared" si="5"/>
        <v>34043.659202658804</v>
      </c>
    </row>
    <row r="20" spans="6:7" x14ac:dyDescent="0.25">
      <c r="F20">
        <f t="shared" si="4"/>
        <v>2023</v>
      </c>
      <c r="G20" s="6">
        <f t="shared" si="5"/>
        <v>34503.877396324897</v>
      </c>
    </row>
    <row r="21" spans="6:7" x14ac:dyDescent="0.25">
      <c r="F21">
        <f t="shared" si="4"/>
        <v>2024</v>
      </c>
      <c r="G21" s="6">
        <f t="shared" si="5"/>
        <v>34970.317035944267</v>
      </c>
    </row>
    <row r="22" spans="6:7" x14ac:dyDescent="0.25">
      <c r="F22">
        <f t="shared" si="4"/>
        <v>2025</v>
      </c>
      <c r="G22" s="6">
        <f t="shared" si="5"/>
        <v>35443.062225948866</v>
      </c>
    </row>
    <row r="23" spans="6:7" x14ac:dyDescent="0.25">
      <c r="F23">
        <f t="shared" si="4"/>
        <v>2026</v>
      </c>
      <c r="G23" s="6">
        <f t="shared" si="5"/>
        <v>35922.198207733898</v>
      </c>
    </row>
    <row r="24" spans="6:7" x14ac:dyDescent="0.25">
      <c r="F24">
        <f t="shared" si="4"/>
        <v>2027</v>
      </c>
      <c r="G24" s="6">
        <f t="shared" si="5"/>
        <v>36407.811375027835</v>
      </c>
    </row>
    <row r="25" spans="6:7" x14ac:dyDescent="0.25">
      <c r="F25">
        <f t="shared" si="4"/>
        <v>2028</v>
      </c>
      <c r="G25" s="6">
        <f t="shared" si="5"/>
        <v>36899.989289470192</v>
      </c>
    </row>
    <row r="26" spans="6:7" x14ac:dyDescent="0.25">
      <c r="F26">
        <f t="shared" si="4"/>
        <v>2029</v>
      </c>
      <c r="G26" s="6">
        <f t="shared" si="5"/>
        <v>37398.820696399904</v>
      </c>
    </row>
    <row r="27" spans="6:7" x14ac:dyDescent="0.25">
      <c r="F27">
        <f t="shared" si="4"/>
        <v>2030</v>
      </c>
      <c r="G27" s="6">
        <f t="shared" si="5"/>
        <v>37904.395540857135</v>
      </c>
    </row>
    <row r="28" spans="6:7" x14ac:dyDescent="0.25">
      <c r="F28">
        <f t="shared" si="4"/>
        <v>2031</v>
      </c>
      <c r="G28" s="6">
        <f t="shared" si="5"/>
        <v>38416.804983801383</v>
      </c>
    </row>
    <row r="29" spans="6:7" x14ac:dyDescent="0.25">
      <c r="F29">
        <f t="shared" si="4"/>
        <v>2032</v>
      </c>
      <c r="G29" s="6">
        <f t="shared" si="5"/>
        <v>38936.141418548876</v>
      </c>
    </row>
    <row r="30" spans="6:7" x14ac:dyDescent="0.25">
      <c r="F30">
        <f t="shared" si="4"/>
        <v>2033</v>
      </c>
      <c r="G30" s="6">
        <f t="shared" si="5"/>
        <v>39462.498487432131</v>
      </c>
    </row>
    <row r="31" spans="6:7" x14ac:dyDescent="0.25">
      <c r="F31">
        <f t="shared" si="4"/>
        <v>2034</v>
      </c>
      <c r="G31" s="6">
        <f t="shared" si="5"/>
        <v>39995.971098684757</v>
      </c>
    </row>
    <row r="32" spans="6:7" x14ac:dyDescent="0.25">
      <c r="F32">
        <f t="shared" si="4"/>
        <v>2035</v>
      </c>
      <c r="G32" s="6">
        <f t="shared" si="5"/>
        <v>40536.655443554482</v>
      </c>
    </row>
    <row r="33" spans="6:7" x14ac:dyDescent="0.25">
      <c r="F33">
        <f t="shared" si="4"/>
        <v>2036</v>
      </c>
      <c r="G33" s="6">
        <f t="shared" si="5"/>
        <v>41084.64901364757</v>
      </c>
    </row>
    <row r="34" spans="6:7" x14ac:dyDescent="0.25">
      <c r="F34">
        <f t="shared" si="4"/>
        <v>2037</v>
      </c>
      <c r="G34" s="6">
        <f t="shared" si="5"/>
        <v>41640.050618507645</v>
      </c>
    </row>
    <row r="35" spans="6:7" x14ac:dyDescent="0.25">
      <c r="F35">
        <f t="shared" si="4"/>
        <v>2038</v>
      </c>
      <c r="G35" s="6">
        <f t="shared" si="5"/>
        <v>42202.960403432218</v>
      </c>
    </row>
    <row r="36" spans="6:7" x14ac:dyDescent="0.25">
      <c r="F36">
        <f t="shared" si="4"/>
        <v>2039</v>
      </c>
      <c r="G36" s="6">
        <f t="shared" si="5"/>
        <v>42773.479867530019</v>
      </c>
    </row>
    <row r="37" spans="6:7" x14ac:dyDescent="0.25">
      <c r="F37">
        <f t="shared" si="4"/>
        <v>2040</v>
      </c>
      <c r="G37" s="6">
        <f t="shared" si="5"/>
        <v>43351.711882022457</v>
      </c>
    </row>
    <row r="38" spans="6:7" x14ac:dyDescent="0.25">
      <c r="F38">
        <f t="shared" si="4"/>
        <v>2041</v>
      </c>
      <c r="G38" s="6">
        <f t="shared" si="5"/>
        <v>43937.760708792492</v>
      </c>
    </row>
    <row r="39" spans="6:7" x14ac:dyDescent="0.25">
      <c r="F39">
        <f t="shared" si="4"/>
        <v>2042</v>
      </c>
      <c r="G39" s="6">
        <f t="shared" si="5"/>
        <v>44531.732019184237</v>
      </c>
    </row>
    <row r="40" spans="6:7" x14ac:dyDescent="0.25">
      <c r="F40">
        <f t="shared" si="4"/>
        <v>2043</v>
      </c>
      <c r="G40" s="6">
        <f t="shared" si="5"/>
        <v>45133.732913056738</v>
      </c>
    </row>
    <row r="41" spans="6:7" x14ac:dyDescent="0.25">
      <c r="F41">
        <f t="shared" si="4"/>
        <v>2044</v>
      </c>
      <c r="G41" s="6">
        <f t="shared" si="5"/>
        <v>45743.871938095283</v>
      </c>
    </row>
    <row r="42" spans="6:7" x14ac:dyDescent="0.25">
      <c r="F42">
        <f t="shared" si="4"/>
        <v>2045</v>
      </c>
      <c r="G42" s="6">
        <f t="shared" si="5"/>
        <v>46362.25910938382</v>
      </c>
    </row>
    <row r="43" spans="6:7" x14ac:dyDescent="0.25">
      <c r="F43">
        <f t="shared" si="4"/>
        <v>2046</v>
      </c>
      <c r="G43" s="6">
        <f t="shared" si="5"/>
        <v>46989.005929241932</v>
      </c>
    </row>
    <row r="44" spans="6:7" x14ac:dyDescent="0.25">
      <c r="F44">
        <f t="shared" si="4"/>
        <v>2047</v>
      </c>
      <c r="G44" s="6">
        <f t="shared" si="5"/>
        <v>47624.225407329999</v>
      </c>
    </row>
    <row r="45" spans="6:7" x14ac:dyDescent="0.25">
      <c r="F45">
        <f t="shared" si="4"/>
        <v>2048</v>
      </c>
      <c r="G45" s="6">
        <f t="shared" si="5"/>
        <v>48268.032081026118</v>
      </c>
    </row>
    <row r="46" spans="6:7" x14ac:dyDescent="0.25">
      <c r="F46">
        <f t="shared" si="4"/>
        <v>2049</v>
      </c>
      <c r="G46" s="6">
        <f t="shared" si="5"/>
        <v>48920.542036078536</v>
      </c>
    </row>
    <row r="47" spans="6:7" x14ac:dyDescent="0.25">
      <c r="F47">
        <f t="shared" si="4"/>
        <v>2050</v>
      </c>
      <c r="G47" s="6">
        <f t="shared" si="5"/>
        <v>49581.872927537224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655D-4853-4419-94CB-D7EA053BA5AC}">
  <dimension ref="A1:I57"/>
  <sheetViews>
    <sheetView workbookViewId="0">
      <selection activeCell="F10" sqref="F10"/>
    </sheetView>
  </sheetViews>
  <sheetFormatPr defaultRowHeight="15" x14ac:dyDescent="0.25"/>
  <cols>
    <col min="1" max="1" width="9.140625" style="183"/>
    <col min="2" max="2" width="10.7109375" style="163" customWidth="1"/>
    <col min="3" max="3" width="10.7109375" style="164" customWidth="1"/>
    <col min="4" max="4" width="12.7109375" customWidth="1"/>
    <col min="258" max="259" width="10.7109375" customWidth="1"/>
    <col min="260" max="260" width="12.7109375" customWidth="1"/>
    <col min="514" max="515" width="10.7109375" customWidth="1"/>
    <col min="516" max="516" width="12.7109375" customWidth="1"/>
    <col min="770" max="771" width="10.7109375" customWidth="1"/>
    <col min="772" max="772" width="12.7109375" customWidth="1"/>
    <col min="1026" max="1027" width="10.7109375" customWidth="1"/>
    <col min="1028" max="1028" width="12.7109375" customWidth="1"/>
    <col min="1282" max="1283" width="10.7109375" customWidth="1"/>
    <col min="1284" max="1284" width="12.7109375" customWidth="1"/>
    <col min="1538" max="1539" width="10.7109375" customWidth="1"/>
    <col min="1540" max="1540" width="12.7109375" customWidth="1"/>
    <col min="1794" max="1795" width="10.7109375" customWidth="1"/>
    <col min="1796" max="1796" width="12.7109375" customWidth="1"/>
    <col min="2050" max="2051" width="10.7109375" customWidth="1"/>
    <col min="2052" max="2052" width="12.7109375" customWidth="1"/>
    <col min="2306" max="2307" width="10.7109375" customWidth="1"/>
    <col min="2308" max="2308" width="12.7109375" customWidth="1"/>
    <col min="2562" max="2563" width="10.7109375" customWidth="1"/>
    <col min="2564" max="2564" width="12.7109375" customWidth="1"/>
    <col min="2818" max="2819" width="10.7109375" customWidth="1"/>
    <col min="2820" max="2820" width="12.7109375" customWidth="1"/>
    <col min="3074" max="3075" width="10.7109375" customWidth="1"/>
    <col min="3076" max="3076" width="12.7109375" customWidth="1"/>
    <col min="3330" max="3331" width="10.7109375" customWidth="1"/>
    <col min="3332" max="3332" width="12.7109375" customWidth="1"/>
    <col min="3586" max="3587" width="10.7109375" customWidth="1"/>
    <col min="3588" max="3588" width="12.7109375" customWidth="1"/>
    <col min="3842" max="3843" width="10.7109375" customWidth="1"/>
    <col min="3844" max="3844" width="12.7109375" customWidth="1"/>
    <col min="4098" max="4099" width="10.7109375" customWidth="1"/>
    <col min="4100" max="4100" width="12.7109375" customWidth="1"/>
    <col min="4354" max="4355" width="10.7109375" customWidth="1"/>
    <col min="4356" max="4356" width="12.7109375" customWidth="1"/>
    <col min="4610" max="4611" width="10.7109375" customWidth="1"/>
    <col min="4612" max="4612" width="12.7109375" customWidth="1"/>
    <col min="4866" max="4867" width="10.7109375" customWidth="1"/>
    <col min="4868" max="4868" width="12.7109375" customWidth="1"/>
    <col min="5122" max="5123" width="10.7109375" customWidth="1"/>
    <col min="5124" max="5124" width="12.7109375" customWidth="1"/>
    <col min="5378" max="5379" width="10.7109375" customWidth="1"/>
    <col min="5380" max="5380" width="12.7109375" customWidth="1"/>
    <col min="5634" max="5635" width="10.7109375" customWidth="1"/>
    <col min="5636" max="5636" width="12.7109375" customWidth="1"/>
    <col min="5890" max="5891" width="10.7109375" customWidth="1"/>
    <col min="5892" max="5892" width="12.7109375" customWidth="1"/>
    <col min="6146" max="6147" width="10.7109375" customWidth="1"/>
    <col min="6148" max="6148" width="12.7109375" customWidth="1"/>
    <col min="6402" max="6403" width="10.7109375" customWidth="1"/>
    <col min="6404" max="6404" width="12.7109375" customWidth="1"/>
    <col min="6658" max="6659" width="10.7109375" customWidth="1"/>
    <col min="6660" max="6660" width="12.7109375" customWidth="1"/>
    <col min="6914" max="6915" width="10.7109375" customWidth="1"/>
    <col min="6916" max="6916" width="12.7109375" customWidth="1"/>
    <col min="7170" max="7171" width="10.7109375" customWidth="1"/>
    <col min="7172" max="7172" width="12.7109375" customWidth="1"/>
    <col min="7426" max="7427" width="10.7109375" customWidth="1"/>
    <col min="7428" max="7428" width="12.7109375" customWidth="1"/>
    <col min="7682" max="7683" width="10.7109375" customWidth="1"/>
    <col min="7684" max="7684" width="12.7109375" customWidth="1"/>
    <col min="7938" max="7939" width="10.7109375" customWidth="1"/>
    <col min="7940" max="7940" width="12.7109375" customWidth="1"/>
    <col min="8194" max="8195" width="10.7109375" customWidth="1"/>
    <col min="8196" max="8196" width="12.7109375" customWidth="1"/>
    <col min="8450" max="8451" width="10.7109375" customWidth="1"/>
    <col min="8452" max="8452" width="12.7109375" customWidth="1"/>
    <col min="8706" max="8707" width="10.7109375" customWidth="1"/>
    <col min="8708" max="8708" width="12.7109375" customWidth="1"/>
    <col min="8962" max="8963" width="10.7109375" customWidth="1"/>
    <col min="8964" max="8964" width="12.7109375" customWidth="1"/>
    <col min="9218" max="9219" width="10.7109375" customWidth="1"/>
    <col min="9220" max="9220" width="12.7109375" customWidth="1"/>
    <col min="9474" max="9475" width="10.7109375" customWidth="1"/>
    <col min="9476" max="9476" width="12.7109375" customWidth="1"/>
    <col min="9730" max="9731" width="10.7109375" customWidth="1"/>
    <col min="9732" max="9732" width="12.7109375" customWidth="1"/>
    <col min="9986" max="9987" width="10.7109375" customWidth="1"/>
    <col min="9988" max="9988" width="12.7109375" customWidth="1"/>
    <col min="10242" max="10243" width="10.7109375" customWidth="1"/>
    <col min="10244" max="10244" width="12.7109375" customWidth="1"/>
    <col min="10498" max="10499" width="10.7109375" customWidth="1"/>
    <col min="10500" max="10500" width="12.7109375" customWidth="1"/>
    <col min="10754" max="10755" width="10.7109375" customWidth="1"/>
    <col min="10756" max="10756" width="12.7109375" customWidth="1"/>
    <col min="11010" max="11011" width="10.7109375" customWidth="1"/>
    <col min="11012" max="11012" width="12.7109375" customWidth="1"/>
    <col min="11266" max="11267" width="10.7109375" customWidth="1"/>
    <col min="11268" max="11268" width="12.7109375" customWidth="1"/>
    <col min="11522" max="11523" width="10.7109375" customWidth="1"/>
    <col min="11524" max="11524" width="12.7109375" customWidth="1"/>
    <col min="11778" max="11779" width="10.7109375" customWidth="1"/>
    <col min="11780" max="11780" width="12.7109375" customWidth="1"/>
    <col min="12034" max="12035" width="10.7109375" customWidth="1"/>
    <col min="12036" max="12036" width="12.7109375" customWidth="1"/>
    <col min="12290" max="12291" width="10.7109375" customWidth="1"/>
    <col min="12292" max="12292" width="12.7109375" customWidth="1"/>
    <col min="12546" max="12547" width="10.7109375" customWidth="1"/>
    <col min="12548" max="12548" width="12.7109375" customWidth="1"/>
    <col min="12802" max="12803" width="10.7109375" customWidth="1"/>
    <col min="12804" max="12804" width="12.7109375" customWidth="1"/>
    <col min="13058" max="13059" width="10.7109375" customWidth="1"/>
    <col min="13060" max="13060" width="12.7109375" customWidth="1"/>
    <col min="13314" max="13315" width="10.7109375" customWidth="1"/>
    <col min="13316" max="13316" width="12.7109375" customWidth="1"/>
    <col min="13570" max="13571" width="10.7109375" customWidth="1"/>
    <col min="13572" max="13572" width="12.7109375" customWidth="1"/>
    <col min="13826" max="13827" width="10.7109375" customWidth="1"/>
    <col min="13828" max="13828" width="12.7109375" customWidth="1"/>
    <col min="14082" max="14083" width="10.7109375" customWidth="1"/>
    <col min="14084" max="14084" width="12.7109375" customWidth="1"/>
    <col min="14338" max="14339" width="10.7109375" customWidth="1"/>
    <col min="14340" max="14340" width="12.7109375" customWidth="1"/>
    <col min="14594" max="14595" width="10.7109375" customWidth="1"/>
    <col min="14596" max="14596" width="12.7109375" customWidth="1"/>
    <col min="14850" max="14851" width="10.7109375" customWidth="1"/>
    <col min="14852" max="14852" width="12.7109375" customWidth="1"/>
    <col min="15106" max="15107" width="10.7109375" customWidth="1"/>
    <col min="15108" max="15108" width="12.7109375" customWidth="1"/>
    <col min="15362" max="15363" width="10.7109375" customWidth="1"/>
    <col min="15364" max="15364" width="12.7109375" customWidth="1"/>
    <col min="15618" max="15619" width="10.7109375" customWidth="1"/>
    <col min="15620" max="15620" width="12.7109375" customWidth="1"/>
    <col min="15874" max="15875" width="10.7109375" customWidth="1"/>
    <col min="15876" max="15876" width="12.7109375" customWidth="1"/>
    <col min="16130" max="16131" width="10.7109375" customWidth="1"/>
    <col min="16132" max="16132" width="12.7109375" customWidth="1"/>
  </cols>
  <sheetData>
    <row r="1" spans="1:9" ht="26.25" x14ac:dyDescent="0.4">
      <c r="A1" s="162" t="s">
        <v>314</v>
      </c>
      <c r="E1" s="10"/>
      <c r="F1" s="10"/>
      <c r="G1" s="10"/>
      <c r="I1" s="165"/>
    </row>
    <row r="2" spans="1:9" ht="39.75" thickBot="1" x14ac:dyDescent="0.3">
      <c r="A2" s="3" t="s">
        <v>13</v>
      </c>
      <c r="B2" s="4" t="s">
        <v>315</v>
      </c>
      <c r="C2" s="52" t="s">
        <v>244</v>
      </c>
      <c r="D2" s="52" t="s">
        <v>245</v>
      </c>
      <c r="E2" s="10"/>
      <c r="F2" s="10"/>
      <c r="G2" s="10"/>
    </row>
    <row r="3" spans="1:9" x14ac:dyDescent="0.25">
      <c r="A3" s="166">
        <v>2000</v>
      </c>
      <c r="B3" s="167">
        <f>C3</f>
        <v>23415</v>
      </c>
      <c r="C3" s="168">
        <v>23415</v>
      </c>
      <c r="D3" s="169">
        <f t="shared" ref="D3:D43" si="0">B3</f>
        <v>23415</v>
      </c>
      <c r="E3" s="170"/>
    </row>
    <row r="4" spans="1:9" x14ac:dyDescent="0.25">
      <c r="A4" s="171">
        <v>2001</v>
      </c>
      <c r="B4" s="172">
        <v>24000</v>
      </c>
      <c r="C4" s="173">
        <v>24000.374999999996</v>
      </c>
      <c r="D4" s="174">
        <f t="shared" si="0"/>
        <v>24000</v>
      </c>
      <c r="E4" s="170">
        <f t="shared" ref="E4:E43" si="1">(D4-D3)/D3</f>
        <v>2.4983984625240232E-2</v>
      </c>
    </row>
    <row r="5" spans="1:9" x14ac:dyDescent="0.25">
      <c r="A5" s="16">
        <v>2002</v>
      </c>
      <c r="B5" s="175">
        <f t="shared" ref="B5:B43" si="2">C5</f>
        <v>24600.384374999994</v>
      </c>
      <c r="C5" s="176">
        <v>24600.384374999994</v>
      </c>
      <c r="D5" s="58">
        <f t="shared" si="0"/>
        <v>24600.384374999994</v>
      </c>
      <c r="E5" s="170">
        <f t="shared" si="1"/>
        <v>2.5016015624999756E-2</v>
      </c>
    </row>
    <row r="6" spans="1:9" x14ac:dyDescent="0.25">
      <c r="A6" s="16">
        <v>2003</v>
      </c>
      <c r="B6" s="175">
        <f t="shared" si="2"/>
        <v>25215.39398437499</v>
      </c>
      <c r="C6" s="176">
        <v>25215.39398437499</v>
      </c>
      <c r="D6" s="58">
        <f t="shared" si="0"/>
        <v>25215.39398437499</v>
      </c>
      <c r="E6" s="170">
        <f t="shared" si="1"/>
        <v>2.4999999999999852E-2</v>
      </c>
    </row>
    <row r="7" spans="1:9" x14ac:dyDescent="0.25">
      <c r="A7" s="16">
        <v>2004</v>
      </c>
      <c r="B7" s="175">
        <f t="shared" si="2"/>
        <v>25845.778833984365</v>
      </c>
      <c r="C7" s="176">
        <v>25845.778833984365</v>
      </c>
      <c r="D7" s="58">
        <f t="shared" si="0"/>
        <v>25845.778833984365</v>
      </c>
      <c r="E7" s="170">
        <f t="shared" si="1"/>
        <v>2.4999999999999977E-2</v>
      </c>
    </row>
    <row r="8" spans="1:9" x14ac:dyDescent="0.25">
      <c r="A8" s="16">
        <v>2005</v>
      </c>
      <c r="B8" s="175">
        <f t="shared" si="2"/>
        <v>26491.92330483397</v>
      </c>
      <c r="C8" s="176">
        <v>26491.92330483397</v>
      </c>
      <c r="D8" s="58">
        <f t="shared" si="0"/>
        <v>26491.92330483397</v>
      </c>
      <c r="E8" s="170">
        <f t="shared" si="1"/>
        <v>2.4999999999999863E-2</v>
      </c>
    </row>
    <row r="9" spans="1:9" x14ac:dyDescent="0.25">
      <c r="A9" s="16">
        <v>2006</v>
      </c>
      <c r="B9" s="175">
        <f t="shared" si="2"/>
        <v>27154.221387454818</v>
      </c>
      <c r="C9" s="176">
        <v>27154.221387454818</v>
      </c>
      <c r="D9" s="58">
        <f t="shared" si="0"/>
        <v>27154.221387454818</v>
      </c>
      <c r="E9" s="170">
        <f t="shared" si="1"/>
        <v>2.4999999999999942E-2</v>
      </c>
    </row>
    <row r="10" spans="1:9" ht="15.75" thickBot="1" x14ac:dyDescent="0.3">
      <c r="A10" s="53">
        <v>2007</v>
      </c>
      <c r="B10" s="177">
        <f t="shared" si="2"/>
        <v>27833.076922141187</v>
      </c>
      <c r="C10" s="178">
        <v>27833.076922141187</v>
      </c>
      <c r="D10" s="55">
        <f t="shared" si="0"/>
        <v>27833.076922141187</v>
      </c>
      <c r="E10" s="170">
        <f t="shared" si="1"/>
        <v>2.4999999999999932E-2</v>
      </c>
    </row>
    <row r="11" spans="1:9" x14ac:dyDescent="0.25">
      <c r="A11" s="166">
        <v>2008</v>
      </c>
      <c r="B11" s="167">
        <f>C11</f>
        <v>28528.903845194702</v>
      </c>
      <c r="C11" s="179">
        <v>28528.903845194702</v>
      </c>
      <c r="D11" s="169">
        <f>B11</f>
        <v>28528.903845194702</v>
      </c>
      <c r="E11" s="170">
        <f t="shared" si="1"/>
        <v>2.4999999999999481E-2</v>
      </c>
    </row>
    <row r="12" spans="1:9" x14ac:dyDescent="0.25">
      <c r="A12" s="16">
        <v>2009</v>
      </c>
      <c r="B12" s="175">
        <f t="shared" si="2"/>
        <v>29242.126441324577</v>
      </c>
      <c r="C12" s="176">
        <v>29242.126441324577</v>
      </c>
      <c r="D12" s="58">
        <f t="shared" si="0"/>
        <v>29242.126441324577</v>
      </c>
      <c r="E12" s="170">
        <f t="shared" si="1"/>
        <v>2.5000000000000279E-2</v>
      </c>
    </row>
    <row r="13" spans="1:9" x14ac:dyDescent="0.25">
      <c r="A13" s="16">
        <v>2010</v>
      </c>
      <c r="B13" s="175">
        <f t="shared" si="2"/>
        <v>29973.17960235769</v>
      </c>
      <c r="C13" s="176">
        <v>29973.17960235769</v>
      </c>
      <c r="D13" s="58">
        <f t="shared" si="0"/>
        <v>29973.17960235769</v>
      </c>
      <c r="E13" s="170">
        <f t="shared" si="1"/>
        <v>2.4999999999999942E-2</v>
      </c>
    </row>
    <row r="14" spans="1:9" x14ac:dyDescent="0.25">
      <c r="A14" s="16">
        <v>2011</v>
      </c>
      <c r="B14" s="175">
        <f t="shared" si="2"/>
        <v>30722.509092416629</v>
      </c>
      <c r="C14" s="176">
        <v>30722.509092416629</v>
      </c>
      <c r="D14" s="58">
        <f t="shared" si="0"/>
        <v>30722.509092416629</v>
      </c>
      <c r="E14" s="170">
        <f t="shared" si="1"/>
        <v>2.499999999999989E-2</v>
      </c>
    </row>
    <row r="15" spans="1:9" x14ac:dyDescent="0.25">
      <c r="A15" s="16">
        <v>2012</v>
      </c>
      <c r="B15" s="175">
        <f t="shared" si="2"/>
        <v>31490.571819727043</v>
      </c>
      <c r="C15" s="176">
        <v>31490.571819727043</v>
      </c>
      <c r="D15" s="58">
        <f t="shared" si="0"/>
        <v>31490.571819727043</v>
      </c>
      <c r="E15" s="170">
        <f t="shared" si="1"/>
        <v>2.4999999999999963E-2</v>
      </c>
    </row>
    <row r="16" spans="1:9" x14ac:dyDescent="0.25">
      <c r="A16" s="16">
        <v>2013</v>
      </c>
      <c r="B16" s="175">
        <f t="shared" si="2"/>
        <v>32277.836115220216</v>
      </c>
      <c r="C16" s="176">
        <v>32277.836115220216</v>
      </c>
      <c r="D16" s="58">
        <f t="shared" si="0"/>
        <v>32277.836115220216</v>
      </c>
      <c r="E16" s="170">
        <f t="shared" si="1"/>
        <v>2.4999999999999887E-2</v>
      </c>
    </row>
    <row r="17" spans="1:5" x14ac:dyDescent="0.25">
      <c r="A17" s="16">
        <v>2014</v>
      </c>
      <c r="B17" s="175">
        <f t="shared" si="2"/>
        <v>33084.782018100719</v>
      </c>
      <c r="C17" s="176">
        <v>33084.782018100719</v>
      </c>
      <c r="D17" s="58">
        <f t="shared" si="0"/>
        <v>33084.782018100719</v>
      </c>
      <c r="E17" s="170">
        <f t="shared" si="1"/>
        <v>2.4999999999999929E-2</v>
      </c>
    </row>
    <row r="18" spans="1:5" x14ac:dyDescent="0.25">
      <c r="A18" s="16">
        <v>2015</v>
      </c>
      <c r="B18" s="175">
        <f t="shared" si="2"/>
        <v>33911.901568553236</v>
      </c>
      <c r="C18" s="176">
        <v>33911.901568553236</v>
      </c>
      <c r="D18" s="58">
        <f t="shared" si="0"/>
        <v>33911.901568553236</v>
      </c>
      <c r="E18" s="170">
        <f t="shared" si="1"/>
        <v>2.4999999999999963E-2</v>
      </c>
    </row>
    <row r="19" spans="1:5" x14ac:dyDescent="0.25">
      <c r="A19" s="16">
        <v>2016</v>
      </c>
      <c r="B19" s="175">
        <f t="shared" si="2"/>
        <v>34759.699107767061</v>
      </c>
      <c r="C19" s="176">
        <v>34759.699107767061</v>
      </c>
      <c r="D19" s="58">
        <f t="shared" si="0"/>
        <v>34759.699107767061</v>
      </c>
      <c r="E19" s="170">
        <f t="shared" si="1"/>
        <v>2.4999999999999828E-2</v>
      </c>
    </row>
    <row r="20" spans="1:5" x14ac:dyDescent="0.25">
      <c r="A20" s="16">
        <v>2017</v>
      </c>
      <c r="B20" s="175">
        <f t="shared" si="2"/>
        <v>35628.691585461238</v>
      </c>
      <c r="C20" s="176">
        <v>35628.691585461238</v>
      </c>
      <c r="D20" s="58">
        <f t="shared" si="0"/>
        <v>35628.691585461238</v>
      </c>
      <c r="E20" s="170">
        <f t="shared" si="1"/>
        <v>2.5000000000000015E-2</v>
      </c>
    </row>
    <row r="21" spans="1:5" x14ac:dyDescent="0.25">
      <c r="A21" s="16">
        <v>2018</v>
      </c>
      <c r="B21" s="175">
        <f t="shared" si="2"/>
        <v>36519.408875097768</v>
      </c>
      <c r="C21" s="176">
        <v>36519.408875097768</v>
      </c>
      <c r="D21" s="58">
        <f t="shared" si="0"/>
        <v>36519.408875097768</v>
      </c>
      <c r="E21" s="170">
        <f t="shared" si="1"/>
        <v>2.4999999999999974E-2</v>
      </c>
    </row>
    <row r="22" spans="1:5" x14ac:dyDescent="0.25">
      <c r="A22" s="16">
        <v>2019</v>
      </c>
      <c r="B22" s="175">
        <f t="shared" si="2"/>
        <v>37432.394096975208</v>
      </c>
      <c r="C22" s="176">
        <v>37432.394096975208</v>
      </c>
      <c r="D22" s="58">
        <f t="shared" si="0"/>
        <v>37432.394096975208</v>
      </c>
      <c r="E22" s="170">
        <f t="shared" si="1"/>
        <v>2.499999999999987E-2</v>
      </c>
    </row>
    <row r="23" spans="1:5" x14ac:dyDescent="0.25">
      <c r="A23" s="16">
        <v>2020</v>
      </c>
      <c r="B23" s="175">
        <f t="shared" si="2"/>
        <v>38368.203949399584</v>
      </c>
      <c r="C23" s="176">
        <v>38368.203949399584</v>
      </c>
      <c r="D23" s="58">
        <f t="shared" si="0"/>
        <v>38368.203949399584</v>
      </c>
      <c r="E23" s="170">
        <f t="shared" si="1"/>
        <v>2.4999999999999887E-2</v>
      </c>
    </row>
    <row r="24" spans="1:5" x14ac:dyDescent="0.25">
      <c r="A24" s="16">
        <v>2021</v>
      </c>
      <c r="B24" s="175">
        <f t="shared" si="2"/>
        <v>39327.40904813457</v>
      </c>
      <c r="C24" s="176">
        <v>39327.40904813457</v>
      </c>
      <c r="D24" s="58">
        <f t="shared" si="0"/>
        <v>39327.40904813457</v>
      </c>
      <c r="E24" s="170">
        <f t="shared" si="1"/>
        <v>2.4999999999999925E-2</v>
      </c>
    </row>
    <row r="25" spans="1:5" x14ac:dyDescent="0.25">
      <c r="A25" s="16">
        <v>2022</v>
      </c>
      <c r="B25" s="175">
        <f t="shared" si="2"/>
        <v>40310.594274337927</v>
      </c>
      <c r="C25" s="176">
        <v>40310.594274337927</v>
      </c>
      <c r="D25" s="58">
        <f t="shared" si="0"/>
        <v>40310.594274337927</v>
      </c>
      <c r="E25" s="170">
        <f t="shared" si="1"/>
        <v>2.4999999999999821E-2</v>
      </c>
    </row>
    <row r="26" spans="1:5" x14ac:dyDescent="0.25">
      <c r="A26" s="16">
        <v>2023</v>
      </c>
      <c r="B26" s="175">
        <f t="shared" si="2"/>
        <v>41318.359131196376</v>
      </c>
      <c r="C26" s="176">
        <v>41318.359131196376</v>
      </c>
      <c r="D26" s="58">
        <f t="shared" si="0"/>
        <v>41318.359131196376</v>
      </c>
      <c r="E26" s="170">
        <f t="shared" si="1"/>
        <v>2.5000000000000001E-2</v>
      </c>
    </row>
    <row r="27" spans="1:5" x14ac:dyDescent="0.25">
      <c r="A27" s="16">
        <v>2024</v>
      </c>
      <c r="B27" s="175">
        <f t="shared" si="2"/>
        <v>42351.318109476284</v>
      </c>
      <c r="C27" s="176">
        <v>42351.318109476284</v>
      </c>
      <c r="D27" s="58">
        <f t="shared" si="0"/>
        <v>42351.318109476284</v>
      </c>
      <c r="E27" s="170">
        <f t="shared" si="1"/>
        <v>2.4999999999999977E-2</v>
      </c>
    </row>
    <row r="28" spans="1:5" x14ac:dyDescent="0.25">
      <c r="A28" s="16">
        <v>2025</v>
      </c>
      <c r="B28" s="175">
        <f t="shared" si="2"/>
        <v>43410.101062213187</v>
      </c>
      <c r="C28" s="176">
        <v>43410.101062213187</v>
      </c>
      <c r="D28" s="58">
        <f t="shared" si="0"/>
        <v>43410.101062213187</v>
      </c>
      <c r="E28" s="170">
        <f t="shared" si="1"/>
        <v>2.4999999999999904E-2</v>
      </c>
    </row>
    <row r="29" spans="1:5" x14ac:dyDescent="0.25">
      <c r="A29" s="16">
        <v>2026</v>
      </c>
      <c r="B29" s="175">
        <f t="shared" si="2"/>
        <v>44495.353588768514</v>
      </c>
      <c r="C29" s="176">
        <v>44495.353588768514</v>
      </c>
      <c r="D29" s="58">
        <f t="shared" si="0"/>
        <v>44495.353588768514</v>
      </c>
      <c r="E29" s="170">
        <f t="shared" si="1"/>
        <v>2.4999999999999932E-2</v>
      </c>
    </row>
    <row r="30" spans="1:5" x14ac:dyDescent="0.25">
      <c r="A30" s="16">
        <v>2027</v>
      </c>
      <c r="B30" s="175">
        <f t="shared" si="2"/>
        <v>45607.737428487722</v>
      </c>
      <c r="C30" s="176">
        <v>45607.737428487722</v>
      </c>
      <c r="D30" s="58">
        <f t="shared" si="0"/>
        <v>45607.737428487722</v>
      </c>
      <c r="E30" s="170">
        <f t="shared" si="1"/>
        <v>2.4999999999999901E-2</v>
      </c>
    </row>
    <row r="31" spans="1:5" x14ac:dyDescent="0.25">
      <c r="A31" s="180">
        <v>2028</v>
      </c>
      <c r="B31" s="175">
        <f t="shared" si="2"/>
        <v>46747.930864199909</v>
      </c>
      <c r="C31" s="56">
        <v>46747.930864199909</v>
      </c>
      <c r="D31" s="58">
        <f t="shared" si="0"/>
        <v>46747.930864199909</v>
      </c>
      <c r="E31" s="170">
        <f t="shared" si="1"/>
        <v>2.4999999999999852E-2</v>
      </c>
    </row>
    <row r="32" spans="1:5" x14ac:dyDescent="0.25">
      <c r="A32" s="180">
        <v>2029</v>
      </c>
      <c r="B32" s="175">
        <f t="shared" si="2"/>
        <v>47916.629135804906</v>
      </c>
      <c r="C32" s="56">
        <v>47916.629135804906</v>
      </c>
      <c r="D32" s="58">
        <f t="shared" si="0"/>
        <v>47916.629135804906</v>
      </c>
      <c r="E32" s="170">
        <f t="shared" si="1"/>
        <v>2.4999999999999984E-2</v>
      </c>
    </row>
    <row r="33" spans="1:7" x14ac:dyDescent="0.25">
      <c r="A33" s="180">
        <v>2030</v>
      </c>
      <c r="B33" s="175">
        <f t="shared" si="2"/>
        <v>49114.544864200026</v>
      </c>
      <c r="C33" s="56">
        <v>49114.544864200026</v>
      </c>
      <c r="D33" s="58">
        <f t="shared" si="0"/>
        <v>49114.544864200026</v>
      </c>
      <c r="E33" s="170">
        <f t="shared" si="1"/>
        <v>2.4999999999999963E-2</v>
      </c>
    </row>
    <row r="34" spans="1:7" x14ac:dyDescent="0.25">
      <c r="A34" s="180">
        <v>2031</v>
      </c>
      <c r="B34" s="175">
        <f t="shared" si="2"/>
        <v>50342.408485805026</v>
      </c>
      <c r="C34" s="56">
        <v>50342.408485805026</v>
      </c>
      <c r="D34" s="58">
        <f t="shared" si="0"/>
        <v>50342.408485805026</v>
      </c>
      <c r="E34" s="170">
        <f t="shared" si="1"/>
        <v>2.4999999999999984E-2</v>
      </c>
    </row>
    <row r="35" spans="1:7" x14ac:dyDescent="0.25">
      <c r="A35" s="180">
        <v>2032</v>
      </c>
      <c r="B35" s="175">
        <f t="shared" si="2"/>
        <v>51600.968697950149</v>
      </c>
      <c r="C35" s="56">
        <v>51600.968697950149</v>
      </c>
      <c r="D35" s="58">
        <f t="shared" si="0"/>
        <v>51600.968697950149</v>
      </c>
      <c r="E35" s="170">
        <f t="shared" si="1"/>
        <v>2.4999999999999946E-2</v>
      </c>
    </row>
    <row r="36" spans="1:7" x14ac:dyDescent="0.25">
      <c r="A36" s="180">
        <v>2033</v>
      </c>
      <c r="B36" s="175">
        <f t="shared" si="2"/>
        <v>52890.9929153989</v>
      </c>
      <c r="C36" s="56">
        <v>52890.9929153989</v>
      </c>
      <c r="D36" s="58">
        <f t="shared" si="0"/>
        <v>52890.9929153989</v>
      </c>
      <c r="E36" s="170">
        <f t="shared" si="1"/>
        <v>2.4999999999999932E-2</v>
      </c>
    </row>
    <row r="37" spans="1:7" x14ac:dyDescent="0.25">
      <c r="A37" s="180">
        <v>2034</v>
      </c>
      <c r="B37" s="175">
        <f t="shared" si="2"/>
        <v>54213.267738283866</v>
      </c>
      <c r="C37" s="56">
        <v>54213.267738283866</v>
      </c>
      <c r="D37" s="58">
        <f t="shared" si="0"/>
        <v>54213.267738283866</v>
      </c>
      <c r="E37" s="170">
        <f t="shared" si="1"/>
        <v>2.4999999999999894E-2</v>
      </c>
    </row>
    <row r="38" spans="1:7" x14ac:dyDescent="0.25">
      <c r="A38" s="180">
        <v>2035</v>
      </c>
      <c r="B38" s="175">
        <f t="shared" si="2"/>
        <v>55568.599431740957</v>
      </c>
      <c r="C38" s="56">
        <v>55568.599431740957</v>
      </c>
      <c r="D38" s="58">
        <f t="shared" si="0"/>
        <v>55568.599431740957</v>
      </c>
      <c r="E38" s="170">
        <f t="shared" si="1"/>
        <v>2.4999999999999883E-2</v>
      </c>
    </row>
    <row r="39" spans="1:7" x14ac:dyDescent="0.25">
      <c r="A39" s="180">
        <v>2036</v>
      </c>
      <c r="B39" s="175">
        <f t="shared" si="2"/>
        <v>56957.814417534479</v>
      </c>
      <c r="C39" s="56">
        <v>56957.814417534479</v>
      </c>
      <c r="D39" s="58">
        <f t="shared" si="0"/>
        <v>56957.814417534479</v>
      </c>
      <c r="E39" s="170">
        <f t="shared" si="1"/>
        <v>2.4999999999999963E-2</v>
      </c>
    </row>
    <row r="40" spans="1:7" x14ac:dyDescent="0.25">
      <c r="A40" s="180">
        <v>2037</v>
      </c>
      <c r="B40" s="175">
        <f t="shared" si="2"/>
        <v>58381.759777972838</v>
      </c>
      <c r="C40" s="56">
        <v>58381.759777972838</v>
      </c>
      <c r="D40" s="58">
        <f t="shared" si="0"/>
        <v>58381.759777972838</v>
      </c>
      <c r="E40" s="170">
        <f t="shared" si="1"/>
        <v>2.4999999999999963E-2</v>
      </c>
    </row>
    <row r="41" spans="1:7" x14ac:dyDescent="0.25">
      <c r="A41" s="180">
        <v>2038</v>
      </c>
      <c r="B41" s="175">
        <f t="shared" si="2"/>
        <v>59841.303772422201</v>
      </c>
      <c r="C41" s="56">
        <v>59841.303772422201</v>
      </c>
      <c r="D41" s="58">
        <f t="shared" si="0"/>
        <v>59841.303772422201</v>
      </c>
      <c r="E41" s="170">
        <f t="shared" si="1"/>
        <v>2.5000000000000716E-2</v>
      </c>
    </row>
    <row r="42" spans="1:7" x14ac:dyDescent="0.25">
      <c r="A42" s="180">
        <v>2039</v>
      </c>
      <c r="B42" s="175">
        <f t="shared" si="2"/>
        <v>61337.336366732707</v>
      </c>
      <c r="C42" s="56">
        <v>61337.336366732707</v>
      </c>
      <c r="D42" s="58">
        <f t="shared" si="0"/>
        <v>61337.336366732707</v>
      </c>
      <c r="E42" s="170">
        <f t="shared" si="1"/>
        <v>2.4999999999999169E-2</v>
      </c>
    </row>
    <row r="43" spans="1:7" ht="15.75" thickBot="1" x14ac:dyDescent="0.3">
      <c r="A43" s="181">
        <v>2040</v>
      </c>
      <c r="B43" s="177">
        <f t="shared" si="2"/>
        <v>62870.769775901019</v>
      </c>
      <c r="C43" s="182">
        <v>62870.769775901019</v>
      </c>
      <c r="D43" s="55">
        <f t="shared" si="0"/>
        <v>62870.769775901019</v>
      </c>
      <c r="E43" s="170">
        <f t="shared" si="1"/>
        <v>2.4999999999999911E-2</v>
      </c>
      <c r="F43" s="170"/>
      <c r="G43" s="170"/>
    </row>
    <row r="44" spans="1:7" x14ac:dyDescent="0.25">
      <c r="B44" s="175"/>
      <c r="F44" s="184" t="s">
        <v>316</v>
      </c>
      <c r="G44" s="185">
        <f>(D43/D31)^(1/(A43-A31))-1</f>
        <v>2.4999999999999911E-2</v>
      </c>
    </row>
    <row r="45" spans="1:7" x14ac:dyDescent="0.25">
      <c r="A45" s="186"/>
      <c r="F45" s="170"/>
      <c r="G45" s="170"/>
    </row>
    <row r="46" spans="1:7" x14ac:dyDescent="0.25">
      <c r="F46" s="170"/>
      <c r="G46" s="170"/>
    </row>
    <row r="47" spans="1:7" ht="12.75" customHeight="1" x14ac:dyDescent="0.25">
      <c r="A47" s="187"/>
      <c r="F47" s="170"/>
      <c r="G47" s="170"/>
    </row>
    <row r="48" spans="1:7" x14ac:dyDescent="0.25">
      <c r="A48" s="187"/>
      <c r="F48" s="170"/>
      <c r="G48" s="170"/>
    </row>
    <row r="49" spans="1:7" x14ac:dyDescent="0.25">
      <c r="A49" s="187"/>
      <c r="F49" s="170"/>
      <c r="G49" s="170"/>
    </row>
    <row r="50" spans="1:7" x14ac:dyDescent="0.25">
      <c r="F50" s="170"/>
      <c r="G50" s="170"/>
    </row>
    <row r="51" spans="1:7" x14ac:dyDescent="0.25">
      <c r="F51" s="170"/>
      <c r="G51" s="170"/>
    </row>
    <row r="52" spans="1:7" x14ac:dyDescent="0.25">
      <c r="F52" s="170"/>
      <c r="G52" s="170"/>
    </row>
    <row r="53" spans="1:7" x14ac:dyDescent="0.25">
      <c r="F53" s="170"/>
      <c r="G53" s="170"/>
    </row>
    <row r="54" spans="1:7" x14ac:dyDescent="0.25">
      <c r="F54" s="170"/>
      <c r="G54" s="170"/>
    </row>
    <row r="55" spans="1:7" x14ac:dyDescent="0.25">
      <c r="F55" s="170"/>
      <c r="G55" s="170"/>
    </row>
    <row r="57" spans="1:7" ht="26.25" customHeight="1" x14ac:dyDescent="0.25">
      <c r="F57" s="185"/>
      <c r="G57" s="18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Export_ControlTot</vt:lpstr>
      <vt:lpstr>Export_Factors</vt:lpstr>
      <vt:lpstr>Result</vt:lpstr>
      <vt:lpstr>Calc%FTE</vt:lpstr>
      <vt:lpstr>calc%concurrent</vt:lpstr>
      <vt:lpstr>headcounts</vt:lpstr>
      <vt:lpstr>U</vt:lpstr>
      <vt:lpstr>WSU</vt:lpstr>
      <vt:lpstr>UVU</vt:lpstr>
      <vt:lpstr>slcc</vt:lpstr>
      <vt:lpstr>BYU</vt:lpstr>
      <vt:lpstr>LDSBC</vt:lpstr>
      <vt:lpstr>Westminstor</vt:lpstr>
      <vt:lpstr>USHE Source 2018</vt:lpstr>
      <vt:lpstr>summary</vt:lpstr>
      <vt:lpstr>map</vt:lpstr>
      <vt:lpstr>lagoon2019</vt:lpstr>
      <vt:lpstr>lagoonbefore2019</vt:lpstr>
      <vt:lpstr>airport2019</vt:lpstr>
      <vt:lpstr>airportbefore2019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Li</dc:creator>
  <cp:lastModifiedBy>Chad Worthen</cp:lastModifiedBy>
  <cp:lastPrinted>2013-04-22T19:09:17Z</cp:lastPrinted>
  <dcterms:created xsi:type="dcterms:W3CDTF">2013-02-12T17:55:31Z</dcterms:created>
  <dcterms:modified xsi:type="dcterms:W3CDTF">2019-03-27T22:21:15Z</dcterms:modified>
</cp:coreProperties>
</file>